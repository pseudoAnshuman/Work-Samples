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TISS Assignments\2nd Sem\Vulnerability\"/>
    </mc:Choice>
  </mc:AlternateContent>
  <xr:revisionPtr revIDLastSave="0" documentId="13_ncr:1_{709F392C-FFB0-4BEB-92DD-63B8F7DB7DCE}" xr6:coauthVersionLast="47" xr6:coauthVersionMax="47" xr10:uidLastSave="{00000000-0000-0000-0000-000000000000}"/>
  <bookViews>
    <workbookView xWindow="-108" yWindow="-108" windowWidth="23256" windowHeight="12456" firstSheet="4" activeTab="7" xr2:uid="{921F2947-35BB-4089-B520-75BF242279C0}"/>
  </bookViews>
  <sheets>
    <sheet name="Identification of Compon" sheetId="2" r:id="rId1"/>
    <sheet name="Normalisation of Sensitivity  " sheetId="3" r:id="rId2"/>
    <sheet name="Normalisation of AC" sheetId="4" r:id="rId3"/>
    <sheet name="Weights for Indicators (S &amp; AC)" sheetId="9" r:id="rId4"/>
    <sheet name="Sensitivity Index" sheetId="6" r:id="rId5"/>
    <sheet name="Adaptive Capacity Index" sheetId="5" r:id="rId6"/>
    <sheet name="Vulnerability Index" sheetId="7" r:id="rId7"/>
    <sheet name="Final Results" sheetId="8" r:id="rId8"/>
  </sheets>
  <definedNames>
    <definedName name="_xlnm._FilterDatabase" localSheetId="7" hidden="1">'Final Results'!$B$5:$C$41</definedName>
    <definedName name="_xlnm._FilterDatabase" localSheetId="6" hidden="1">'Vulnerability Index'!$A$2:$L$38</definedName>
    <definedName name="_xlchart.v5.0" hidden="1">'Vulnerability Index'!$A$2</definedName>
    <definedName name="_xlchart.v5.1" hidden="1">'Vulnerability Index'!$A$3:$A$38</definedName>
    <definedName name="_xlchart.v5.10" hidden="1">'Vulnerability Index'!$F$1</definedName>
    <definedName name="_xlchart.v5.11" hidden="1">'Vulnerability Index'!$F$2</definedName>
    <definedName name="_xlchart.v5.12" hidden="1">'Vulnerability Index'!$F$3:$F$38</definedName>
    <definedName name="_xlchart.v5.13" hidden="1">'Vulnerability Index'!$A$2</definedName>
    <definedName name="_xlchart.v5.14" hidden="1">'Vulnerability Index'!$A$3:$A$38</definedName>
    <definedName name="_xlchart.v5.15" hidden="1">'Vulnerability Index'!$F$1</definedName>
    <definedName name="_xlchart.v5.16" hidden="1">'Vulnerability Index'!$F$2</definedName>
    <definedName name="_xlchart.v5.17" hidden="1">'Vulnerability Index'!$F$3:$F$38</definedName>
    <definedName name="_xlchart.v5.2" hidden="1">'Vulnerability Index'!$F$2</definedName>
    <definedName name="_xlchart.v5.3" hidden="1">'Vulnerability Index'!$F$3:$F$38</definedName>
    <definedName name="_xlchart.v5.4" hidden="1">'Vulnerability Index'!$A$2</definedName>
    <definedName name="_xlchart.v5.5" hidden="1">'Vulnerability Index'!$A$3:$A$38</definedName>
    <definedName name="_xlchart.v5.6" hidden="1">'Vulnerability Index'!$F$2</definedName>
    <definedName name="_xlchart.v5.7" hidden="1">'Vulnerability Index'!$F$3:$F$38</definedName>
    <definedName name="_xlchart.v5.8" hidden="1">'Vulnerability Index'!$A$2</definedName>
    <definedName name="_xlchart.v5.9" hidden="1">'Vulnerability Index'!$A$3:$A$38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7" l="1"/>
  <c r="E18" i="7"/>
  <c r="E38" i="7"/>
  <c r="E24" i="7"/>
  <c r="E20" i="7"/>
  <c r="E21" i="7"/>
  <c r="E8" i="7"/>
  <c r="E3" i="7"/>
  <c r="E5" i="7"/>
  <c r="E34" i="7"/>
  <c r="E30" i="7"/>
  <c r="E29" i="7"/>
  <c r="E27" i="7"/>
  <c r="E32" i="7"/>
  <c r="E25" i="7"/>
  <c r="E26" i="7"/>
  <c r="E16" i="7"/>
  <c r="E4" i="7"/>
  <c r="E17" i="7"/>
  <c r="E14" i="7"/>
  <c r="E19" i="7"/>
  <c r="E7" i="7"/>
  <c r="E12" i="7"/>
  <c r="E35" i="7"/>
  <c r="E36" i="7"/>
  <c r="E6" i="7"/>
  <c r="E11" i="7"/>
  <c r="E10" i="7"/>
  <c r="E28" i="7"/>
  <c r="E37" i="7"/>
  <c r="E13" i="7"/>
  <c r="E9" i="7"/>
  <c r="E31" i="7"/>
  <c r="E33" i="7"/>
  <c r="E15" i="7"/>
  <c r="E22" i="7"/>
  <c r="BT4" i="5"/>
  <c r="BT5" i="5"/>
  <c r="BT6" i="5"/>
  <c r="BT7" i="5"/>
  <c r="BT8" i="5"/>
  <c r="BT9" i="5"/>
  <c r="BT10" i="5"/>
  <c r="BT11" i="5"/>
  <c r="BT12" i="5"/>
  <c r="BT13" i="5"/>
  <c r="BT14" i="5"/>
  <c r="BT15" i="5"/>
  <c r="BT16" i="5"/>
  <c r="BT17" i="5"/>
  <c r="BT18" i="5"/>
  <c r="BT19" i="5"/>
  <c r="BT20" i="5"/>
  <c r="BT21" i="5"/>
  <c r="BT22" i="5"/>
  <c r="BT23" i="5"/>
  <c r="BT24" i="5"/>
  <c r="BT25" i="5"/>
  <c r="BT26" i="5"/>
  <c r="BT27" i="5"/>
  <c r="BT28" i="5"/>
  <c r="BT29" i="5"/>
  <c r="BT30" i="5"/>
  <c r="BT31" i="5"/>
  <c r="BT32" i="5"/>
  <c r="BT33" i="5"/>
  <c r="BT34" i="5"/>
  <c r="BT35" i="5"/>
  <c r="BT36" i="5"/>
  <c r="BT37" i="5"/>
  <c r="BT38" i="5"/>
  <c r="BT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" i="5"/>
  <c r="T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Z4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AC4" i="5"/>
  <c r="AC5" i="5"/>
  <c r="AC6" i="5"/>
  <c r="AC7" i="5"/>
  <c r="AC8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28" i="5"/>
  <c r="AC29" i="5"/>
  <c r="AC30" i="5"/>
  <c r="AC31" i="5"/>
  <c r="AC32" i="5"/>
  <c r="AC33" i="5"/>
  <c r="AC34" i="5"/>
  <c r="AC35" i="5"/>
  <c r="AC36" i="5"/>
  <c r="AC37" i="5"/>
  <c r="AC38" i="5"/>
  <c r="AF4" i="5"/>
  <c r="AF5" i="5"/>
  <c r="AF6" i="5"/>
  <c r="AF7" i="5"/>
  <c r="AF8" i="5"/>
  <c r="AF9" i="5"/>
  <c r="AF10" i="5"/>
  <c r="AF11" i="5"/>
  <c r="AF12" i="5"/>
  <c r="AF13" i="5"/>
  <c r="AF14" i="5"/>
  <c r="AF15" i="5"/>
  <c r="AF16" i="5"/>
  <c r="AF17" i="5"/>
  <c r="AF18" i="5"/>
  <c r="AF19" i="5"/>
  <c r="AF20" i="5"/>
  <c r="AF21" i="5"/>
  <c r="AF22" i="5"/>
  <c r="AF23" i="5"/>
  <c r="AF24" i="5"/>
  <c r="AF25" i="5"/>
  <c r="AF26" i="5"/>
  <c r="AF27" i="5"/>
  <c r="AF28" i="5"/>
  <c r="AF29" i="5"/>
  <c r="AF30" i="5"/>
  <c r="AF31" i="5"/>
  <c r="AF32" i="5"/>
  <c r="AF33" i="5"/>
  <c r="AF34" i="5"/>
  <c r="AF35" i="5"/>
  <c r="AF36" i="5"/>
  <c r="AF37" i="5"/>
  <c r="AF38" i="5"/>
  <c r="AI4" i="5"/>
  <c r="AI5" i="5"/>
  <c r="AI6" i="5"/>
  <c r="AI7" i="5"/>
  <c r="AI8" i="5"/>
  <c r="AI9" i="5"/>
  <c r="AI10" i="5"/>
  <c r="AI11" i="5"/>
  <c r="AI12" i="5"/>
  <c r="AI13" i="5"/>
  <c r="AI14" i="5"/>
  <c r="AI15" i="5"/>
  <c r="AI16" i="5"/>
  <c r="AI17" i="5"/>
  <c r="AI18" i="5"/>
  <c r="AI19" i="5"/>
  <c r="AI20" i="5"/>
  <c r="AI21" i="5"/>
  <c r="AI22" i="5"/>
  <c r="AI23" i="5"/>
  <c r="AI24" i="5"/>
  <c r="AI25" i="5"/>
  <c r="AI26" i="5"/>
  <c r="AI27" i="5"/>
  <c r="AI28" i="5"/>
  <c r="AI29" i="5"/>
  <c r="AI30" i="5"/>
  <c r="AI31" i="5"/>
  <c r="AI32" i="5"/>
  <c r="AI33" i="5"/>
  <c r="AI34" i="5"/>
  <c r="AI35" i="5"/>
  <c r="AI36" i="5"/>
  <c r="AI37" i="5"/>
  <c r="AI38" i="5"/>
  <c r="AL4" i="5"/>
  <c r="AL5" i="5"/>
  <c r="AL6" i="5"/>
  <c r="AL7" i="5"/>
  <c r="AL8" i="5"/>
  <c r="AL9" i="5"/>
  <c r="AL10" i="5"/>
  <c r="AL11" i="5"/>
  <c r="AL12" i="5"/>
  <c r="AL13" i="5"/>
  <c r="AL14" i="5"/>
  <c r="AL15" i="5"/>
  <c r="AL16" i="5"/>
  <c r="AL17" i="5"/>
  <c r="AL18" i="5"/>
  <c r="AL19" i="5"/>
  <c r="AL20" i="5"/>
  <c r="AL21" i="5"/>
  <c r="AL22" i="5"/>
  <c r="AL23" i="5"/>
  <c r="AL24" i="5"/>
  <c r="AL25" i="5"/>
  <c r="AL26" i="5"/>
  <c r="AL27" i="5"/>
  <c r="AL28" i="5"/>
  <c r="AL29" i="5"/>
  <c r="AL30" i="5"/>
  <c r="AL31" i="5"/>
  <c r="AL32" i="5"/>
  <c r="AL33" i="5"/>
  <c r="AL34" i="5"/>
  <c r="AL35" i="5"/>
  <c r="AL36" i="5"/>
  <c r="AL37" i="5"/>
  <c r="AL38" i="5"/>
  <c r="AO4" i="5"/>
  <c r="AO5" i="5"/>
  <c r="AO6" i="5"/>
  <c r="AO7" i="5"/>
  <c r="AO8" i="5"/>
  <c r="AO9" i="5"/>
  <c r="AO10" i="5"/>
  <c r="AO11" i="5"/>
  <c r="AO12" i="5"/>
  <c r="AO13" i="5"/>
  <c r="AO14" i="5"/>
  <c r="AO15" i="5"/>
  <c r="AO16" i="5"/>
  <c r="AO17" i="5"/>
  <c r="AO18" i="5"/>
  <c r="AO19" i="5"/>
  <c r="AO20" i="5"/>
  <c r="AO21" i="5"/>
  <c r="AO22" i="5"/>
  <c r="AO23" i="5"/>
  <c r="AO24" i="5"/>
  <c r="AO25" i="5"/>
  <c r="AO26" i="5"/>
  <c r="AO27" i="5"/>
  <c r="AO28" i="5"/>
  <c r="AO29" i="5"/>
  <c r="AO30" i="5"/>
  <c r="AO31" i="5"/>
  <c r="AO32" i="5"/>
  <c r="AO33" i="5"/>
  <c r="AO34" i="5"/>
  <c r="AO35" i="5"/>
  <c r="AO36" i="5"/>
  <c r="AO37" i="5"/>
  <c r="AO38" i="5"/>
  <c r="AR4" i="5"/>
  <c r="AR5" i="5"/>
  <c r="AR6" i="5"/>
  <c r="AR7" i="5"/>
  <c r="AR8" i="5"/>
  <c r="AR9" i="5"/>
  <c r="AR10" i="5"/>
  <c r="AR11" i="5"/>
  <c r="AR12" i="5"/>
  <c r="AR13" i="5"/>
  <c r="AR14" i="5"/>
  <c r="AR15" i="5"/>
  <c r="AR16" i="5"/>
  <c r="AR17" i="5"/>
  <c r="AR18" i="5"/>
  <c r="AR19" i="5"/>
  <c r="AR20" i="5"/>
  <c r="AR21" i="5"/>
  <c r="AR22" i="5"/>
  <c r="AR23" i="5"/>
  <c r="AR24" i="5"/>
  <c r="AR25" i="5"/>
  <c r="AR26" i="5"/>
  <c r="AR27" i="5"/>
  <c r="AR28" i="5"/>
  <c r="AR29" i="5"/>
  <c r="AR30" i="5"/>
  <c r="AR31" i="5"/>
  <c r="AR32" i="5"/>
  <c r="AR33" i="5"/>
  <c r="AR34" i="5"/>
  <c r="AR35" i="5"/>
  <c r="AR36" i="5"/>
  <c r="AR37" i="5"/>
  <c r="AR38" i="5"/>
  <c r="AU4" i="5"/>
  <c r="AU5" i="5"/>
  <c r="AU6" i="5"/>
  <c r="AU7" i="5"/>
  <c r="AU8" i="5"/>
  <c r="AU9" i="5"/>
  <c r="AU10" i="5"/>
  <c r="AU11" i="5"/>
  <c r="AU12" i="5"/>
  <c r="AU13" i="5"/>
  <c r="AU14" i="5"/>
  <c r="AU15" i="5"/>
  <c r="AU16" i="5"/>
  <c r="AU17" i="5"/>
  <c r="AU18" i="5"/>
  <c r="AU19" i="5"/>
  <c r="AU20" i="5"/>
  <c r="AU21" i="5"/>
  <c r="AU22" i="5"/>
  <c r="AU23" i="5"/>
  <c r="AU24" i="5"/>
  <c r="AU25" i="5"/>
  <c r="AU26" i="5"/>
  <c r="AU27" i="5"/>
  <c r="AU28" i="5"/>
  <c r="AU29" i="5"/>
  <c r="AU30" i="5"/>
  <c r="AU31" i="5"/>
  <c r="AU32" i="5"/>
  <c r="AU33" i="5"/>
  <c r="AU34" i="5"/>
  <c r="AU35" i="5"/>
  <c r="AU36" i="5"/>
  <c r="AU37" i="5"/>
  <c r="AU38" i="5"/>
  <c r="AX4" i="5"/>
  <c r="AX5" i="5"/>
  <c r="AX6" i="5"/>
  <c r="AX7" i="5"/>
  <c r="AX8" i="5"/>
  <c r="AX9" i="5"/>
  <c r="AX10" i="5"/>
  <c r="AX11" i="5"/>
  <c r="AX12" i="5"/>
  <c r="AX13" i="5"/>
  <c r="AX14" i="5"/>
  <c r="AX15" i="5"/>
  <c r="AX16" i="5"/>
  <c r="AX17" i="5"/>
  <c r="AX18" i="5"/>
  <c r="AX19" i="5"/>
  <c r="AX20" i="5"/>
  <c r="AX21" i="5"/>
  <c r="AX22" i="5"/>
  <c r="AX23" i="5"/>
  <c r="AX24" i="5"/>
  <c r="AX25" i="5"/>
  <c r="AX26" i="5"/>
  <c r="AX27" i="5"/>
  <c r="AX28" i="5"/>
  <c r="AX29" i="5"/>
  <c r="AX30" i="5"/>
  <c r="AX31" i="5"/>
  <c r="AX32" i="5"/>
  <c r="AX33" i="5"/>
  <c r="AX34" i="5"/>
  <c r="AX35" i="5"/>
  <c r="AX36" i="5"/>
  <c r="AX37" i="5"/>
  <c r="AX38" i="5"/>
  <c r="BA4" i="5"/>
  <c r="BA5" i="5"/>
  <c r="BA6" i="5"/>
  <c r="BA7" i="5"/>
  <c r="BA8" i="5"/>
  <c r="BA9" i="5"/>
  <c r="BA10" i="5"/>
  <c r="BA11" i="5"/>
  <c r="BA12" i="5"/>
  <c r="BA13" i="5"/>
  <c r="BA14" i="5"/>
  <c r="BA15" i="5"/>
  <c r="BA16" i="5"/>
  <c r="BA17" i="5"/>
  <c r="BA18" i="5"/>
  <c r="BA19" i="5"/>
  <c r="BA20" i="5"/>
  <c r="BA21" i="5"/>
  <c r="BA22" i="5"/>
  <c r="BA23" i="5"/>
  <c r="BA24" i="5"/>
  <c r="BA25" i="5"/>
  <c r="BA26" i="5"/>
  <c r="BA27" i="5"/>
  <c r="BA28" i="5"/>
  <c r="BA29" i="5"/>
  <c r="BA30" i="5"/>
  <c r="BA31" i="5"/>
  <c r="BA32" i="5"/>
  <c r="BA33" i="5"/>
  <c r="BA34" i="5"/>
  <c r="BA35" i="5"/>
  <c r="BA36" i="5"/>
  <c r="BA37" i="5"/>
  <c r="BA38" i="5"/>
  <c r="BD4" i="5"/>
  <c r="BD5" i="5"/>
  <c r="BD6" i="5"/>
  <c r="BD7" i="5"/>
  <c r="BD8" i="5"/>
  <c r="BD9" i="5"/>
  <c r="BD10" i="5"/>
  <c r="BD11" i="5"/>
  <c r="BD12" i="5"/>
  <c r="BD13" i="5"/>
  <c r="BD14" i="5"/>
  <c r="BD15" i="5"/>
  <c r="BD16" i="5"/>
  <c r="BD17" i="5"/>
  <c r="BD18" i="5"/>
  <c r="BD19" i="5"/>
  <c r="BD20" i="5"/>
  <c r="BD21" i="5"/>
  <c r="BD22" i="5"/>
  <c r="BD23" i="5"/>
  <c r="BD24" i="5"/>
  <c r="BD25" i="5"/>
  <c r="BD26" i="5"/>
  <c r="BD27" i="5"/>
  <c r="BD28" i="5"/>
  <c r="BD29" i="5"/>
  <c r="BD30" i="5"/>
  <c r="BD31" i="5"/>
  <c r="BD32" i="5"/>
  <c r="BD33" i="5"/>
  <c r="BD34" i="5"/>
  <c r="BD35" i="5"/>
  <c r="BD36" i="5"/>
  <c r="BD37" i="5"/>
  <c r="BD38" i="5"/>
  <c r="BG4" i="5"/>
  <c r="BG5" i="5"/>
  <c r="BG6" i="5"/>
  <c r="BG7" i="5"/>
  <c r="BG8" i="5"/>
  <c r="BG9" i="5"/>
  <c r="BG10" i="5"/>
  <c r="BG11" i="5"/>
  <c r="BG12" i="5"/>
  <c r="BG13" i="5"/>
  <c r="BG14" i="5"/>
  <c r="BG15" i="5"/>
  <c r="BG16" i="5"/>
  <c r="BG17" i="5"/>
  <c r="BG18" i="5"/>
  <c r="BG19" i="5"/>
  <c r="BG20" i="5"/>
  <c r="BG21" i="5"/>
  <c r="BG22" i="5"/>
  <c r="BG23" i="5"/>
  <c r="BG24" i="5"/>
  <c r="BG25" i="5"/>
  <c r="BG26" i="5"/>
  <c r="BG27" i="5"/>
  <c r="BG28" i="5"/>
  <c r="BG29" i="5"/>
  <c r="BG30" i="5"/>
  <c r="BG31" i="5"/>
  <c r="BG32" i="5"/>
  <c r="BG33" i="5"/>
  <c r="BG34" i="5"/>
  <c r="BG35" i="5"/>
  <c r="BG36" i="5"/>
  <c r="BG37" i="5"/>
  <c r="BG38" i="5"/>
  <c r="BJ4" i="5"/>
  <c r="BJ5" i="5"/>
  <c r="BJ6" i="5"/>
  <c r="BJ7" i="5"/>
  <c r="BJ8" i="5"/>
  <c r="BJ9" i="5"/>
  <c r="BJ10" i="5"/>
  <c r="BJ11" i="5"/>
  <c r="BJ12" i="5"/>
  <c r="BJ13" i="5"/>
  <c r="BJ14" i="5"/>
  <c r="BJ15" i="5"/>
  <c r="BJ16" i="5"/>
  <c r="BJ17" i="5"/>
  <c r="BJ18" i="5"/>
  <c r="BJ19" i="5"/>
  <c r="BJ20" i="5"/>
  <c r="BJ21" i="5"/>
  <c r="BJ22" i="5"/>
  <c r="BJ23" i="5"/>
  <c r="BJ24" i="5"/>
  <c r="BJ25" i="5"/>
  <c r="BJ26" i="5"/>
  <c r="BJ27" i="5"/>
  <c r="BJ28" i="5"/>
  <c r="BJ29" i="5"/>
  <c r="BJ30" i="5"/>
  <c r="BJ31" i="5"/>
  <c r="BJ32" i="5"/>
  <c r="BJ33" i="5"/>
  <c r="BJ34" i="5"/>
  <c r="BJ35" i="5"/>
  <c r="BJ36" i="5"/>
  <c r="BJ37" i="5"/>
  <c r="BJ38" i="5"/>
  <c r="BM4" i="5"/>
  <c r="BM5" i="5"/>
  <c r="BM6" i="5"/>
  <c r="BM7" i="5"/>
  <c r="BM8" i="5"/>
  <c r="BM9" i="5"/>
  <c r="BM10" i="5"/>
  <c r="BM11" i="5"/>
  <c r="BM12" i="5"/>
  <c r="BM13" i="5"/>
  <c r="BM14" i="5"/>
  <c r="BM15" i="5"/>
  <c r="BM16" i="5"/>
  <c r="BM17" i="5"/>
  <c r="BM18" i="5"/>
  <c r="BM19" i="5"/>
  <c r="BM20" i="5"/>
  <c r="BM21" i="5"/>
  <c r="BM22" i="5"/>
  <c r="BM23" i="5"/>
  <c r="BM24" i="5"/>
  <c r="BM25" i="5"/>
  <c r="BM26" i="5"/>
  <c r="BM27" i="5"/>
  <c r="BM28" i="5"/>
  <c r="BM29" i="5"/>
  <c r="BM30" i="5"/>
  <c r="BM31" i="5"/>
  <c r="BM32" i="5"/>
  <c r="BM33" i="5"/>
  <c r="BM34" i="5"/>
  <c r="BM35" i="5"/>
  <c r="BM36" i="5"/>
  <c r="BM37" i="5"/>
  <c r="BM38" i="5"/>
  <c r="BP4" i="5"/>
  <c r="BP5" i="5"/>
  <c r="BP6" i="5"/>
  <c r="BP7" i="5"/>
  <c r="BP8" i="5"/>
  <c r="BP9" i="5"/>
  <c r="BP10" i="5"/>
  <c r="BP11" i="5"/>
  <c r="BP12" i="5"/>
  <c r="BP13" i="5"/>
  <c r="BP14" i="5"/>
  <c r="BP15" i="5"/>
  <c r="BP16" i="5"/>
  <c r="BP17" i="5"/>
  <c r="BP18" i="5"/>
  <c r="BP19" i="5"/>
  <c r="BP20" i="5"/>
  <c r="BP21" i="5"/>
  <c r="BP22" i="5"/>
  <c r="BP23" i="5"/>
  <c r="BP24" i="5"/>
  <c r="BP25" i="5"/>
  <c r="BP26" i="5"/>
  <c r="BP27" i="5"/>
  <c r="BP28" i="5"/>
  <c r="BP29" i="5"/>
  <c r="BP30" i="5"/>
  <c r="BP31" i="5"/>
  <c r="BP32" i="5"/>
  <c r="BP33" i="5"/>
  <c r="BP34" i="5"/>
  <c r="BP35" i="5"/>
  <c r="BP36" i="5"/>
  <c r="BP37" i="5"/>
  <c r="BP38" i="5"/>
  <c r="BS4" i="5"/>
  <c r="BS5" i="5"/>
  <c r="BS6" i="5"/>
  <c r="BS7" i="5"/>
  <c r="BS8" i="5"/>
  <c r="BS9" i="5"/>
  <c r="BS10" i="5"/>
  <c r="BS11" i="5"/>
  <c r="BS12" i="5"/>
  <c r="BS13" i="5"/>
  <c r="BS14" i="5"/>
  <c r="BS15" i="5"/>
  <c r="BS16" i="5"/>
  <c r="BS17" i="5"/>
  <c r="BS18" i="5"/>
  <c r="BS19" i="5"/>
  <c r="BS20" i="5"/>
  <c r="BS21" i="5"/>
  <c r="BS22" i="5"/>
  <c r="BS23" i="5"/>
  <c r="BS24" i="5"/>
  <c r="BS25" i="5"/>
  <c r="BS26" i="5"/>
  <c r="BS27" i="5"/>
  <c r="BS28" i="5"/>
  <c r="BS29" i="5"/>
  <c r="BS30" i="5"/>
  <c r="BS31" i="5"/>
  <c r="BS32" i="5"/>
  <c r="BS33" i="5"/>
  <c r="BS34" i="5"/>
  <c r="BS35" i="5"/>
  <c r="BS36" i="5"/>
  <c r="BS37" i="5"/>
  <c r="BS38" i="5"/>
  <c r="BS3" i="5"/>
  <c r="BP3" i="5"/>
  <c r="BM3" i="5"/>
  <c r="BJ3" i="5"/>
  <c r="BG3" i="5"/>
  <c r="BD3" i="5"/>
  <c r="BA3" i="5"/>
  <c r="AX3" i="5"/>
  <c r="AU3" i="5"/>
  <c r="AR3" i="5"/>
  <c r="AO3" i="5"/>
  <c r="AL3" i="5"/>
  <c r="AI3" i="5"/>
  <c r="AF3" i="5"/>
  <c r="AC3" i="5"/>
  <c r="Z3" i="5"/>
  <c r="W3" i="5"/>
  <c r="T3" i="5"/>
  <c r="N3" i="5"/>
  <c r="K3" i="5"/>
  <c r="H3" i="5"/>
  <c r="E3" i="5"/>
  <c r="N46" i="4"/>
  <c r="J46" i="4"/>
  <c r="L46" i="4"/>
  <c r="H46" i="4"/>
  <c r="P46" i="4"/>
  <c r="R46" i="4"/>
  <c r="T46" i="4"/>
  <c r="V46" i="4"/>
  <c r="X46" i="4"/>
  <c r="Z46" i="4"/>
  <c r="AB46" i="4"/>
  <c r="AD46" i="4"/>
  <c r="AF46" i="4"/>
  <c r="AH46" i="4"/>
  <c r="AJ46" i="4"/>
  <c r="AL46" i="4"/>
  <c r="AN46" i="4"/>
  <c r="AP46" i="4"/>
  <c r="AR46" i="4"/>
  <c r="AT46" i="4"/>
  <c r="AV46" i="4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" i="6"/>
  <c r="E4" i="6"/>
  <c r="U4" i="6" s="1"/>
  <c r="E5" i="6"/>
  <c r="U5" i="6" s="1"/>
  <c r="E6" i="6"/>
  <c r="U6" i="6" s="1"/>
  <c r="E7" i="6"/>
  <c r="U7" i="6" s="1"/>
  <c r="E8" i="6"/>
  <c r="U8" i="6" s="1"/>
  <c r="E9" i="6"/>
  <c r="U9" i="6" s="1"/>
  <c r="E10" i="6"/>
  <c r="U10" i="6" s="1"/>
  <c r="E11" i="6"/>
  <c r="U11" i="6" s="1"/>
  <c r="E12" i="6"/>
  <c r="U12" i="6" s="1"/>
  <c r="E13" i="6"/>
  <c r="U13" i="6" s="1"/>
  <c r="E14" i="6"/>
  <c r="U14" i="6" s="1"/>
  <c r="E15" i="6"/>
  <c r="U15" i="6" s="1"/>
  <c r="E16" i="6"/>
  <c r="U16" i="6" s="1"/>
  <c r="E17" i="6"/>
  <c r="U17" i="6" s="1"/>
  <c r="E18" i="6"/>
  <c r="U18" i="6" s="1"/>
  <c r="E19" i="6"/>
  <c r="U19" i="6" s="1"/>
  <c r="E20" i="6"/>
  <c r="U20" i="6" s="1"/>
  <c r="E21" i="6"/>
  <c r="U21" i="6" s="1"/>
  <c r="E22" i="6"/>
  <c r="U22" i="6" s="1"/>
  <c r="E23" i="6"/>
  <c r="U23" i="6" s="1"/>
  <c r="E24" i="6"/>
  <c r="U24" i="6" s="1"/>
  <c r="E25" i="6"/>
  <c r="U25" i="6" s="1"/>
  <c r="E26" i="6"/>
  <c r="U26" i="6" s="1"/>
  <c r="E27" i="6"/>
  <c r="U27" i="6" s="1"/>
  <c r="E28" i="6"/>
  <c r="U28" i="6" s="1"/>
  <c r="E29" i="6"/>
  <c r="U29" i="6" s="1"/>
  <c r="E30" i="6"/>
  <c r="U30" i="6" s="1"/>
  <c r="E31" i="6"/>
  <c r="U31" i="6" s="1"/>
  <c r="E32" i="6"/>
  <c r="U32" i="6" s="1"/>
  <c r="E33" i="6"/>
  <c r="U33" i="6" s="1"/>
  <c r="E34" i="6"/>
  <c r="U34" i="6" s="1"/>
  <c r="E35" i="6"/>
  <c r="U35" i="6" s="1"/>
  <c r="E36" i="6"/>
  <c r="U36" i="6" s="1"/>
  <c r="E37" i="6"/>
  <c r="U37" i="6" s="1"/>
  <c r="E38" i="6"/>
  <c r="U38" i="6" s="1"/>
  <c r="E3" i="6"/>
  <c r="U3" i="6" s="1"/>
  <c r="C44" i="3"/>
  <c r="AV4" i="4"/>
  <c r="AV5" i="4"/>
  <c r="AV6" i="4"/>
  <c r="AV7" i="4"/>
  <c r="AV8" i="4"/>
  <c r="AV9" i="4"/>
  <c r="AV10" i="4"/>
  <c r="AV11" i="4"/>
  <c r="AV12" i="4"/>
  <c r="AV13" i="4"/>
  <c r="AV14" i="4"/>
  <c r="AV15" i="4"/>
  <c r="AV16" i="4"/>
  <c r="AV17" i="4"/>
  <c r="AV18" i="4"/>
  <c r="AV19" i="4"/>
  <c r="AV20" i="4"/>
  <c r="AV21" i="4"/>
  <c r="AV22" i="4"/>
  <c r="AV23" i="4"/>
  <c r="AV24" i="4"/>
  <c r="AV25" i="4"/>
  <c r="AV26" i="4"/>
  <c r="AV27" i="4"/>
  <c r="AV28" i="4"/>
  <c r="AV29" i="4"/>
  <c r="AV30" i="4"/>
  <c r="AV31" i="4"/>
  <c r="AV32" i="4"/>
  <c r="AV33" i="4"/>
  <c r="AV34" i="4"/>
  <c r="AV35" i="4"/>
  <c r="AV36" i="4"/>
  <c r="AV37" i="4"/>
  <c r="AV38" i="4"/>
  <c r="AT4" i="4"/>
  <c r="AT5" i="4"/>
  <c r="AT6" i="4"/>
  <c r="AT7" i="4"/>
  <c r="AT8" i="4"/>
  <c r="AT9" i="4"/>
  <c r="AT10" i="4"/>
  <c r="AT11" i="4"/>
  <c r="AT12" i="4"/>
  <c r="AT13" i="4"/>
  <c r="AT14" i="4"/>
  <c r="AT15" i="4"/>
  <c r="AT16" i="4"/>
  <c r="AT17" i="4"/>
  <c r="AT18" i="4"/>
  <c r="AT19" i="4"/>
  <c r="AT20" i="4"/>
  <c r="AT21" i="4"/>
  <c r="AT22" i="4"/>
  <c r="AT23" i="4"/>
  <c r="AT24" i="4"/>
  <c r="AT25" i="4"/>
  <c r="AT26" i="4"/>
  <c r="AT27" i="4"/>
  <c r="AT28" i="4"/>
  <c r="AT29" i="4"/>
  <c r="AT30" i="4"/>
  <c r="AT31" i="4"/>
  <c r="AT32" i="4"/>
  <c r="AT33" i="4"/>
  <c r="AT34" i="4"/>
  <c r="AT35" i="4"/>
  <c r="AT36" i="4"/>
  <c r="AT37" i="4"/>
  <c r="AT38" i="4"/>
  <c r="AR38" i="4"/>
  <c r="AR37" i="4"/>
  <c r="AR36" i="4"/>
  <c r="AR35" i="4"/>
  <c r="AR34" i="4"/>
  <c r="AR33" i="4"/>
  <c r="AR32" i="4"/>
  <c r="AR31" i="4"/>
  <c r="AR30" i="4"/>
  <c r="AR29" i="4"/>
  <c r="AR28" i="4"/>
  <c r="AR27" i="4"/>
  <c r="AR26" i="4"/>
  <c r="AR25" i="4"/>
  <c r="AR24" i="4"/>
  <c r="AR23" i="4"/>
  <c r="AR22" i="4"/>
  <c r="AR21" i="4"/>
  <c r="AR20" i="4"/>
  <c r="AR19" i="4"/>
  <c r="AR18" i="4"/>
  <c r="AR17" i="4"/>
  <c r="AR16" i="4"/>
  <c r="AR15" i="4"/>
  <c r="AR14" i="4"/>
  <c r="AR13" i="4"/>
  <c r="AR12" i="4"/>
  <c r="AR11" i="4"/>
  <c r="AR10" i="4"/>
  <c r="AR9" i="4"/>
  <c r="AR8" i="4"/>
  <c r="AR7" i="4"/>
  <c r="AR6" i="4"/>
  <c r="AR5" i="4"/>
  <c r="AR4" i="4"/>
  <c r="AP4" i="4"/>
  <c r="AP5" i="4"/>
  <c r="AP6" i="4"/>
  <c r="AP7" i="4"/>
  <c r="AP8" i="4"/>
  <c r="AP9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N4" i="4"/>
  <c r="AN5" i="4"/>
  <c r="AN6" i="4"/>
  <c r="AN7" i="4"/>
  <c r="AN8" i="4"/>
  <c r="AN9" i="4"/>
  <c r="AN40" i="4" s="1"/>
  <c r="AN41" i="4" s="1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L4" i="4"/>
  <c r="AL5" i="4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J4" i="4"/>
  <c r="AJ5" i="4"/>
  <c r="AJ6" i="4"/>
  <c r="AJ7" i="4"/>
  <c r="AJ8" i="4"/>
  <c r="AJ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H4" i="4"/>
  <c r="AH5" i="4"/>
  <c r="AH6" i="4"/>
  <c r="AH7" i="4"/>
  <c r="AH8" i="4"/>
  <c r="AH9" i="4"/>
  <c r="AH10" i="4"/>
  <c r="AH11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F4" i="4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X4" i="4"/>
  <c r="X5" i="4"/>
  <c r="X6" i="4"/>
  <c r="X7" i="4"/>
  <c r="X8" i="4"/>
  <c r="X9" i="4"/>
  <c r="X40" i="4" s="1"/>
  <c r="X41" i="4" s="1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H4" i="4"/>
  <c r="H5" i="4"/>
  <c r="H6" i="4"/>
  <c r="H7" i="4"/>
  <c r="H8" i="4"/>
  <c r="H9" i="4"/>
  <c r="H40" i="4" s="1"/>
  <c r="H41" i="4" s="1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AV3" i="4"/>
  <c r="AV40" i="4" s="1"/>
  <c r="AV41" i="4" s="1"/>
  <c r="AT3" i="4"/>
  <c r="AT40" i="4" s="1"/>
  <c r="AT41" i="4" s="1"/>
  <c r="AR3" i="4"/>
  <c r="AR40" i="4" s="1"/>
  <c r="AR41" i="4" s="1"/>
  <c r="AP3" i="4"/>
  <c r="AP40" i="4" s="1"/>
  <c r="AP41" i="4" s="1"/>
  <c r="AN3" i="4"/>
  <c r="AL3" i="4"/>
  <c r="AL40" i="4" s="1"/>
  <c r="AL41" i="4" s="1"/>
  <c r="AJ3" i="4"/>
  <c r="AJ40" i="4" s="1"/>
  <c r="AJ41" i="4" s="1"/>
  <c r="AH3" i="4"/>
  <c r="AH40" i="4" s="1"/>
  <c r="AH41" i="4" s="1"/>
  <c r="AF3" i="4"/>
  <c r="AF40" i="4" s="1"/>
  <c r="AF41" i="4" s="1"/>
  <c r="AD3" i="4"/>
  <c r="AD40" i="4" s="1"/>
  <c r="AD41" i="4" s="1"/>
  <c r="AB3" i="4"/>
  <c r="AB40" i="4" s="1"/>
  <c r="AB41" i="4" s="1"/>
  <c r="Z3" i="4"/>
  <c r="Z40" i="4" s="1"/>
  <c r="Z41" i="4" s="1"/>
  <c r="X3" i="4"/>
  <c r="V3" i="4"/>
  <c r="V40" i="4" s="1"/>
  <c r="V41" i="4" s="1"/>
  <c r="T3" i="4"/>
  <c r="T40" i="4" s="1"/>
  <c r="T41" i="4" s="1"/>
  <c r="R3" i="4"/>
  <c r="R40" i="4" s="1"/>
  <c r="R41" i="4" s="1"/>
  <c r="P3" i="4"/>
  <c r="P40" i="4" s="1"/>
  <c r="P41" i="4" s="1"/>
  <c r="N3" i="4"/>
  <c r="N40" i="4" s="1"/>
  <c r="N41" i="4" s="1"/>
  <c r="L3" i="4"/>
  <c r="L40" i="4" s="1"/>
  <c r="L41" i="4" s="1"/>
  <c r="J3" i="4"/>
  <c r="J40" i="4" s="1"/>
  <c r="J41" i="4" s="1"/>
  <c r="H3" i="4"/>
  <c r="F4" i="4"/>
  <c r="F40" i="4" s="1"/>
  <c r="F41" i="4" s="1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" i="4"/>
  <c r="D40" i="4" s="1"/>
  <c r="D41" i="4" s="1"/>
  <c r="C42" i="4" s="1"/>
  <c r="C44" i="4" s="1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N3" i="3"/>
  <c r="L3" i="3"/>
  <c r="J3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D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F46" i="4" l="1"/>
  <c r="D46" i="4"/>
  <c r="N40" i="3"/>
  <c r="N41" i="3" s="1"/>
  <c r="H40" i="3"/>
  <c r="H41" i="3" s="1"/>
  <c r="F40" i="3"/>
  <c r="F41" i="3" s="1"/>
  <c r="D40" i="3"/>
  <c r="D41" i="3" s="1"/>
  <c r="J40" i="3"/>
  <c r="J41" i="3" s="1"/>
  <c r="L40" i="3"/>
  <c r="L41" i="3" s="1"/>
  <c r="H46" i="3"/>
  <c r="N46" i="3" l="1"/>
  <c r="D46" i="3"/>
  <c r="F46" i="3"/>
  <c r="J46" i="3"/>
  <c r="L46" i="3"/>
</calcChain>
</file>

<file path=xl/sharedStrings.xml><?xml version="1.0" encoding="utf-8"?>
<sst xmlns="http://schemas.openxmlformats.org/spreadsheetml/2006/main" count="665" uniqueCount="188">
  <si>
    <t>Sensitivity</t>
  </si>
  <si>
    <t>Adaptive Capacity</t>
  </si>
  <si>
    <t>Landless households deriving major part of their income from manual casual labour</t>
  </si>
  <si>
    <t>Households with Destitutes/living on alms</t>
  </si>
  <si>
    <t>Monthly income of highest earning household member is &lt; 5000</t>
  </si>
  <si>
    <t>Monthly income of highest earning household member is 5000 - 10000</t>
  </si>
  <si>
    <t>Household without any phone</t>
  </si>
  <si>
    <t>Total Households owning un-irrigated land (less reliable for agriculture)</t>
  </si>
  <si>
    <t>Households with non-agricultural enterprises registered with government</t>
  </si>
  <si>
    <t>Households paying income tax / professional tax</t>
  </si>
  <si>
    <t>Households with salaried job in government</t>
  </si>
  <si>
    <t>Households with salaried job in Public</t>
  </si>
  <si>
    <t>Households with salaried job in Private</t>
  </si>
  <si>
    <t>Monthly income of highest earning household member is &gt; 10000</t>
  </si>
  <si>
    <t>Household with government job and reporting monthly highest income &gt; 5000</t>
  </si>
  <si>
    <t>Households having motorized two/three/four wheelers and fishing boats</t>
  </si>
  <si>
    <t>Households having 2 wheeler</t>
  </si>
  <si>
    <t>Households having 3 wheeler</t>
  </si>
  <si>
    <t>Households having 4 wheeler</t>
  </si>
  <si>
    <t>Households having motorized fishing boat</t>
  </si>
  <si>
    <t>Households Own a refrigerator</t>
  </si>
  <si>
    <t>Households Own a landline phone</t>
  </si>
  <si>
    <t>Households Owns mobile only</t>
  </si>
  <si>
    <t>Households Owns both landline and mobile</t>
  </si>
  <si>
    <t>Households owning mechanized three/four wheeler agricultural equipment</t>
  </si>
  <si>
    <t>Households having kisan credit card with the credit limit of Rs.50,000 and above</t>
  </si>
  <si>
    <t>Total Households owning irrigated land</t>
  </si>
  <si>
    <t>Total Households owning other land</t>
  </si>
  <si>
    <t>Households with irrigation equipment</t>
  </si>
  <si>
    <t>Household who have no land but have irrigation equipment</t>
  </si>
  <si>
    <t>Household which don't own land but have kissan credit card</t>
  </si>
  <si>
    <t>S.No.</t>
  </si>
  <si>
    <t>INDICATORS</t>
  </si>
  <si>
    <t>COMPONENT</t>
  </si>
  <si>
    <t>FUNCTIONAL RELATIONSHIP</t>
  </si>
  <si>
    <t>Positive</t>
  </si>
  <si>
    <t>Negative</t>
  </si>
  <si>
    <t>𝑁𝑜𝑟𝑚𝑎𝑙𝑖𝑧𝑒𝑑 𝑣𝑎𝑙𝑢𝑒 𝑁𝑉 = 𝐴𝑐𝑡𝑢𝑎𝑙 𝑣𝑎𝑙𝑢𝑒 − 𝑀𝑖𝑛𝑖𝑚𝑢𝑚 𝑣𝑎𝑙𝑢𝑒/𝑀𝑎𝑥𝑖𝑚𝑢𝑚 𝑣𝑎𝑙𝑢𝑒 − 𝑀𝑖𝑛𝑖𝑚𝑢𝑚 𝑉𝑎𝑙𝑢e</t>
  </si>
  <si>
    <t>𝑁𝑜𝑟𝑚𝑎𝑙𝑖𝑧𝑒𝑑 𝑣𝑎𝑙𝑢𝑒 𝑁𝑉 = 𝑀𝑎𝑥𝑖𝑚𝑢𝑚 𝑣𝑎𝑙𝑢𝑒 − 𝐴𝑐𝑡𝑢𝑎𝑙 𝑣𝑎𝑙𝑢𝑒/𝑀𝑎𝑥𝑖𝑚𝑢𝑚 𝑣𝑎𝑙𝑢𝑒 − 𝑀𝑖𝑛𝑖𝑚𝑢𝑚 𝑉𝑎𝑙𝑢e</t>
  </si>
  <si>
    <t>POSITIVE RELATIONSHIP</t>
  </si>
  <si>
    <t>NEGATIVE RELATONSHIP</t>
  </si>
  <si>
    <t>State Name</t>
  </si>
  <si>
    <t xml:space="preserve">TELANGANA </t>
  </si>
  <si>
    <t xml:space="preserve">ANDAMAN &amp; NICOBAR ISLANDS </t>
  </si>
  <si>
    <t xml:space="preserve">PUDUCHERRY </t>
  </si>
  <si>
    <t xml:space="preserve">TAMILNADU </t>
  </si>
  <si>
    <t xml:space="preserve">KERALA </t>
  </si>
  <si>
    <t xml:space="preserve">LAKSHADWEEP </t>
  </si>
  <si>
    <t xml:space="preserve">GOA </t>
  </si>
  <si>
    <t xml:space="preserve">KARNATAKA </t>
  </si>
  <si>
    <t xml:space="preserve">ANDHRA PRADESH </t>
  </si>
  <si>
    <t xml:space="preserve">MAHARASHTRA </t>
  </si>
  <si>
    <t>DADRA &amp; NAGAR HAVELI</t>
  </si>
  <si>
    <t xml:space="preserve">DAMAN AND DIU </t>
  </si>
  <si>
    <t xml:space="preserve">GUJARAT </t>
  </si>
  <si>
    <t xml:space="preserve">MADHYA PRADESH </t>
  </si>
  <si>
    <t xml:space="preserve">CHHATTISGARH </t>
  </si>
  <si>
    <t>ODISHA</t>
  </si>
  <si>
    <t xml:space="preserve">JHARKHAND </t>
  </si>
  <si>
    <t xml:space="preserve">WEST BENGAL </t>
  </si>
  <si>
    <t xml:space="preserve">ASSAM </t>
  </si>
  <si>
    <t xml:space="preserve">MEGHALAYA </t>
  </si>
  <si>
    <t xml:space="preserve">TRIPURA </t>
  </si>
  <si>
    <t xml:space="preserve">MIZORAM </t>
  </si>
  <si>
    <t>MANIPUR</t>
  </si>
  <si>
    <t xml:space="preserve">NAGALAND </t>
  </si>
  <si>
    <t xml:space="preserve">ARUNACHAL PRADESH </t>
  </si>
  <si>
    <t xml:space="preserve">SIKKIM </t>
  </si>
  <si>
    <t>BIHAR</t>
  </si>
  <si>
    <t xml:space="preserve">UTTAR PRADESH </t>
  </si>
  <si>
    <t>RAJASTHAN</t>
  </si>
  <si>
    <t xml:space="preserve">NCT OF DELHI </t>
  </si>
  <si>
    <t xml:space="preserve">HARYANA </t>
  </si>
  <si>
    <t>UTTARAKHAND</t>
  </si>
  <si>
    <t>CHANDIGARH</t>
  </si>
  <si>
    <t xml:space="preserve">PUNJAB </t>
  </si>
  <si>
    <t xml:space="preserve">HIMACHAL PRADESH </t>
  </si>
  <si>
    <t xml:space="preserve">JAMMU &amp; KASHMIR </t>
  </si>
  <si>
    <t>CODE</t>
  </si>
  <si>
    <t>S1</t>
  </si>
  <si>
    <t>S2</t>
  </si>
  <si>
    <t>S3</t>
  </si>
  <si>
    <t>S4</t>
  </si>
  <si>
    <t>S5</t>
  </si>
  <si>
    <t>S6</t>
  </si>
  <si>
    <t>AC1</t>
  </si>
  <si>
    <t>AC2</t>
  </si>
  <si>
    <t>AC3</t>
  </si>
  <si>
    <t>AC4</t>
  </si>
  <si>
    <t>AC5</t>
  </si>
  <si>
    <t>AC6</t>
  </si>
  <si>
    <t>AC7</t>
  </si>
  <si>
    <t>AC8</t>
  </si>
  <si>
    <t>AC9</t>
  </si>
  <si>
    <t>AC10</t>
  </si>
  <si>
    <t>AC11</t>
  </si>
  <si>
    <t>AC12</t>
  </si>
  <si>
    <t>AC13</t>
  </si>
  <si>
    <t>AC14</t>
  </si>
  <si>
    <t>AC15</t>
  </si>
  <si>
    <t>AC16</t>
  </si>
  <si>
    <t>AC17</t>
  </si>
  <si>
    <t>AC18</t>
  </si>
  <si>
    <t>AC19</t>
  </si>
  <si>
    <t>AC20</t>
  </si>
  <si>
    <t>AC21</t>
  </si>
  <si>
    <t>AC22</t>
  </si>
  <si>
    <t>AC23</t>
  </si>
  <si>
    <t>1/S.D</t>
  </si>
  <si>
    <t>C</t>
  </si>
  <si>
    <r>
      <rPr>
        <b/>
        <sz val="11"/>
        <color theme="1"/>
        <rFont val="Symbol"/>
        <family val="1"/>
        <charset val="2"/>
      </rPr>
      <t>S</t>
    </r>
    <r>
      <rPr>
        <b/>
        <i/>
        <sz val="11"/>
        <color theme="1"/>
        <rFont val="Aptos Narrow"/>
        <family val="2"/>
        <scheme val="minor"/>
      </rPr>
      <t>(1/S.D)</t>
    </r>
  </si>
  <si>
    <t>Weight</t>
  </si>
  <si>
    <r>
      <t>Common Factor (C)=1/</t>
    </r>
    <r>
      <rPr>
        <b/>
        <i/>
        <sz val="11"/>
        <color theme="1"/>
        <rFont val="Symbol"/>
        <family val="1"/>
        <charset val="2"/>
      </rPr>
      <t>S(1/</t>
    </r>
    <r>
      <rPr>
        <b/>
        <i/>
        <sz val="11"/>
        <color theme="1"/>
        <rFont val="Aptos Narrow"/>
        <family val="2"/>
      </rPr>
      <t>S</t>
    </r>
    <r>
      <rPr>
        <b/>
        <i/>
        <sz val="11"/>
        <color theme="1"/>
        <rFont val="Symbol"/>
        <family val="1"/>
        <charset val="2"/>
      </rPr>
      <t>.</t>
    </r>
    <r>
      <rPr>
        <b/>
        <i/>
        <sz val="11"/>
        <color theme="1"/>
        <rFont val="Aptos Narrow"/>
        <family val="2"/>
      </rPr>
      <t>D)</t>
    </r>
  </si>
  <si>
    <t>Weight=C/S.D</t>
  </si>
  <si>
    <t>SI</t>
  </si>
  <si>
    <t>NS6</t>
  </si>
  <si>
    <t>NS5</t>
  </si>
  <si>
    <t>NS4</t>
  </si>
  <si>
    <t>NS3</t>
  </si>
  <si>
    <t>NS1</t>
  </si>
  <si>
    <t>NS2</t>
  </si>
  <si>
    <t>NS1*W</t>
  </si>
  <si>
    <t>NS2*W</t>
  </si>
  <si>
    <t>NS3*W</t>
  </si>
  <si>
    <t>NS4*W</t>
  </si>
  <si>
    <t>NS5*W</t>
  </si>
  <si>
    <t>NS6*W</t>
  </si>
  <si>
    <r>
      <rPr>
        <b/>
        <sz val="11"/>
        <color theme="1"/>
        <rFont val="Symbol"/>
        <family val="1"/>
        <charset val="2"/>
      </rPr>
      <t>S</t>
    </r>
    <r>
      <rPr>
        <b/>
        <sz val="11"/>
        <color theme="1"/>
        <rFont val="Aptos Narrow"/>
        <family val="2"/>
        <scheme val="minor"/>
      </rPr>
      <t>(1/S.D)</t>
    </r>
  </si>
  <si>
    <r>
      <t>Common Factor (C)=1/</t>
    </r>
    <r>
      <rPr>
        <b/>
        <sz val="11"/>
        <color theme="1"/>
        <rFont val="Symbol"/>
        <family val="1"/>
        <charset val="2"/>
      </rPr>
      <t>S</t>
    </r>
    <r>
      <rPr>
        <b/>
        <i/>
        <sz val="11"/>
        <color theme="1"/>
        <rFont val="Aptos Narrow"/>
        <family val="2"/>
        <scheme val="minor"/>
      </rPr>
      <t>(1/S.D)</t>
    </r>
  </si>
  <si>
    <t>NAC1</t>
  </si>
  <si>
    <t>NAC2</t>
  </si>
  <si>
    <t>NAC3</t>
  </si>
  <si>
    <t>NAC5</t>
  </si>
  <si>
    <t>NAC6</t>
  </si>
  <si>
    <t>NAC7</t>
  </si>
  <si>
    <t>NAC4</t>
  </si>
  <si>
    <t>NAC8</t>
  </si>
  <si>
    <t>NAC9</t>
  </si>
  <si>
    <t>NAC10</t>
  </si>
  <si>
    <t>NAC11</t>
  </si>
  <si>
    <t>NAC12</t>
  </si>
  <si>
    <t>NAC13</t>
  </si>
  <si>
    <t>NAC14</t>
  </si>
  <si>
    <t>NAC15</t>
  </si>
  <si>
    <t>NAC16</t>
  </si>
  <si>
    <t>NAC17</t>
  </si>
  <si>
    <t>NAC18</t>
  </si>
  <si>
    <t>NAC19</t>
  </si>
  <si>
    <t>NAC20</t>
  </si>
  <si>
    <t>NAC21</t>
  </si>
  <si>
    <t>NAC22</t>
  </si>
  <si>
    <t>NAC23</t>
  </si>
  <si>
    <t>WEIGHT</t>
  </si>
  <si>
    <t>ACI</t>
  </si>
  <si>
    <t>NAC1*W</t>
  </si>
  <si>
    <t>NAC23*W</t>
  </si>
  <si>
    <t>NAC22*W</t>
  </si>
  <si>
    <t>NAC21*W</t>
  </si>
  <si>
    <t>NAC20*W</t>
  </si>
  <si>
    <t>NAC19*W</t>
  </si>
  <si>
    <t>NAC18*W</t>
  </si>
  <si>
    <t>NAC17*W</t>
  </si>
  <si>
    <t>NAC16*W</t>
  </si>
  <si>
    <t>NAC15*W</t>
  </si>
  <si>
    <t>NAC14*W</t>
  </si>
  <si>
    <t>NAC13*W</t>
  </si>
  <si>
    <t>NAC12*W</t>
  </si>
  <si>
    <t>NAC11*W</t>
  </si>
  <si>
    <t>NAC10*W</t>
  </si>
  <si>
    <t>NAC9*W</t>
  </si>
  <si>
    <t>NAC8*W</t>
  </si>
  <si>
    <t>NAC7*W</t>
  </si>
  <si>
    <t>NAC6*W</t>
  </si>
  <si>
    <t>NAC5*W</t>
  </si>
  <si>
    <t>NAC4*W</t>
  </si>
  <si>
    <t>NAC3*W</t>
  </si>
  <si>
    <t>NAC2*W</t>
  </si>
  <si>
    <t>VI</t>
  </si>
  <si>
    <t>Rank</t>
  </si>
  <si>
    <t>NORMALIZATION OF DATA</t>
  </si>
  <si>
    <t>TABLE 1. SENSITIVITY INDICES</t>
  </si>
  <si>
    <t>TABLE 3. VULNERABILITY INDICES</t>
  </si>
  <si>
    <t xml:space="preserve">TABLE 2. ADAPTIVE CAPACITY INDICES </t>
  </si>
  <si>
    <t>Standard Deviation (S.D)</t>
  </si>
  <si>
    <t>Vulnerabiity Index = [SI+(1-ACI)]/2</t>
  </si>
  <si>
    <t>Sensitivity Index</t>
  </si>
  <si>
    <t>Adaptive Capacity Index</t>
  </si>
  <si>
    <t>Table. Weights of each Indicator based on Sudarshan Iyengar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</si>
</sst>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10" formatCode="0E+00"/>
  </numFmts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Segoe UI"/>
      <family val="2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name val="Calibri"/>
      <family val="2"/>
    </font>
    <font>
      <b/>
      <sz val="15"/>
      <color theme="3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1"/>
      <name val="Symbol"/>
      <family val="1"/>
      <charset val="2"/>
    </font>
    <font>
      <b/>
      <i/>
      <sz val="11"/>
      <color theme="1"/>
      <name val="Aptos Narrow"/>
      <family val="2"/>
    </font>
    <font>
      <b/>
      <i/>
      <sz val="11"/>
      <color theme="1"/>
      <name val="Aptos Narrow"/>
      <family val="1"/>
      <charset val="2"/>
      <scheme val="minor"/>
    </font>
    <font>
      <b/>
      <i/>
      <sz val="11"/>
      <color theme="1"/>
      <name val="Symbol"/>
      <family val="1"/>
      <charset val="2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1"/>
      <charset val="2"/>
      <scheme val="minor"/>
    </font>
    <font>
      <sz val="8"/>
      <name val="Aptos Narrow"/>
      <family val="2"/>
      <scheme val="minor"/>
    </font>
    <font>
      <b/>
      <u val="double"/>
      <sz val="1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1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</borders>
  <cellStyleXfs count="2">
    <xf numFmtId="0" fontId="0" fillId="0" borderId="0"/>
    <xf numFmtId="0" fontId="6" fillId="0" borderId="1" applyNumberFormat="0" applyFill="0" applyAlignment="0" applyProtection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5" fillId="0" borderId="0" xfId="0" applyFont="1"/>
    <xf numFmtId="0" fontId="1" fillId="0" borderId="0" xfId="0" applyFont="1" applyAlignment="1">
      <alignment horizontal="left" vertical="center"/>
    </xf>
    <xf numFmtId="1" fontId="0" fillId="0" borderId="0" xfId="0" applyNumberFormat="1"/>
    <xf numFmtId="0" fontId="1" fillId="0" borderId="0" xfId="0" applyFont="1" applyAlignment="1">
      <alignment vertical="center"/>
    </xf>
    <xf numFmtId="0" fontId="7" fillId="0" borderId="0" xfId="0" applyFont="1"/>
    <xf numFmtId="0" fontId="10" fillId="0" borderId="0" xfId="0" applyFont="1"/>
    <xf numFmtId="0" fontId="12" fillId="0" borderId="0" xfId="0" applyFont="1"/>
    <xf numFmtId="210" fontId="0" fillId="0" borderId="0" xfId="0" applyNumberFormat="1"/>
    <xf numFmtId="0" fontId="13" fillId="0" borderId="0" xfId="0" applyFont="1"/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6" fillId="0" borderId="1" xfId="1" applyFont="1"/>
    <xf numFmtId="0" fontId="15" fillId="0" borderId="0" xfId="0" applyFont="1" applyAlignment="1">
      <alignment horizontal="left" vertical="center"/>
    </xf>
    <xf numFmtId="0" fontId="16" fillId="0" borderId="0" xfId="0" applyFont="1"/>
    <xf numFmtId="0" fontId="7" fillId="0" borderId="0" xfId="0" applyFont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0" fillId="2" borderId="3" xfId="0" applyFont="1" applyFill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7" fillId="2" borderId="6" xfId="0" applyFont="1" applyFill="1" applyBorder="1"/>
    <xf numFmtId="0" fontId="7" fillId="0" borderId="6" xfId="0" applyFont="1" applyBorder="1"/>
    <xf numFmtId="0" fontId="7" fillId="2" borderId="7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16" fillId="0" borderId="0" xfId="0" applyFont="1" applyAlignment="1">
      <alignment horizontal="left"/>
    </xf>
    <xf numFmtId="0" fontId="2" fillId="3" borderId="4" xfId="0" applyFont="1" applyFill="1" applyBorder="1" applyAlignment="1">
      <alignment vertical="top"/>
    </xf>
  </cellXfs>
  <cellStyles count="2">
    <cellStyle name="Heading 1" xfId="1" builtinId="16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outline="0">
        <left style="thin">
          <color theme="1"/>
        </left>
      </border>
    </dxf>
    <dxf>
      <alignment horizontal="left" vertical="center" textRotation="0" wrapText="0" indent="0" justifyLastLine="0" shrinkToFit="0" readingOrder="0"/>
    </dxf>
    <dxf>
      <font>
        <b/>
        <i/>
      </font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 i="0" u="sng">
                <a:latin typeface="Times New Roman" panose="02020603050405020304" pitchFamily="18" charset="0"/>
                <a:cs typeface="Times New Roman" panose="02020603050405020304" pitchFamily="18" charset="0"/>
              </a:rPr>
              <a:t>VULNERABILITY ASSESSMENT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'Vulnerability Index'!$C$2</c:f>
              <c:strCache>
                <c:ptCount val="1"/>
                <c:pt idx="0">
                  <c:v>SI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'Vulnerability Index'!$A$3:$A$12</c:f>
              <c:strCache>
                <c:ptCount val="10"/>
                <c:pt idx="0">
                  <c:v>UTTAR PRADESH </c:v>
                </c:pt>
                <c:pt idx="1">
                  <c:v>WEST BENGAL </c:v>
                </c:pt>
                <c:pt idx="2">
                  <c:v>BIHAR</c:v>
                </c:pt>
                <c:pt idx="3">
                  <c:v>MAHARASHTRA </c:v>
                </c:pt>
                <c:pt idx="4">
                  <c:v>MADHYA PRADESH </c:v>
                </c:pt>
                <c:pt idx="5">
                  <c:v>RAJASTHAN</c:v>
                </c:pt>
                <c:pt idx="6">
                  <c:v>TAMILNADU </c:v>
                </c:pt>
                <c:pt idx="7">
                  <c:v>KARNATAKA </c:v>
                </c:pt>
                <c:pt idx="8">
                  <c:v>ANDHRA PRADESH </c:v>
                </c:pt>
                <c:pt idx="9">
                  <c:v>GUJARAT </c:v>
                </c:pt>
              </c:strCache>
            </c:strRef>
          </c:cat>
          <c:val>
            <c:numRef>
              <c:f>'Vulnerability Index'!$C$3:$C$12</c:f>
              <c:numCache>
                <c:formatCode>General</c:formatCode>
                <c:ptCount val="10"/>
                <c:pt idx="0">
                  <c:v>0.70572198599355329</c:v>
                </c:pt>
                <c:pt idx="1">
                  <c:v>0.73453182292392583</c:v>
                </c:pt>
                <c:pt idx="2">
                  <c:v>0.59436376284736703</c:v>
                </c:pt>
                <c:pt idx="3">
                  <c:v>0.53000954502660058</c:v>
                </c:pt>
                <c:pt idx="4">
                  <c:v>0.48661390514596303</c:v>
                </c:pt>
                <c:pt idx="5">
                  <c:v>0.40317382946254815</c:v>
                </c:pt>
                <c:pt idx="6">
                  <c:v>0.30240798261881263</c:v>
                </c:pt>
                <c:pt idx="7">
                  <c:v>0.26928302042408603</c:v>
                </c:pt>
                <c:pt idx="8">
                  <c:v>0.29802079691751493</c:v>
                </c:pt>
                <c:pt idx="9">
                  <c:v>0.25506117737047163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3F-4AC1-B43C-6ED81327C17A}"/>
            </c:ext>
          </c:extLst>
        </c:ser>
        <c:ser>
          <c:idx val="1"/>
          <c:order val="1"/>
          <c:tx>
            <c:strRef>
              <c:f>'Vulnerability Index'!$D$2</c:f>
              <c:strCache>
                <c:ptCount val="1"/>
                <c:pt idx="0">
                  <c:v>ACI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'Vulnerability Index'!$A$3:$A$12</c:f>
              <c:strCache>
                <c:ptCount val="10"/>
                <c:pt idx="0">
                  <c:v>UTTAR PRADESH </c:v>
                </c:pt>
                <c:pt idx="1">
                  <c:v>WEST BENGAL </c:v>
                </c:pt>
                <c:pt idx="2">
                  <c:v>BIHAR</c:v>
                </c:pt>
                <c:pt idx="3">
                  <c:v>MAHARASHTRA </c:v>
                </c:pt>
                <c:pt idx="4">
                  <c:v>MADHYA PRADESH </c:v>
                </c:pt>
                <c:pt idx="5">
                  <c:v>RAJASTHAN</c:v>
                </c:pt>
                <c:pt idx="6">
                  <c:v>TAMILNADU </c:v>
                </c:pt>
                <c:pt idx="7">
                  <c:v>KARNATAKA </c:v>
                </c:pt>
                <c:pt idx="8">
                  <c:v>ANDHRA PRADESH </c:v>
                </c:pt>
                <c:pt idx="9">
                  <c:v>GUJARAT </c:v>
                </c:pt>
              </c:strCache>
            </c:strRef>
          </c:cat>
          <c:val>
            <c:numRef>
              <c:f>'Vulnerability Index'!$D$3:$D$12</c:f>
              <c:numCache>
                <c:formatCode>General</c:formatCode>
                <c:ptCount val="10"/>
                <c:pt idx="0">
                  <c:v>7.5809979249602477E-2</c:v>
                </c:pt>
                <c:pt idx="1">
                  <c:v>0.68368267167950936</c:v>
                </c:pt>
                <c:pt idx="2">
                  <c:v>0.57869974775441901</c:v>
                </c:pt>
                <c:pt idx="3">
                  <c:v>0.53998393927382593</c:v>
                </c:pt>
                <c:pt idx="4">
                  <c:v>0.7573594751946412</c:v>
                </c:pt>
                <c:pt idx="5">
                  <c:v>0.71092188663956846</c:v>
                </c:pt>
                <c:pt idx="6">
                  <c:v>0.67543937119773356</c:v>
                </c:pt>
                <c:pt idx="7">
                  <c:v>0.69369780979146978</c:v>
                </c:pt>
                <c:pt idx="8">
                  <c:v>0.74352389564593668</c:v>
                </c:pt>
                <c:pt idx="9">
                  <c:v>0.7073559355261656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3F-4AC1-B43C-6ED81327C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6668512"/>
        <c:axId val="236668032"/>
      </c:barChart>
      <c:lineChart>
        <c:grouping val="standard"/>
        <c:varyColors val="0"/>
        <c:ser>
          <c:idx val="2"/>
          <c:order val="2"/>
          <c:tx>
            <c:strRef>
              <c:f>'Vulnerability Index'!$E$2</c:f>
              <c:strCache>
                <c:ptCount val="1"/>
                <c:pt idx="0">
                  <c:v>VI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'Vulnerability Index'!$A$3:$A$12</c:f>
              <c:strCache>
                <c:ptCount val="10"/>
                <c:pt idx="0">
                  <c:v>UTTAR PRADESH </c:v>
                </c:pt>
                <c:pt idx="1">
                  <c:v>WEST BENGAL </c:v>
                </c:pt>
                <c:pt idx="2">
                  <c:v>BIHAR</c:v>
                </c:pt>
                <c:pt idx="3">
                  <c:v>MAHARASHTRA </c:v>
                </c:pt>
                <c:pt idx="4">
                  <c:v>MADHYA PRADESH </c:v>
                </c:pt>
                <c:pt idx="5">
                  <c:v>RAJASTHAN</c:v>
                </c:pt>
                <c:pt idx="6">
                  <c:v>TAMILNADU </c:v>
                </c:pt>
                <c:pt idx="7">
                  <c:v>KARNATAKA </c:v>
                </c:pt>
                <c:pt idx="8">
                  <c:v>ANDHRA PRADESH </c:v>
                </c:pt>
                <c:pt idx="9">
                  <c:v>GUJARAT </c:v>
                </c:pt>
              </c:strCache>
            </c:strRef>
          </c:cat>
          <c:val>
            <c:numRef>
              <c:f>'Vulnerability Index'!$E$3:$E$12</c:f>
              <c:numCache>
                <c:formatCode>General</c:formatCode>
                <c:ptCount val="10"/>
                <c:pt idx="0">
                  <c:v>0.81495600337197538</c:v>
                </c:pt>
                <c:pt idx="1">
                  <c:v>0.52542457562220823</c:v>
                </c:pt>
                <c:pt idx="2">
                  <c:v>0.50783200754647395</c:v>
                </c:pt>
                <c:pt idx="3">
                  <c:v>0.49501280287638733</c:v>
                </c:pt>
                <c:pt idx="4">
                  <c:v>0.36462721497566092</c:v>
                </c:pt>
                <c:pt idx="5">
                  <c:v>0.34612597141148982</c:v>
                </c:pt>
                <c:pt idx="6">
                  <c:v>0.31348430571053953</c:v>
                </c:pt>
                <c:pt idx="7">
                  <c:v>0.28779260531630813</c:v>
                </c:pt>
                <c:pt idx="8">
                  <c:v>0.27724845063578912</c:v>
                </c:pt>
                <c:pt idx="9">
                  <c:v>0.27385262092215301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3F-4AC1-B43C-6ED81327C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668512"/>
        <c:axId val="236668032"/>
      </c:lineChart>
      <c:catAx>
        <c:axId val="23666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668032"/>
        <c:crosses val="autoZero"/>
        <c:auto val="1"/>
        <c:lblAlgn val="ctr"/>
        <c:lblOffset val="100"/>
        <c:noMultiLvlLbl val="0"/>
      </c:catAx>
      <c:valAx>
        <c:axId val="23666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668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_xlchart.v5.14</cx:f>
        <cx:nf>_xlchart.v5.13</cx:nf>
      </cx:strDim>
      <cx:numDim type="colorVal">
        <cx:f>_xlchart.v5.17</cx:f>
        <cx:nf>_xlchart.v5.16</cx:nf>
      </cx:numDim>
    </cx:data>
  </cx:chartData>
  <cx:chart>
    <cx:title pos="t" align="ctr" overlay="0">
      <cx:tx>
        <cx:txData>
          <cx:v>Vulnerability map of India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sng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Vulnerability map of India </a:t>
          </a:r>
        </a:p>
      </cx:txPr>
    </cx:title>
    <cx:plotArea>
      <cx:plotAreaRegion>
        <cx:series layoutId="regionMap" uniqueId="{A1B3F4A4-709A-4560-9F14-326D0247DE9D}">
          <cx:tx>
            <cx:txData>
              <cx:f>_xlchart.v5.16</cx:f>
              <cx:v>Rank</cx:v>
            </cx:txData>
          </cx:tx>
          <cx:dataLabels>
            <cx:visibility seriesName="0" categoryName="0" value="1"/>
          </cx:dataLabels>
          <cx:dataId val="0"/>
          <cx:layoutPr>
            <cx:geography cultureLanguage="en-US" cultureRegion="IN" attribution="Powered by Bing">
              <cx:geoCache provider="{E9337A44-BEBE-4D9F-B70C-5C5E7DAFC167}">
                <cx:binary>1H1bU9zIlvVfIfwwT5/ozFRKmTrf6YlAl1IVFBgwduN+URQ26H6/69fPUmHcUFTjtocTMVREd9ul
SmUq923ttXeq//1l+NeX5HZTHQxpktX/+jL8/i5omuJfv/1Wfwlu0019mIZfqrzO75rDL3n6W353
F365/e1rtenDzP+NEcp/+xJsquZ2ePff/8bd/Nt8nX/ZNGGeXbS31Xh5W7dJU79wbe+lg83XNMzs
sG6q8EtDf393/tH+aC2dy8vPB+8ObrMmbMarsbj9/d2TH747+G33ds+mPkiwuqb9irGUHkqDUZ2p
jGw/9N1Bkmf+t8vCOBS6ZILx+6sEl++nPtukGH7efm2xS1U1Pny/b0nbBW2+fq1u6xqPtf3v07FP
HgGXPr87+JK3WTPvno+N/P3dKvsabt4dhHVu3V+w8nn9q7PtA//2dN//+987X2ALdr55JJrd/frR
pWeS+Xh1dXR5dLI8OrNf2oafk4xKDimEwnRdN7YfuSsZRjSVGfL+qqE9TH0vmY9Ns6k2cbDJvj5c
+OeieTJ4RzYfT96ebA7OL49s58PyFQ2H6YcGUzWd0r8s45HhSHKo6bqqManey0d9kMIj8RycV5uv
t3XwcOknBfTX8F0Rnb8pEV0dna7WZ0f2x1cUD/waoTpkI3fMRh5yIghMRzzs+r1ArjZpmBycbb62
D9//c2k8Hrsjiiv4pzfkyf5wPlwdmM6Ze7R+RWEw9VBqnGpEYNMfG4k4NATTDf7NRnZ92B+3dXNg
3mb+Jvl5oTwZvCOVP8w3JRVztTy6fGkHfi6yMO1QF4bUqKbui/kSl4mh69xgD3Pem4gZAuY8fPXP
rePbsB0RmHigN2QYCO1Hp0dnB/+1SYv/f3C2st6bR5cHqw9rXPjwiqZCGTafECYJf2IqBjuUKmW6
VMm3eP8giHvZHGVfN+kmO0C4PzgLv+Q3ALSrOsFf64cf/nOJvXizHTkevS0Hd3oEUzr6sLy6PHpN
qRmHXGNEqpqxz6KEfkiJNFTG92O10w0Ma1MHTQWE+/fIfj+MfjJ4RzinyzdlZKdH9vLz0X8CrKmH
miqp0DS5Vz7ykElp6KpK94K1083XYNz8Bbd+XkRPx+9K6fxNSeny6PjowxWSnZd09Scjkn6oSa4y
VYrv3u0RThAzfiCUQYL34tvJdS430aZukOq8tKL91vNo6I5ULo/flFSuHIQi9+jsVd2aOIS96JpB
d0C0cUiIIbmhfXNouPyYFbi6ReDxN9kveLNHQ3fkceW+KXmcOJdH61cVBjnk2G6Kz14b0ZHYSKZz
OuMHfHbA28lttUl+QSAP43akcbJ+W9I4ujw7ujo6eVWB8ENBCWec76fOEPQBswGy9zMAJ5sq2zSb
+Fdk8tfQXbEcvSmxADwvAcRen52h2iGCvUal8RdcfhxQjENDnzNS45sD22FnAICD6n8R8HfH70jp
6G0FfPfjMTDz1SviZYYsx0DiTx/CvfEk2RH0UDMEUeHOvru6x/HFbSPg5eYh6PzzxOb7wB2BuG8r
1r+3Vx+WsPS/x6E/Cb9AVlKVcI785f7zRBySH3IGAgep531o2YFf77+GdfALbuxh3I4w3r8xZuDD
h6PT17QN/VDFXkuArn3CmIkAJpBnGvvDylFdb9KXVGM/Dv42bEcURx/eVDix5grMyj26RNr7WraB
MoxgBiQiv+Eq+sQ2kNoLSTSklt9cGWibx67Kmgswob+pgofv/7m3ejx2RzAWnvANsWf2kY0w/407
O4KADpZHn5z16qU9+WkXRpnBODWe8mZIHVEE4EwT30DajnzsDQq596zZBlI6WG662yR8aV377efv
7rMjt7/72RuS5fnHs+Mj8xUdHixMcgYsxp5WB4R2iGRGIuh8M60dkHbeZtHm5udF9TBuRzTn5psy
qWPwmNuK8ytKAnUaHRVN1JS/xRbk9Y9QMwoDGvJLFSz0fWTasaVjsJi/WHB+NHRHLMdvy9NZy+XR
1dXqwxyEXlMy9BCNADPjsjfXlOyQcApYsJv1W0GwaZqw/tUA9Hj0jmCsqzdlLzCXz6/LjjHjkBoS
AQdw+JGVABGonKBhhn/jmvUHF3VfqVluqvGXqLHvA3cEsXxbeBlVtNX5R6z5tRAaAw+jcl3VH5XG
HsnDAHmMaqcARvuOpx8jtNNNFhZt9dJ69of87wN35HH6tipiZ9bVwfvFge2sl6vX9FjyUOegvoi+
HzeLQ0o1LlCFvpfKjpXYt0nwKzDsftiOROy3RVYeH52efvyGlk9QqzxdXb6iYFTUwsBLaiiofLeH
R+YC1EWJQNPZw+UdwRxv0rR9WBxqlmn4C6az9yY7Qjt+W31my9XpEfLP9X+AzFTpfasZGjHv+Zed
FFQcMlVnVAVW3n52JLYM0w0aVJNfr18+v8OOrJbnbwoLfFidnKxelbMRhxpKkyr6yvbZlETTmQCL
gI6avRL6EMZx+AukzcO4HWl8eFuWc3U544HXrMwgjxFcI+jPfMorGxTfMwFD+SaHHSLzqpqRwC8w
md8H7kji6o1BM8eFBztCC8ZLaOgniRkkjWDPqCoemvyeoGWIhAm0mAuyn+o/vfXhujbjLwjl0dAd
sZy+LTzgvn9NgaA0BqgM02B7+WXBD4mGuovO2L0r27ERN/8FUWwH7QjBPXpTMeMMtOXc7PeapqEf
Ep1KOKO9SMxA2UVHywv45fvPTsfyGQjLucHvJVvdn7n8NXJHJmdvyzCOLj+e/adAF0NIN1SUYbRv
Df7sqd+aW/qEKtApe//ZAV1HVZv9L1HXnlvsiGtuCn5DzPHp6s/3l69bK1MPVYLMHqXip9KZu2V1
wgyyv75/Gk559Stlsu8DdyRx+uebksR9L/PszezVa566YOhRuodW33wWfSIWMYsFvozKHSrf/t67
bIftz/uzneE7stm5+oYMZn10gjq//YfjnL9i2MHRGCZw6MLYPRqDyM+ZASy2E/LXmxj1/a/97W3x
87J5MnhHMmv7/7TV7NeUx7Tlk1/85MlL9MDgeJhGpLYXGOPkJWCaLkBd7s0Zv52H/PvV7A/934Y9
Wfh/+HDl3x+8/H4w1UYjnLM90fro7OXLV7ePh6O2O0NfYpXv92r19fd3aMujlMMJfT8rO9/mSeEe
LVzfndLfHKh4cqdbdCD//g5ks6GhN1ZHO42K7sC5Gt3jFBOusENGZoGCBNDRLSDhGrO8agKcwUXZ
TWiA2zrnHGfTKOyvztv5EroLNM510NcUlR/8gn4/Y3yeJ6OfZ9936dvfD7I2Pc/DrKlxYyDG4v5n
27WihQEd1FgZDi0aRJO420HxZXOJc8zzr/9fXZe1nodD5QZ9qpqRlt5khYwdVYjaDLyqWORTctfo
YWFNRnyT05qaRq5Qq+yIOYa5arYyq21v6DXL68NPXT521qNN3rdE8nyJqD4SAxwldgStx0+XqHYe
iMvYr1yZeoOpTJw5flCq5hgY664sN1wdzvS6tWuf1Wasl5H5SwvAkTSGrQJPOu/hoz1iMS1kz5PK
9XwsQJ2Gzipooppq6DlBWTCr9TzPbI3muA3K1owo1vHyEiDuXSnJ+aAPBYehE6mDxHi8gpqHrErS
pHSr1h9NNNFdtYF2FpYZ0Pt3hd6z13y+0Y46YCId03DURpi686j65NXNOOalm+Vdvmz8xliIprjO
y9RYGKMRWqPu5Vap16rZ9b1hCY9ka2VgF1pGs3XqScVRFdXb1JHWO9XAyKUa086a7cI1tKFatVk+
ulXKY0cp+GDGMReOpheFWbVd44jCnxZey85LJUigf9jIsdQ/1169IlUtbR6W3rGfKdJUWDG6tTYF
p6P3ceo5tDWdrnIqtQUf+uFsqOM7qk6xU3fJTaak0k4q72ySxm0XpJfqJP54eeeALnc2DiZB4Jip
jjofl7MEH+mImDKS+GFZuJrqSSccxs+R59mSV43lMRZaPPANU5SdsXh5XjZr/1OJcU3VdSGFyrZu
5OnEaWGIojZk5Mo6SBzZJNFKyKlZMlYw21fr2g7F1Fl5xbSTdIRBZ3VUWEJmEGgyMCcJ/EUra8PS
BGwKB85i2/CENPOyH90k8hoLbwvgsTkqGXN+sHYkTLtrR7Y7HzwE16MLsqPWpDV4N4ogcQ3KMrtU
NO3ED+LCUjvjMunb3IlFk7iN16RnxSBXnUpXfewft4lRm16qr+4dEB8WubbWhT6Ysm5V01Dw0GLE
0+iJGlqDOn15ed3PZc3ntyPoGt6CMB94QNR4LOuGhQqpOiy7VyrV5BxOAT0r8f1GV3phWGXbGJbC
E/Yj+9yzYWxGZDiCQQk6Yp/O3LLU61ujSlyvqwuraw1pGmFTA1S96AX2zKIyVLJx5NBQ4XCezpIl
RaoqZZK4wSgyV1RlfFx5wc3Lk0j+3K9znCgVjDFBAT3ZjvTztBIiiLrEzVly5wmvSky9NjLTz9Ta
FBxGbig9YkvXNE5Gp/g41ZI76vPpopgiR8vaAHFnNCzKO8NKG01xgskny6SGksdRz6yKKKGlZvJK
0ZVxQXRxxoaxWoV9K+14aCOzo4mxUNS+ccKEMEfmmksG+DeNDswKS0Nx8hA/qwONrtGSlJlRmxCY
B8bzUkpznJTBZBP+VA6Dsox8PzcLFhqLrFUyMzAKvmCs/jQ0sjZZ0Uem10Q36RTeaJF6kRaTd+wV
kWFyNbqrWJsv6zYwTGJkS2UwiNWCaVgkeXhX+Z402xw+t1RFZsadAYWj0G8EcWZ1RXKjd9BBHvsf
y6mYFl1iXAVQDktpYqxbvchCQ1n2QccclTXXNIO197P3Hse4/qMYtNrkSiXtYciYFXNMlhgR31Ay
wi0zEdtJH97U/iBttSyZ5etJaYVM+zOrWGT5bcouu7wHeAgnBOJJVxyRRHc0wEN3fiPtNMV6/aa5
rFh8q8eInr2arP2+76xOwnH3bVE7MQKIHQ1TY6WVci1IUdvcqwzLCFRpa1L1rJbXwQK+LHNjLbxR
OcShlXpoKTUicDI2qpnydK0lxYeIGldlnaYww6qxY08GLsCPisDScStRIZqsri71cCJmWrTvATBc
T2Q3FamrVd0W3FREUjvGAGmmI5xlVUa6JRN9UZbJXWZUzNTL7qRsupMpje8SkRnuUI+17XM8aN2n
mtmrp54KDZRZJ21GxFns5cyiJWJArPLYZm1JbK+AnudzyBxz4KuYYqqxi+8UX4HGQrKj8O80muMS
KbVPXdxEkLjMTMbT2h48/y43oBNZAG9Nwl7aSpCvB1FHZhAjUidTeqPmafK+NSix9E6RH2qWLKYo
uEHfRL4MRlKd6J64Ik2CZwQ8XetRC2w1CwbI4KzWq8aJKYLHVnfHHmpDCoOZtZc0ZhGEN9IDZtR8
9UKVieE2Y3IjSReZMTScNjCNreJWE9btZcNCDDxzaKq7I5NXhQEgE5QkvjeBFBpGqXqBV9/UttYB
fHJeTKfZAGG14Yw2FNwvTwvVlAE0CMc2M7MmMJeizYnJWBese6IoDu290CoklDZvwpvtwrFcoJg2
mxaRgphmGHhuprX1H63RG4u2IfDXxQBTE0FxmhtG6YQdZCdGI3amUqyoPmBNKVPMsDEiKxq6dd7n
vhXFXrQYGi8zUzgwpZ4dltAwBs8B1Y3vBZwS7YIl5XVewK70IbordazaK6ObrbtoRXzXDMDRsoMn
yCIfE9R6bTYJIkihj5FZ0aY22x6biGQAeGgCngJKFman0aXUWLROchnbcQmvBEcVO/pUXGssX2+j
k0GgxcTHDmiUe8dMj+5G4nnnLMoXKUCSFeoTd6o6KxbawGz4069ZAmeiMmhuBtBl1nX4sa5hx1zB
fTv42ljPsSGD5lYiuWmAr2Z3NmbYiCDRz7ZOqdXgXoKmvo4GrC1s9TOW69OyTLQL5DuZG1KYii6j
m1EJI0uqVWQmHYS7zSaCGbDooao4c9jRc3G2fcJ+jO9mkyhD7WIOBUJnF02BhW1lUDDjLEyV3iSZ
R8y4X0s/0iyazWqTydT0mJY6Oa2uScTpWquiu7jwE6eaoCoVgTJuPZ3kcCZaIK/yUYNH1SfFgTfp
39dybJxBgf1GsEynVyaMklxZJnHtHTezdAYFmqdN+XryM2JrEexwKKbheOuJw2EGYrqf2H0oETM4
YNY4ySuRFOVkYoSOlchhUQ+4KmsIoA3bYhHm7bRQ4jQ8yw0S21IrEH5qeAToMG4/xxU1xqLqGTzH
unZBK88Zg3h0VS+HIY7YyFnDhgm/DArAdHiaRTdBVH0OpasMOJ6kgFqlHbyP7CAa1QCgmKVbR9V1
mMHCRQCvjywoc0sfNyw7ZAVb/5vM3tErg8zNYqqaipHnyzKqG2eOcZWBCfwAWq21MCAxxWtdx6pZ
CXcTFTS2t3C4DaPEafsqPlW8ZPxIgjJfihTWrQYAV2SIb7a6kjXpTSSDu2warjwSjQgYVWl2HbZ6
jjaeAb8YNzABr2ri00Hosa0rOjF5lzCTN1VsaixszbbIyoXoJh+yrcKzPsSuanTG55pYRGUZLJMi
R8Abm/IMXrI8CXnQrHifqWatpbo5qMFgt3QyFnHbSyfPDc+Oyoabed2PvekFGllWxeTfBGJoK8Bp
Hi46WnRmI8PaNUQAqDGEd3mZX3tV1iwGZFZfFCOePqhJVJyQLB5sv2g+RFnpu8hzQpt5lF6j1TM0
p3TMgIjV0A5a6tmqOpGln5QLbUKa1OX+DA2KLl9VWiDOaZs2Vj+NzOK9p0ATynwl5wQuDoCTy6k6
U2nAF4IP9JgY/k2rJIMdCVZbXeypFuunehH3ZDqZKphTkcHZz2leLorYDmiIf8m6XmhaHywNJS3P
Qi2J7SGLQqvPk8bReEqsuq1yc0h8DoxSdkjQYkTeETvWseo2mgDYmk4rTFpmyZJ4ReMwwVeNUV4n
RipMoy0ms1P1/rRT886MpVq7Ba0iK4y4h+kj3KzBzThtce8pa82Q0nZRtdpxknd/+onf38ZNFSzT
Unp2P3iBhQTqSyF6J/LHL+0A8KzQAE5LIbWVyy42lbJJLGhDZUZxFpp4mVBnejxnBDlcqJssVJdK
FESWWvfE6XxuAzyfK31sKRUcQE3ahT9WoSN9yNQPTpW+Oglz+F/e9R8p6Y8rPZGmDNMCrly5LXQo
n+hZ7LCBMidulY3WwOtGJVVXzcQv/DhiZlSRdaWosZ35cJkkamu7CqmyLMOA2PWQwmrnzGeKi8gk
E9xS2IZ3dMiNRRAAP1EPnibPgvGj2vBylvBk9QkiEM90766PlNxiVCafsrLlJ3wi1x2Dq1BofZ15
oDjSuKy++JPB4d6y1pl00bhxDhAcDOW06GMgJoIcLjYjhcFxzX6cK/FaJYhzPpwDoVrjKF1uuG1R
YdSc0WsGwJ1QYaayAJDJCL1QB1mZSRbGVpVCb/NZRZEwu7zvb4yulW6cdReBhMZ4RlqZStbBaSIU
zOvsJLmgYB/cWqdICxGtTQMwu6XBTazl1yRugZE1clFPQ2Q2REBDg3o4pjTIzZCI1i6Ef54l/boY
6Z9IIMsF6bTqpCas+tgq8ecIMc1vhFuy0TjuKzg11kfxadRjNRKoyqyNBuh6dqdTk06ncYuI18mm
WPSavFLD+KYY0zUAxnA+iaECClRPiwq4RqHGmkahjrxRhlbD+tBMhvSDwXqnY8G0aFiCZw0r/Yz3
UXBOKlp8Dgn2PgNMdmgsVgmHhhUJtKFVZA6AhT1Nkx77jDbLT7maVSe+EvZXaakQs6mgbmwmr0J/
tPo4DqxRwq95NXBOXAbDmaKorDV1Y3bSKbKVriuAvetmwsMCY7KpK9wsjMwyr/Jl4lPXI229okZ0
lynBnY9oX1WIQ3Wmnfkq1rmN6M2AJGyGO+Wsqz7U5MzjGrI8YAIk18yJ1FFxFCzY5HPMzMY8Sc05
a5kGEERC12K79avrPEXo6fq2f+8XMCnQ6BB21mRu047e8Qhm0jRIMryP9Sa+LNsutFJCHcUnnTWI
AOgOGb2zjXJVk2frsFMBo/gobR/n7tZ+gWkSBh0eAnX6M1VF8LUKB8MCa9GBAWk1y8hb32oVaJMx
et4m6WvcpUrvyETITep12TpB1NtqP/JNpxFReIxk9Q4kBJ4q0S/lELo4A3uR+QiTtYfIFRXK7UxU
aXwql61vdKdaCYmM8RwDfehnm7POqoGh4BT84qIyshTBzCisgCqRxUhwNoZwYyAjYyfFe7WsWGuO
lXYK4XGLk5FNk8NLTD8mEniVA2CFCnufVF1qtlz0phL01DYCsFLQdoS4FiLqMn6xjb3GADsNuHf1
cuI/cxQ7hBVaSQUVeLUH+nzIDlPWspYUQd7HLp+3aU6peIOHFvXQOJXGL0If+vfylBo49udzSh1t
Fahz4f0VM6PziJ3rok50fjTGrpIhz41VcMRa01yXBXjIiKTTYlJojI2DYjVTMi0ClrbwbsUnrfxD
lsUVkSGF20BuPSObVhDFQZ3mKu78c8KGyVJToSxZUrV20JPMKvruXE+V2mayAeZu/I9b7nSblgnK
voZNGtzpQ9NZWqNf0HjK7F5p6Jrp43CsF0O6HhQKDNnNOFgg7WpUuK1KxAwpvQa4pxB6n/e1VJWX
rfwaKV51ktWlYXF/Bp5BmJs60mxb86W3iikdfp6VRxFCRW0CzXMgItQdEixKwiD1YZyuVyONlaL3
jusWJIjOgPPSWPsUbn09SgdW3MLCaQ+c+rJY9/BweIUSiD30kqF8s0sfqlKWWsji1o1Ezc2aTcGy
rgDNAr3kZqxElRXoHbG6JFR/wJDRPcwlGAO88ERFJxsDffVUoeBMaBvGRuvKcuhMDXHEjkKFXoa9
ntp8Koo/WxJ5jkem3My16Dzv0u6DUTB3VAd6/fI2POfsOfhRbe5jBP0M4P10LWrWEKSbXuvWniqd
pBylU/r4E03yq6GuOrMLlN7O+ipZhn6XLl+efY9pzV2V2yNi21LW09lTPKHaZErjlhJgLAahY2VI
KH6gbnucBlhmpumaBO/5rEyFaMo0VMkad6Iht9qpQfoVDX8qY31WG8nnsUnCH8xI9z0YTr9Di/A2
XNR9ZhV45DPKrPIBS9LG9cOoPvEaEOZhw6sV7BNUTi+vAoRPsyBgz5ju36RDMrrdQAtz8MvWSrrw
65R8enmv0UG068bmOqKORlYc/HrmOgslqUKDFFD4OPozL7Tx9h78xhEwXjKUOIbyEg88Vxl35sPr
sYTgYP2lMRcin25By4Sie1lcuzIUZxXaA+1M0TIn93hoEaBmk3b6hifRx4Kkq4SIj1WoK2YX9qct
i782sk/MSQun05eXNVdlny3LYJoGVYedoc/96bJUORSjL/zaTY0OPE0C8KyXsPuWZAiZjK3avFwH
IMn+UJuiWNQ5RKQEKShdJb+m1QBiCjjOTArGTLxpeATIUM962lRmE0Vf9HqpNWSwJw4I0oiVWqsX
DBin9YPCTP02cpTGdwIBpkZMfmA1GWpLc9Ux1olvMpJEFk+byKrVObcmhJmJl6UW8ZQUWwMqay7b
baNMNJFq9fLesOd7M1eStfnwk2FIfbeea9BuaJAYFq7vIV0YtdK3RON3ZtKn4MVE2VhjoIagDlJu
Nl1Hto8JatXiSZkDEApQtR7CzhRV8XFBWsXRCKpE3YybpxiotE796RSURGxWEkyon/4wWtPnJS2B
t7LhxUV4mS6K0mR+xkeWBy4DTrcC2AQorc3IkIoNTq03M1Fdt0zLzUBP12jTqxwaidJUknBR9aT4
QXR5rvx4p4IB9cI5CkIE39GyNJrUohN+6RZjdcx6bAyDJoRZp/9gIvbc06B0iHc7CFR4BXqfdzwN
qiBeyZK4cL0MrGAEEELHeFqUosnukqkGwyHASoUzu1wObW5mcYXFtMZoeWnn230R3DCk8GGPepNI
ke/FSAGxv7GTzzljhuQd/Pa6UlGbVxPQcIqH3OVlxdsnNBTwUADFsQdNe1Y5zpC5MjoFhRvUKbVZ
wkOzyobCSmugziEdSkft269zvjTGoJ/aMrgbU/kDj/XcQQq0RaCeiG5m/jxMJKytRUFp4RKe36rG
WFrYBkyWVMzqxx/Nxp5XsIRQcYgQdV8VvZ9yN/LmtJFEZwXql72/iIt8tOey5FQz3zKor4HABaCe
GhQ5mOT++3TKr/Mhj0/1FOCeE/+mkHQ8TXg5LTsk3mbMY2TmKTJ7xau700jt378spudxFCvW5kLx
3O8FBPfUtCptEGk9wLSEMoZuXheNrcRgIFqC/AlUNrE7kvygaLkHfWM2aATBG3zgtnctKcHp8j4v
We56EYjNMlc5EvGBraOcD8sgbcCn+lmKjLZd1aCnTvDazIstZwi+XXFSlhM7zEAheCgU2U3c1SBC
VXoMaoUuSkDLQkWKGehIu1WtuWYTsoktJ5JRJE4M5edFI2ZvFmrga+fyC2dteBEjo7LSXA2WfBLc
9dHxZoWe+jEp2WRSBUW9Au8iMCcUHRaBmJG11xuuNlcoBbK4oQdPsq1t5AknJmpuX+ZMWA8bTDcQ
VCi8P1VlGKyiqPvFNEENXxblXreh42AxxeZygp6Np7Is5BQGFYfb8McmOI9TlDEpcokF03hjgljO
EQOR5IYGuwFtDjZbg6CzvpR237LEyfSqPxYjOKKtr09Zj9LoGBbgTOtCs5uGfd6WNnlBDfT8pNVx
inL3WRBBCC8/yax0TzNCCf8K8IqOk/k93Dv+vvI5SrCVqN1MIBi3Q5/ZqZhNggfdiV8ZqWXIKf3M
pSdsVXTxD2Imf+5/JeMCrz7mSA4p3e3vMeQQG/2Q5S5JUEXLWTWc0xh8v8T/wwElT4N/ygottUI1
iFcthY3EHBFyUMBjh/OftDgr7ZaI1PYnqCliFypKAgUgfeR/Etoex2N+rdQgX7f1B1AbVAHP5w2R
E3hBda0VczVAA8kegZR0STpzfMNM505FeFGVPf9EEs0uiLGuOhaamj5pi3HueUl94w7/oOiRKOSW
11HiZhINNrFAufFlIe1BFpIBfeN4OxpFCV778FTdOtTqsqgPcrdEkWJbIEj5XBKmqAgVIcxwapLe
9ONpNZCYmFMIxOCFn1A8KFbbMsxEWjROVYZqIVpfJLN/K/UrHk0h6uLF5wwVfdsfUYsQJB3dl1f/
3O/hzWFAFLD7+bW7uzlS2yhFnYJ4cRXJXeqhvji7ingEHblloxIv/YHXewae8X/IgB9QkZShzQGB
fV7SIxQT0Nobqxg8B6jtwhyLRpjhXLnf1mLqrXhbFIU6+Bd0cqBppJ3LgF1TSlPNh9apyip2NDSz
mGjV+JHz2A2U28VpwLWwt7lraL7+aHH6KKNIibPYDQP0ETQV1jACRrRzlTWZd+Xl7d8z3Wzi6FRS
KZKJZ2EnLrQahcjY7bVZa0W6HhUAKl5Dd5A7/ojvmZvHn3gUAR8Hj4KOTjSyUWSOTx8vqDpUG6sw
cIMg0NZG2HH4wkrYAzcWKDUZgdnHQCTogkTMAAxdhlrvLSlVsjOec/FHz1PjPOrapa6272tdDk6p
N7rJ+650etioDaqjPklkkblGP+pm0WThOlMjA90qKaqbU5Mt6hA3D7tKn2vXFyHo8FXUZnSRR3Vp
KzlL7UjKYokchgeWkoe9zX0tsogadKvB6xdgJEun8kvupsxXj9HLoaCiEr+vR8ItpG2qK5iKPaRV
uNZLJbK9KPbfZ8iTF1OndHaSSWm3AS4ETLmhc7cd7cv2YgRQW6SJF9ki+B/2vq03blzp9hdxQxeK
pF6+B3Wr1b7Fju0kTl6EJDPWXRQpURf++m+1J5OxlXF8th4OcIADDDCI41ASySoWq9ZahZtaKscR
acPAQ0ZQI61eoE69b6vGPwdANQAOrArLPWtUe2g7WpybUo8TkBZthZRV6ic+V+IYFngH0qUZ8rt3
3UCvs7zw9gTZ4QvBiEUuxrpfzBT6ycCr4A1D89eBOkdHDRdILA8XYubgvv5yscNM6ZDUOOWBoBDH
p3uPXwM10vYOKtuIpUqvca47pdok7Sa68+1CY687LaCs6F7ogaF+YRDXc83LfVHn32uv9A8C0MMI
JwNDfmek8UJEuRdwkHva6vaAIgLdnbISB+Fbcr/IiV6Gp+FLOVwPuXcfcKBNppkBSRIYPza6aY9e
2Ys3sj/rwwuwPxgULBhxDBzNSST+uSXDc0JvVFXikGub6HyJkCJ6w3rXzvPpERwIQ2jMMfRsWE0w
bmEBEgGZAGCg7PZyRC501COuGZ0FGGTwFeaGvHUrWgcFeCh8J0Vwg/sE3MbKQ2VEsJLlmh+U5CpG
8UvvOusolN0qF4ABlPSIH/RnUjvpjg5V/0Zay13H9idyKgJkyO4jzekj4/JyXhfV1GPZSH4wrCOo
y5c9Vtu3+7I8PTANwrMuHEQCb3ePtEOV1JSNH37vNZ8QcM8Do6d3QL7aw10GoN8TQPz52sJsNPc0
YYeSVWQ/Lqo/NtTXuIg7vY30WIS7onH6r7Nj03eYSPpOzkCdtoMn7kjF7T4fud71Ey0PprHiwek9
TKXqEd3l3aGpcn07LUt/FmiOzxlyfqkUZZe8m9RHLwMqIZpbt0imcLjxedZF+UjqN4Kv4HS5ffGN
CGApxCV8H2ItINetgr+lGBhVOEIPBlZ1Ofl6Pjhd5u7CUY7nTx8Rmry+caaMX/Y5/gKFx3QXWsfu
axfYEYsQbO8jF7Hz8zQ7hlku9lyWBHbt9Gez9R47YDGOZGSAkInR7ovMf195jR93uhjPrc37Y62Y
BgLAioTNfERVu49JUJZAczAV12ywQPjIU429JYem8+xep0GUdfl8qLTq3834l4eOjYBY5NntQgKy
Y+lU3yy2+2h16cMJmfNgMnhZ6tRRpvLxyiv48EDkicv5u5Sd/8tJi+lERhyYSo5UsL++a3VhmBYW
96ZDVmnkTgzRO16Ol0U23TUNTXe+oe7BDi6NCrakOw8Zr10ZdOJYiZpHpED2qkJ9eVeHMLOyHfML
VWXOV7WUHOXl0F5gFHY5jtKgIkzbIxJJJsKks6Ryxu+27MIL3PKcnTMAshcMPT0oT7UA9Xl6R5j8
aOrFHMaZ3DdISO8rq//ryOZ0IXJB9j+pYSKqX/mNZS5yFNowAWMdPAIyL25OC65NV+4mNxvfyEXy
X9wvdXw0EsBRiJxDyNeI3MYg4eKYAW4CmKB9iWLqA9BR+UVnW3fn2GY++E5avsvZkF94QsNqNWII
d3Ltfh4VwlAxpTvUpz6NYXo5ZewqtUF/cAFVmdn5kpVyrxZszrEEbhO/u+sQ2OxJiMnVJXygN2FL
IvZ8lL2y7z0JRJqr7PinK2V/ND4WssPN5rLsHRZXmZ8dcuC6P0xjrW9RtU73rpeP77uisDvqAWxQ
URd5GmZVnBHE50AkhWcoK74fQPI4htWC7W9Dc9Wwll9qUASuJge+pe+q6tCfXgfUgvoUTY4fgiUj
+36EryT5KJpd4PHyINWArTSQ8p3nSIciQeR88VNeA+fhoiab55IcQt0gdzpm5KAwkVHOXRbnSGgg
jEKSzL5xtP2LuWCTnPpwnGhucPUvPWzPWF01GaCdQgNZUgaYP90F8LCSyj0PZPnGLYr+cpZSFxkh
nCc+2htQJPNfPrBECz+G7wgO7ojQUoBB88WbJ5RoYVYp4jvhxUaKIRmmmRx80hDAxFR+4ZaDOC60
6PZlnpqoqWXzochO4KMCh0Jl+6CKRFCSgzd1cJsMk68B3dw7Gh5sGfAdbiHKnXGEGy/aJPOSu0C6
0Ltp9B8ocetoCfldmhd/4CZuog6lzItmIPyYAVJ0lbWFuBlw24nzWqg4HGski9q82zfTPCQMmauE
oiB9QNkcbnjEI+ew9t/IMP66VCjxAZGOEAsX9WB9S2dVC2SwlcGhbhoEIB2eB9hceAbMkTjmNlBv
PM/9NbDEtS3AtoCgW4hSdbhyJQLwNuVlGT0Ax+THxQJkqOsKdlk0KES11skv5pAWcdazQyeNPuoe
C8Iq5ceywfTyqUUpYOLpbsbNeRcaHFTOCCtxJNUAJbhD0il8SsGkvm16uOugPR3uQapx8hT1TdDK
r8tpobI2SIG4hr0yt/4K/KKKSwZUaCkLss+Qm7yXAoedZeKqHvPqgCrDo5Kh3NspeKx4/dXL8e7E
GebDIlJ7gbyWF7tmRmJF6vvewk24BJ7/6WjtKoRaWmT5AxBlfhw2ANy7APkCIwJHFIY4JXNY74XM
a+diGuiQSHY6TZsKYPAOcUlV4JwxjbGRc3JziwfXqxuzfGstdlA1wkVYhQ1aad0fgYrH2VNhY/dV
pz4WRUUOmDc/rjVeqONc7pFxsfuQ5KgCLGr+8bc1XEWxGHLQnOA2L4EM2RtvUrsZdf5oOZ26Ze71
Z7SoOPwMPG3hTogHhtliEuf+LB8cceUqVNNNjT+GQyaOPYdza3P8ipMhgmjTcNj3EuBvYL6HRGe9
fle4QBG1QyphefhMErjlu5FYu+9Gt4/NIlkCjlJ45jUF5q4ORFJb9oEt/HsDvO6uqql3Bsc2XoJT
48dw/tjFwSKSUdUIWQqE0U+eMmSYPiBN8QQCO+tCRDp5g/nPQ3/ApR3L8RQ4/GBa3vwVcf3FDPwu
UbEoMqBvnxiTP//4P/eywX9PbTH/+eGpf+k/f7r6u/Hp+rdOD/r5axj4x4NPJMoXf/iF0/kKa/P2
qUXqK3/5f0bpdB3k5OHWn0VQv3A6f7L3/2GC/vPPfhI4Kaq/qIQipDgRof9hbyL5LyAjjEIbAlQc
HT/Ym5AfpD+kt+BAIASNC9MP9qYH4S5Eu7hIwY35yDey/4a9iRL3i+gZF74AKRyUyNBXksIvhqsK
rR9mRLoyHY+mV/mV5+bIxcneva2rmzzT7+yQjvHE+EXndlmEYKuLUs2QAOtV5AZuE9uyMpGl/E64
w5Xnd+YUn3wZ7bxEorwCqEwDPW1wCDX+Yz/r6jpg4wzIZhF2N0bgIh1RW3/hffG194l7QGoieMjZ
VKFWlw05zink1Pt2L+z8TYWTGxkzf/PSLsuiSgXsVpUoOuYTrEk1D3023LTMIN/F82wHpNRuMVWc
D92sUfJij15o0zOEVPUnHRonHoapeSdMEeMsOwO+FGkPOt31vX/lhxXAhEvsSgv8HErIkWrnR9a6
NZJcThjlU/eQEjK+o9UEEsng6N3Q8OIy7ezF7FUXLQDY8TSYrw3Qbns52ylyh8CPeTDke4/iOuDM
9UNH+HQj+xJgtUI1+9RJqwhIGcC8AR2UqPyO8ltlXJy1Y3WJrPUFeCJA8/ZFMvtMHepJNnFJC3th
RrmXBQpCqizyHSCWt6hdI1NaNaTaZeVwRJRPEf0E+qPIb4CvuUcRUO3AmozQCvaGyum9apc9uKmf
BlSZjhVx9VVZh8W5k+vHpmn2rqSH2rEfHdEcR6+OwEGeon50qw6pRkOjEAj6eDTkTmfB9L2mYolm
5ffXuv6Ky8p3NtIbNy1NRDPvuhxnflMi2MRaA0XtyebQoTp6WSMFdZAcGWEXqM29TZ3rDKiluHD1
mWj8My1QIi80FWekxHr7SzHuB5mfQKvjCaKS0l0R5C5gPD3bN24D6HgexjUCm/0EmlgEAC8FA0MF
702VfUEaedqBT4S3ds6dxXxWS/WpWniTDB0eDBRCU/q3lhfe7ULJbSiys7nBsSl4e65SQXczPQEZ
ge2NRlDHzmuAaJCsmQ/pNNtocb16D8zYodMsPeYlH6PS8m5HCoKSSTvn71IUDKLF4+llzXJn55Xk
gyf9yxMNCKBQgI68JZe7LtPfaGPanevLD8gmuFE+TJ95pac/lw75fZvRPx2dXqreu0AezdxZ5Iwj
IEXBaiJU7ADU0/E4q7PBNW1sKLkpRlC61Fy9o07QAshZ/NGi4WzS1yZxDbjH0nEe1Vi9Bz/Bv1B6
MqcoZKck9mYJgN3OH4CaB52qBE0O91Et5b4zc1J2HEwz9kel1KcmyG/nsekjZpB77rEBD4vO3Sut
vDAi2mvORZHHI8YBwCxqXHPm8svZ+vtC6Drup7C5yUYeS+5cz4vAPtNzke0CHT6Ict4v0uzUkt/Y
pt31LhmOtF4+TVkSgrvxLZegy0U01O5N0wKtxy0WPidXrfD3EkSfaxbQ87x+DGrgFQbAkYfcuSaO
HCKBlTw0dArjAA6Nt176dSpvhnBBwQaIfKDmEcR6bhR0/BbsTbHTswYTL80vCzYuh4HiHAfeuynO
lZPDVaK2VvyZzXwXSB0b7EbkXTyU8qaPixvEfCQ7L7vyc6IOzcij3uqdXPgOfJlrbMITWwmIk8B+
tEj23wLODdR9DnMoEIOZWxrMzVk2ObeT6HxkCoq7ppMgnTk5rM6tItPn8SAHtutJdQDwAtFYz8WB
DPSxK50A3zp89ZuQXDQoq0ZNM+2ARwfm5daa6ixruz6aU3YutXnI5EInUI/H/MPgN6rcDdZ3ElmU
QGf3jQOP47n9x0k3zoNYzIAqRVF7nxZkLpGkN97yuUCGNNtVflUmfhFke9uIMfZQUQSnw8p9DSYQ
UiAVKhbG7R47mNpxISYtEtoE4DMiKrVBhPVxDz1awep9MTwN7WvZ7Hgjeo5XJbzdCSDU810vJRI9
CLWQLyh9r0ycLMzcGPeQdooAhi4BSfZrxNgdyszqYNyiQdVEkcrfjQ1KtYMY05syCOyxD4041U7k
t6U2wLqC9hmVpbr3W3kRqFwcU+vaG0A1hxj3CiEjgo4OV74Jw5i6i4tTQ2X1rZgYuaTtkN2kTlXc
Z6PHv/qkrwqcbkC4uWDHJ4V2G5PUi6AfJpMGCSo56bvMoLgOr/EQjn4j46bu64scHL4Djus6qhz9
tQ2n4MZWxTJc8nCg4IcsSxdTZsSD4NZGrVOw4+wpL4AzqoqHsU3JvUuWro6oKeqjsbS67gBmRcV8
8r8EAP2BjCALXAwCGpxlflCz6ASS+ADgTt+AfRo6x65aiqs6lH/QquzuK4/YuK/ArqIl7uJ21uRM
psZ+lSzzMN2skWAKfA4q+kmMrgWtTXr7pWof5zHUcS0MEOz1AI4AEfx0MczIH5jw+m5SLkjjwNT1
cUlGXFplGDNDFTY3SCDW97K4J6r6EE48clNgqgZkmQ7QlCj2NK8RdjM/bb8p2w4TaJWoA4PCCwQ9
8nM4ffhQdl/LfPHPbN33914TpLGjA+z5qknZjetl9bUg57NH0y6pO+ueuX4efPIB3trNc9l8UT2t
wU+FdWl/Jjm4PMbcMSSslrqoxsiEznidOemtK9QQSb/ukD9rfHsD1IbrXrOxraPeBzek0xLwmlNo
lC+LC/Td+Ec39AC5FzPQctl4VupZfexEb2PFSVRXo4omD0fALiyzv0oA/9di9+eh+/8kf8qTKnn/
/0aAjzwnRcz7M0X6S4D/QjX6JHmC8P7HP/orvOf8P9CkRudj5KaQlMH//47wIdsuXKh+hBwVRHSe
eqbP4on/CFTYkBxwQxfYCw/Xgr8j/FM7cQBiUSo5iaoAbPPfRPinftfP0+MUDfxwwaBoe+FTSA2I
VYBftEHX4PUUHE1ul0hNarg3YzY95OMwXvvzdI8UL7lt/aGvQL/MgfqnYYZzzkX1MZjK+nNT6fGr
VrI4SwFYjsFECHYWWbzIpcNwKGqwKWfmzLcYPo/6cupusqKp/ywZ+zYZxGKTBQhHlUDcMiTFbrpw
Su+RFpFZpFwgLCVtvkoBuh3xlhHU4Kq6WWRwC5LQeFG7SGwh2p0++iVzYqe0KcK60OzDapB3IM89
zKSkANMC8tZWao4ZIVPitAj4Z88r9n3f6cgs6s5p/DwGa0dGfjeEt91MQAoxg7qjDSUxYpQGtOXe
i1DLQy03rVQCVu/0yVvm4IhLdP0Ypl17OfpZ/k2glhmJpR++GcT59yU0FRJIdbARjEA/3NMRQeu+
bADAjxRL3S8VvM0O4BsTO0A4X07uPC07zxqcYL0a5i9+UxYdCPMBAG+Kjs5nCcBYhJo/CDQic4Ez
1WNwBWJXCVfOK/FRkLq/yJWLAMgXFtRAC2bJ9Fde8/+7hL96JX2Xph30cvtnBnzu3wpkT9Z9Sqi+
7g1eSGT9/P0f93yO5jLQXELPZg8S9ECQ/e0ImEBbB/wIMQD+1kM+7edV3+f/QXYd93kocpzKhCd1
px+OAEJNzIH7wOmHMibQuP+VI3hZZyCgGJzwDMC/v8wXh14xsr6eeTwEsO7I2mX5lHtsfgM4+drw
p58/w4GUnFQLCgQ8zgE3QTWQWSe7z2YrH59N84/s0nOdqVOq9J8q3z+vv0p3h42thKlSFgPP3UO4
w21CJ8r9MnAjhzoNqLm+GtLD7x/22secSo3PPqbHGpVAErJ47n0BDKDjZ0hfLExAqvHnnvmXj3mZ
w//nY1blWB4qB3IdC8OFoKNXrguUyN3klA67XMTQzgnhlmlIRqju9vcPfO2DVs6/E0438tMDgS7k
87nMTWp2FCohRfz7B5zKHP+yPMGq/CEKOzmD8YMYTE4+nbPFT3HLqXovvwyqvPSuXFOZaqd6JBhQ
/6uReT44bT7qN6rtr2yPkzj38xUD9mUKSpPxBCGySm950yjz0QeW3zkfSB7y99A789nZ7z/2ldk8
WfHzh9XaZ+4ylzzRpJuSDDVQ1GJ9kf3x++FXyIGf2+OU9Xs+fgdkbRX0SxCbLBvVDgFFggTiYwe6
GRJiKptOrLuFE6hHZJBpMJ6UIJCQTHhvYc9e+cJ1iaTOlgZVzwnLCSjfDresRx5MxRtr9drgpzV8
Zl0SXmeCCkIQAzHAHxy5yCgdTfkGQPm10Vd+rhYgwva+DuLKx83bkb28bElRmbfqb3jJf9vop8c+
f3kyBZ3KgyCucQP96E4giM2p5du86C8A1noqu85TAa7tKAXEzkxGvWedlHzj6688mzdnrljqEp5N
UqRtFsZmGuE6VYf732/eV6b/iQz1bH7cAYAwYUuTZH1NL4q64VfdXG9c25XheSW0wwA1JxCVWzi7
6dE7dPjYDAN53PTywcpN9sIxzjSj1GIlUtpLBjGjaC6qXr8x+y9j8Z+GvQaPhkCJ1ciGpIkkwCED
QAhBh7ieFtxYwcKn4cbHrPyHT6EFNCGrnAyD8YZjy2TrxIAR1HPcFagHb7Pjpwr1s6VWclSpPzci
AerY3ld6ya+Rzgjvf78Wr83VyksAVincCXFU4pG5QPpWc/8yo1AU/FQFonqLhfrKdl1D33ORdZXg
nUh0TZcz0ljnGpkiCIj9/iNeG/7082dTJNNicTA5LDFcgRLulDP9zKzs3jh1Xxvefzm8GbmEwjtj
yVhjBYY6a2JqCH+LwPTa8CtnYQq/XVC6Rk2+HyuswSJmAnGKpXgLPPHaA1b2XIUkUCCHC9BegAs9
AwCxhdhjye10s23+VwbNvcVHbnhmSdjnxUcOpZEb5JDVsm15T0rhz5cXnAfIjYLHlHQ+HYojkqIz
ikIgUDjbTGytojkXQI4OnuZJ1WcdPesbbxTAYlH91ll8etN/Oc6eUGDPNihwQZkDhQaRqHTp9L5E
pYXfNMSO7Dwb0qaK58xb2oe6Ef4X02ZT+0YI9VqM8wSZePbges5SLu0EV1iLujvPSZ9y3EqAqIbs
yTCVYJ60QwlORJGzrjlUs834ntHJl3ejMzCzcYJXBrqkjHBRkTQB797s/WLiieBIRf5++604bT8d
/prbHozDXAC2Fia+Y7VE5hMahHGQWlsfO9SIl+usb+RjR+jUgDwkoHcx+77XXnlciPJBVCgmv/Eq
r5iav7Jl0QKbJ6eCJh0Hz37HbPhnN8+AOfz+S18bfmVoxtXQ4CozsJ+gr/k5wPHzrndIs83PrQUe
lZ+1JSEcjBhokgB85IrGQtdKL2+BdV8xA+/082e7sS/UEnizFpCem1LvDGqr2vk2o9atgXkHSCVq
IaKF5LdlXfa9a8DL2zZvpza1zx/sT22NVUYlnUECD3Ap5SHHvqBAt9HFeqtj1FILPTemeWxU4MZs
Ac3TMkn2m5b9lL18/vosDZ22VLNNepOBUt9y1L50V77hJF7ZVGvyBVSTcjLjEpeUXtEAYeqCmrDI
t8RjXxt9dXjiGiKFW0ibeLiURk7ufmozwKm2TczK3FzWtRSCVTbJ+DJcmQVlGAgq5O6bMMB/99tP
cI5nGzYvUWTz9WITkjbACI0zRAJ9MJK2vf3KmkFXDroBmm9QzPVAPfCBiwIX9y1hhFcm3l3d1UUL
NuCIckxCBi9HTRCqW6zidJujc1emXDpEO1Pa20S5RX0AyTKDaBO1h9/PzCtRqbuy1zYNcmtd5JYn
EvyJe2A1HsAZAHtnmPhbxIXX5mdlsj4kZlpIQk6JD8MFulaWsUtlte0O9cQ2e7ZzhhaxymTZlEga
sDOQ382+XNqN7maNSsVhh7y9C2SZkmXq7nQAHTiez1W+//38vzY3K7sK0qwHmQGpEQjJzecVdMUv
oZleb9v3T8f4s7lBfpSMrgFOAeroU3/nT46orwMtWL5xc64Mq3KLUaH6OyOsMnYHMtvnJVzaN/bm
K3OzJpoAtFsB8wqclqoBf/F740UqRHlm08yvuTt+V1IvLVG171ryWXuIkdpwTrctq7MyK/B/NCE9
+/Hq1FPABYxs66uvDSoQEFrO3TGGTOtJ4hWj99snZnUGgq3QpXWP0ecyzMEMAWyEMa/cOO2nxX62
JXMQeiSolxiden+qgtaHrMg2ZoPW+hjV3NQoMWPw0JomqXmocXth87bj21nZKuRDeFov1RgHQzpF
szt6kduhor9tP67ujg1ESFvpO6hDjhYipHnxpymtu3HWV3YKGM7QyXwyMahNNELR7jMZURXc8ubo
IvVySZ00gIBGTtCkQDktlBcBeTT2LaLsvzsB1HlfDq76cC4RrBrgukFOZWVRR0Z7fOOrr+yU+yXJ
ChLi1UPjXvUoj9ykPKvPt03Myk5nQ70WHAsDbSYNxoZtBQv2ZCDiLRGo1yZnZaqemsPGdNmYLLRp
of7od0HSTd7wfdv7r2zVhVCZljNQPFna1+dh2bvAokNhdtvoq3jVaMh8Z0tgkiH0v7il976n/vtt
Q68ttV/KZlkgvVXk5B3c42cAErelwCAw9nJDhkXRcLeF2ico/ycacXAvoWG+yQlATeDl4FCUIjoU
xiSkGCBUXvJL7iln22Zfi7KgfDt1UCggQDrMfxSL+wnCz2iP+7sC4Csbcc00FsWUgRdIlgTD9kME
3d2cRUvvZ5tcL8QKXs7LmAUmr9AyBBrlofNAB/iBqC+suynSoGJlqEbVUKdKpUkaqS1wzfxbDrb3
xmlfGWkqCsXHAtSiYNHLrmk6vHr1VuX1tYlfmWjYMlCfCLTY0D4pvBJ95l7VJO0+bVvWlYl6gzfo
QRfYjpDjiPxmeoAg68YlXdmoBfqtTHNoFOpg9CNXzJ9PlMRt772yUTqh003hY2xS9vfULFcQV3iD
3/jahK8sVE5pmg1+NsSQLSM7ILYv0S1h2xUeR8PLbQ59po5b4kFD0wmvm4V/Fnqpt7kWvjpISY44
HdA8QDLz9j20lw9pk2/z5GtBD9pNEG9EXjqWdjzqybugwbYTlK8Ms1sgAyo7VN9Yk10KOSctehVt
2iMn/srzQLSohzk3Bi/dNR/saHYl/7ht4JVJokMIdM6BIY1pXn3Tc/heWLbNT/GVPRoA2OdlYkOy
9KV7b5fBS0rjv6U69MrWXqut+W16kikPhwQNG9BLo62OYRo+bJuUlUVWddEH6HUF0bwC0S1xoI6I
BjvbPCxf2SQ2NsRyHRzJeQGN66CnZA/s4lvt1l6ZljUTVvQjBwp+BNSP3WmJzlUbI4m19m6OXm1U
5cuQGAEAxOT3J8V3dr9pwtnqxJwAHlnQeaKP3bw7TjXq4ZA7HvbbBl+ZpTbGqUiNwUUd3Pim+15Q
4Mi3jb2yy5AGywlP2Me68W8CjD2bcevYpyV+dvl0p4L7kJlFZtfznUuDRhjnis5s46ysrBOyJ2ON
eBYbBfIIkXXKD6DAbAuw2Oq0nMGRnaoQlj/7CyQ0HZoyufcQARXbXMtaHrOboIEACBBEXWn3lUzj
J9QHPmxb0ZV5jtC30MzHvBiTBXtlQBMAqJhviyPWSC2djxwpY7Cts3m+Qcubc6gHbLTQNXCpbCBh
xXMfMq+Vf1UDcAiaFPe2zfgakwTpdmAjIemZOF39npJ6V+p8W5CylnrQAWmXzG/6xIMMz25qXIjr
0/Jx03IGKwMF7RpaPc3Qo0jPPmdoGFDw4G7b0Cv7nPWQVsIjOllcKKbV0Lc5tE25DV0Aya2X1i+D
qYWkFEZHlcfuWyvfcb/fVjqHYuDLwU3nQaHRnXQiASEBFcJockFGZ7ndNjOr83MiPrwiNVjRcfmj
RwQ39+LbtqFX5jng4Mk7KEokFctu5647c5pm2z5c44PGVFSsrKlO7KjAjJsyaF/V7fdN701XAW1h
aQoGHTSYwxyNwOjyrhFvhZ2nrfwrigD6zi8XE/2hPLRo4Oj9Cm46mL+clVcK8tbRVHpm2W17/9Uh
Cm3Eua1koBOosH+pc/qJdNX9tqFXJjoDJVgz9A2E/Y/9cey1C0Fquq2ahj68L2cn8/Kg0L6HF6fu
p2ZEww5Kuo/b3nxlo2ie0lXayfsETYnoFFvfgEndijqvth3SdGWn6DaaCSPQstbO0J5rvPtCbbyL
rxWGwBdRuDCfuuEu4fvBKa5Tn20qctETs+d54FKLJW3UuGh0r2o8SDV6w3s3m4o3BONOC/cv230N
Nvb46ARjgZ0IVf6TRIRKQNDfBrqia0xRAx7jMPe5TtoRCqoOuMNqyjZmh9d4okFTY2iIKYd7vBgX
76IO5m02tEYShVNWG/QW0QlPIffF7XIRQjcx2rTN12ihELsE4uGVTlw53viuutTOsPG9T4v8LMbV
BaoTbCIKXX/EJ3DM39eV2naJW6N/0pk2VdaVOmGYmSgEcDtSkKre5g/XiJ7BL0GUl6FC3SZXJwr7
e0PCbSHoGuHuOLhntYGj0LIAtCS0eLMjlJ0J2zgxK/MsyxDIrnKB3YTgYwrD2G1dOHbbiq7RQuBH
sRR4NZVYqK3s3J6+w0m6rcBN10ghtGNFc9cZfa17GVIH8hQCrU/zSIRjtS2Hs4YEAeKKNmpzi7nP
8glUcCTPkjSlamMdYY0IWipjhG7AahVgICt0QuqaRxPyaeOlcY0JciFjBvo86U4akv0erV3Q0ACN
b7fdAtaYIM7nWTgj2hKYmnk7hwGbDS3Ajf7xSbr4mTMYahA7wMrtkp5CdiRyrVd9rZa5zbb5MW91
ms7owaWhx9Ul0KtA07Ch+TDX7rYzbw0Jqj05NYQbzHsLNdild/rDVMv8uMkDPynYP5sZNLnywRmf
OlAcA/vJkVBIRKetrto2MWtMEHpPdoG3YFnDNlU9mqwKn0ZBKpna+IBV9ItiXCXbDnr18qRxoLX4
kKt6Y25+jQriVeMBp6shhk+HuyLr30/VcLdp3n9RL00XNF+q0TwCoi9fWgnlm5zSt/CppzPuXwKZ
NRZIIWUuCFp1JWi3J75wFBWOpmrGbVtmTQUZHDIv1g9kAksNIwboS0Sg1hxvm5hV5KsXtErsaowe
jIuJArc7r9q3eCZPmdB/m5iVnapiBgJOoNHAyKosRSOFtoSz4cUMHZ0mzKpj0y3TnWn6+tTVhbBk
yHMV3IPixtUNDYNe34W8YVDQKQZ5RA9ICk3gukAyPpuVcCYoJZVKf5iUR8zOWVRbfZU5REB2DIGl
t3cD5NpjDkEVA21SZMl2DFXq+QwSFaJMPD7n9AxtWcEfdh1kEx4IwLfLARzp/qRrP2PMqS4Ge8hU
mPdg24FlfGjQk85CSLHx2y8zFLbTm4EyUn7r3UCpRFgvHBM943v33WADNDMbA7FruedWO4iOZeaY
uWgCcslECy6Vo6x3h1Y/UzR6TJ91BdplJY4MxXKYIHdL96OGBnU88gms6qDOIWCcoRk8GgiPIbqN
CF34PGokNC8upjYtw7PadweaWMz2tAv8ajyzljTvqhp36wQgTWiGlqlO7V3tlpJvi0L+l7Mz65FU
x7r2L0ICGwzcAhGRETlnVmYNN+jUZINtMGYw8Ou/FS29Uifd1aWP29I5BGk87L299nq26peugYlI
i57pU4piG9zS6jtg3/c1lqCR/2NY6eNPg9GWaU8LeM26aH1Xn+bOr3ZGf/6mwBE0VbB6tDYnxnU0
H0jfwOct9mD1XexbX5sf0HM4MjnS9sQiGBDhaMlgHv438NqfNp5NAEjDckGYrcB4YfpXGcrXMq52
ftXNneCEe6oZVDXsC2N5AtLrUkbBvtLpVgIXTdDtBKivnWDkNmclaLtZqoJ23wm11cABHU0ZrEFA
4SDwp5ll95vVdl9I7G9qJ3CgSqcm9tvTuIzmAS1g1Q1ga/9/BLf/63KAYdTHuS5Y5Y8NYf2JWxne
hYju0VswDl93TcStL7nVfAI/dGpPMuHjO9y/Vlx1NMmwc9g3U3HQHbDGYmhPuKj67Ux4ibx+X1cE
rDw+DowBjXrqlriFz2UKHdnQx7PKaVqT33uGBg4BH58/Rd1KpxHYINXBTTOL247ijj0hZJ8Wg25N
iZ1pVODPHAECvLezMXb1oaqqfQECvRos/nvqbYB6rFeOIxx3NDAEHQOWG8/5p32Ds5mVzkd7cQTc
D5pFlbowOkVDxjrL9knw6dWw4d/fvq/BfCjbFhtNM8YX0VD/G3LaZVcpmG7dzONZd6vuEa+ilDWf
yxBUxtgf4l2bO4WjxId3J1SNaXXdf+tKc/i6dzwbB613LSm6lXwFNpjHGXnyyVsa+kugH/jXqq8Y
8X0fdrNigQxrwM4Grihi8E87y/RqkF06F/3l7vAPvWlIHz+ODlo2YeOikua0wnfGfjKymtoc4DNi
Cte33ic0bQFxnKq6QBQn05ynSEaPwouidt/X3+rD0OvK/LFG/OkWmIzlnq5hQKFFY9SuNBoA3Y9/
IgyMVuQs152pHILyVlccdgZLt8C8cNdH2krEgOix6BolzQlEhkpms6tdCBh6OO0LIWCcvvkL+lXb
huAHlpFAtryOn6He/7Hv5TdLWw16GdJxbU7GNj2MgOnv9UrL3ffwTeLCuzXoewmDycmHmSaRF1gV
7ioB4FL445hoz/O5g4PICUZwfS5hqw/SzPqy7703AeEglOWBm8A+GW1yGAXhmY6qnUfl1p7KxfDn
gS83kDd29r7r2tEf1sNxs+vdt0Kxvg6bNmwCfUI08RBP663q+F+8XK5z4j9TRbrVifEZ94zMtqDG
z0RcAmWTDF5Dbt8htpWKOcmqZJJUn6hMYJQF0E93EfHYiH3LdCsYAwmypazx9SmO4CzepbDQDoNl
30zfSsasaTggOhXQRqFwd73VIRCi9fT8v7/pdaH/t4HfLNLUyWVyAc53tYYdglq/57B59QEsgEsg
bZt9MdZWQ5YsrEwYBfDLHwGBzUQ0AOAiPR+m6P/77/jTBPqPRVv13QTXUgg7yes4+C88KHdO+82S
hUEDsJIW747qWlRUACJkK7hzOz/v5hxuMBk9CVXgIYht+TItnnltRLSvmwkQ2o97maqaYPRJr657
cPJsNI1OQxUl+wZ9qyUzqC74pW4ULsNRlWi75NkLebVvYLZasnEZmgXGnQoKAVg45egP7L6usMuc
dj5/EzfDxKUszWDVabXxd9SO7nUsPu+ajFuXMNjO4bYaHi7oKwUCJOv6cfrlaLfvcpNu0X8VyhSN
KK/DbpISBcc+OWsGR7x9L785WVtSj/Nq8fIlFyg7BcRkcArZeUJtJWUpW+Ml6lF/C9wQLEVTQY8A
sE1TT+d9r79Zrcnk4C1YC3UKBFuKhPv+U4t+vpd9T9+s1oVVqOG4DpiHgM/tpYbn/QMhJhr/8vYb
2MX/VQHgYPdxwQJdSGbGRkwdNkb6sQuCZryBFWpnj0jERnKE5x3riy5Sc3vnLcgK7kxcd/orsMkg
YzCynuPQW6IM7uwjHAoWT8pH3USApOuuW0CN5qJcv7flUo1AyOHMzceonn9QHYa3k6mHy1KJ6UhL
eCCmK3wkROZrMJ0+AaC41M/y6vXwCfwRUEeRsIXwXtfW5cKH8vOhNgLQHfzXfXVPCUh2+wLJrSDu
in0i157hAy+veIdUpnekInznAbuVxLWejNrQn+SJzP4vRrpnsIKfdk2XrSQOueaiPfjvn+gKna0i
4Rngqr+ZUVw3qv9ydG8lcePogf3dz/LUGfhdnG2/KlekC1QPhUOGwM8sZUp83feXbOKEoEuBIJ0i
efKMxw5w6lfH1Sj+tu/pmz1HLOWIHJHK09SGArDl9fNQw2v5fz/8DyHOViQX+LwapR3liamxeoWq
OnxMBJ//mevA+8slzZ9+YrPp+GUac2I6eehnKlkhhs52VTZZFNvPlUNH21+S6j998s32A3kCHwFs
4QdeDYA8jdEcQB3mqUMFnhzJoejeWVXaiui4QO2ktAqD1hAPQjf2GRvRzgNsK6Lz4AmCQgBwpwGu
4wbqjgMN/rJB/+FLbEV0MYWWc0UPbiF5Fw/nFMSCY5ukuPdnfFL+LnUBDTexQ4Rns6qKPThpwHwP
ve78S9rF+1pbYTT88QzoQTaqKjBzTjEQF0dorpOsFMHOZGUrpJsqlCLpGIhTFSbh0UyLLpK02pfH
hZuF7DMTKBUrkMwm8C5KmoUt2znm5OOoLNRXfTvg0esaHsoUVv8V2ZcfbjV0C8zEqj6VZSErkB8i
77ZjO6t4Ww0dZIVXw9oKJvm16y513w8nL6Kv/3tn+0PSs5XQlVEspoV6mOwB7w/G2BDcMBUe9z19
Uxf3Uwmuou9VJ1jWm1uoXj93fNlnDku3GjrOYu5N4L7Dq5+o45gOzY3fqX1SVLqV0XnLjHtDbasT
2ApdYURy58W2P+wbl83ynGu/G3vapsWgw2o+EuLejJVyZ1GRbk5a0aZDp0LAaZqpw91te6ptu+8Q
30rpFjHPXHMEUmoYQU0YGz9fVfSXnfdPk3GzPkEVHFZ0+GER9VMLF20AYhkchfeN+eaAXeGj00+D
qdC1pJe84abtgE5q0n2CNPSGfNxcUg18DljIKRqtWlB0E1Xa23aW1b4+SKApPz5/ZE3ZxB0MzbVb
cSv5DBXAX0bmX0KQ/xIGbrV0IVsD+EdxcQoWj063PnB4aDDi8MP8BDOj9lRF6UqzuJt0dGCorrm8
G2Q0wWXSsOXYAbHQHVb405N/dByR6VQmtIr3VeC3uhuVDnRF0bk/VPFsj1E5wIfXkzvv1bbCG+oA
AFZy6A/UaQGVxfAJLZXzX8b1D9N5q7sZXQebnBj8oCUOANHzJcgTcuf+tDX4ARSHebSb+sOqYdHg
huW3b8W+/iEQjz/ONW81uisVHQ8civkidUC5+ADL5rtW4tbdZ4X0uQRGvYewhnzvNX3VguxrqaT/
ukr6N3mc0CgjtSYcD5Vv/Ww2pDyUJaQz//vN/xAabp19VCA7IluaHFmpoulJjLrSx4URZY+hNZj5
//tn/jBxtsrT2esCeM0M1xKBHfi5on4yApYgwV3b9wOb4LOpwGhOAhEXsxUMh/ICjn0uIsBNf+z7
gc0BZwc5rlNpRqBPhTnoJHQgHob7ble20lOkKRE1VI+H4GpH54DKyXUY7+opAFDn49Q3YLz3JRDI
4JDB41v1wNy0CgyrfeOyWVihGOEAMTbjgdSBySn49hmqcN/3PXxzwrUySXyflsNhIkJnieehaXEO
/X2x3FZ4yqGv9kOPDocWarKslZY/qJgO77vefas7DZ0xIMZ3w8FLcdMXypUDzxrtG5itFV1lHWDE
rRoO8DYlT42e5Xfmr/G+1boVna6RAMJlxE7cNEzlcDiHC1JY7nP6wUr/OB/LiZZhUGNDAxUOxHgS
8bwBLXDffNxqnYwo4wG4dmz0IAIXCYROAMguP3d9063YSdYYGugZ7cHMZgHXvquLXpf7NoGt1ik1
oT/oKAJNT47TUYuEZDABXvftAlutE+CYjK3W2cMgVnUMevm2BnW0b8Js9Y6rAIC3Ra3nYBIR51rN
dQ5J6j7ZP90KHpt4iYc4Kc0BqGmb16tpgNhZ9jk3QW20mY5hqGxQM3Oohg5oy0irPIH7+75zyd/E
0GOwoORseXKs62b9tPpmfq/95m927P/9WIU2cPPu1LlghFj5ENkA/SjXzdeQ4G81wj89fbNQwyBA
uXpJ02PooXQ+eT9a1Xzas5AApf/44jIgQQnmRHyEz1epsmmF/m4Qc/9l3+M30UCgWtquvk2PkdEN
JKb1zMQduNRNsmutkn8hsf4tKDN9MiKiMekx7YOsTslF+ftOJXC1Pg4NjLi6ATzqFKhIhMJXPUSz
T3hLtsovMA6qUsRdelyv1kfSBSHAi8Bf7ht08vHFa1+JYV3asIAL101jzZPP9rkJkq3sC3BhpExa
h8B7uVPdXImH1fO+t94s0Ag2QsLSJiwIG3VwCo1C37Vwenzb9fyt4qsxQVersY2PYRvMsCEP+/By
bdX7m5/gdcX8Z6ZLtnquypMmBKKbHbXx+huwlCf90Mc+5wf0qcblmevVifthLf+eXINN9Icf3Szf
eCFlM9WduvLOXDPngQKU0xykxKpTR1HOUmVdq4F4yRra4Wyf68U28blVhgnAeANeS52pVU7LWZSL
V/5DqYPsrvEhaZUZrZfVuQwJj+nuJAsScz/1pQvYefbCuJOZXYFyrDKfphXlQAXHBklRy/Dpsijt
Wv6PsUKPQRbKuNJnuko4MhcLEvqYF0s3OZvLhdbzKyzk3FRlkQQWB07cSzX3TRako8cAHF5gry5v
AiMZ7OM1apaDztBXoEa8YB+3zZshGkFdHdfJb200/tmOoKsVDHJfmo0YIZlPkyPVaV3GGdQl6dO+
+adF0TYes9mCAujAuWVcfG2qUKY/NJicekIj59pancHtq16+XEV6N2bVy5w1MI3qc+eqPpBFjMbJ
8rDiyoYcPFLOfV4mmGlpPjG3RLog0xr5t0EysfRYAYSq0RfWtcsNnPabPGZmYve1P1ZJ4VfU0VzE
rEMUluikSDQMcAHC5KwD/tbVreDFkCL3iXNUSGZg8MDnbWycJYTF6BuZqlMZxkghsZcwPV7wtVpR
ZTZBZJelgad0MeqGfOsGDVDfss7xj7FaFwpwcRvJh9WShL2LjsTxAx1KSu9AvE1GXqgVPSrhMXVj
AEeElcWjukeHRoLvZarK4OW4v6Z8PPowHkY0BlbsKm8WBt7g9y7RVcvzdkIx+ByjAyn9FMwxyMe5
akKQxHjiXW0g1aga56GLZYVoCw468TiNhwXfsm3PJEIhjZyv6FWRSSbTI5OiyVs2Ow3EfbR4/XSN
LKf+1h97eXAWe9QDa/lYf5pnwpsE06El47GmUT/nLRchgUusWFSBGodIvibDlfSazoCaHkXkjwAK
OgOmrgIxG0B3RFDDQCnNQYGj9XMgE8uOMFiR821DXICqtj/AW23FNfMwcfRu+UvPBig5GUzWfDV+
J8pDz4yd4tC8xpEOkkKUfVR/Rx0kUVg0Omynoq+jtn+Qo8/ZJ8izOn2sFwCpi7T12+iyRh6Rd4Fw
cv1ZNQoY7iK0Xhs+dFi04tAYsZAz2I9191l4OvEJtjfJWZTFOkzNgz8MMvgeglwIWHfJU81Pzk1T
dPFtFbZfaseWKIctvW/8jDsapLB2jpj6UQ6Oyyt9XSbfI3DIzWd0l68ix+0Szi50MrTLPVR9fYL/
ufXCH21tp/WsiVmWT3L1gyA3AivpRx1imt9wSdaHIfX50SddUj8mdozZwU8qI146KWYwdtHCQMA/
JfANSIqrEzE7925omt8SNzfitmYdXU5tW6vyBMB0YG/HLo1JXoc0JF8TRsL0Z+Bk+YAWcu+Ca6T1
B5o3dFY74Ig5DIK8Yq7WxF3AYZjWG5gH0S9An4dpYRQ6HZ/jRajmIeBlFZxdW43LwetEPd+ki/XZ
KWaz9D/7rJTli+hSbnKzDB48EWs/BU8z1ayfLtPaR/a+99fBP1PDjHoD/KJsH8cojcXRF0DoFsNc
T9g7XZRYcYR+OrD3XTqxHwqeAE1eonziHsXsW2wlop3dgUXtYHnh47ZqupU1DI6PJR8NGki8eOKf
RNKn4VkbY1g2lJ5l3wFDr03Om14O4Eo2QemD3xPS+dwr3Q/F4IjvFUN/ZVw3anXmKx1SvEER+TyA
neGMt6g83gODPHt9c2iuljwZDO1W+dA5NKYdImPdN+IvjgFJxhv4coLWwO4RLvFfJZZwnNdKEJ0z
7aL289LRKILBkdawPMuoXNfq7AZ0yX5awKezZSa6IZ6x36/GtW1WDzimXYaK99T/kMEw8JdJrOkt
WBYWp4KEZU36ovCo69c0w2gBb2a47jw0DojfDA2gTXRSaZAC+D5xqpaMB0Oy3rq55yhjzkA0pTd+
uSBQRDubEOceeDIvW21Vea8skpYUAnBlr+j9KUiLeFnX+t36Kzjo07C69DTq1iuLzpFyuaPAzz35
QV9Xryglk0VmlVJDeoS7Ox8uqUQa87CgRpAcQ1nh0BvKMuog9g7FfKe5X8u8XW0w5KGxsYfmBduX
lUML3doHL4MvNToyGqBXn6rZj8kNANtd/dDC7q7qsmkJQaKBuThArza9wovTfniM+s5r/iHVnKg7
pmiPidYIrcRPqpIV00HDt60/tDyppiP+srk+RFqG/RuTkygvPa9qekYnLVP3oyWAVx2wJylWgDlE
y18r/JJhbN6LGqjUtuIcAmc0GmGiAI5bX0Q9LObG1Brc5oxASOwfegP0YTYNS0NeGy9NLpNW6XtC
JIpfsEmPyk9hIJT3G1L716vo9QZWKgSM9cXGr5B/zr/bvvNdEXg4APOpbuRvg+aad402jOiGYXsO
sint5HITuOaztGFdwA65ekFWA4+k1fcAJFR21XGezgRTX/tgKjxMZp5y0yNYe5IE14ZHPnikcHVV
ELh6PrO4mdy9WskSFlVV99GrTrvEO4rWM7mYW5IB+OBjGmincn+M1v6brQnSsqSGkUo+IBe8rwf0
fT6JEG6KBWRO5a3DP9yvXPGiQuyE2gKRdC7q0C5fpLV8yDWat5Y7WALSf4S1cxbW7F5o6Z+nvvfo
CX22hp47KLBu0jgJX9cABPuDSLHqP/kB1mKWEm/CfFBRTgjOfT+tq6bArtN3D6sHxPmUpE0++uWd
qT39Bs/e6TEescUXkdK0qLr2x+qLLlt0WX0D/qS+C90Ct3PXozx8I5kFnDsbhrldCkC06fC5Czja
RxForRHsCwc4DsKrT2IeZK3zwk8EOBdSVM4EzY9kotjvPXSn3Zq6h2S9hmiY36Z0mKff0NcMVZbi
lnUtfI9M0W0SD+v8M260O/JpgHQ5EzDofwRlm4m8A4nbPAuFzfAbbXWZ2d4zVORaLiMcVUoeqjaT
Njb8spJgsAU0R8N4cj3T904jGPzdDPETHVYdFE0dcI2hEmipV6nXlU/EmHI+QhjZNC/QrA31K8wT
2J3wq3I66W5ZlocY7g2msDMu5s8hrHKmTI/EkYyCWS6+jI3l/rdK0OkRWPruyVi7iszBgr2fUJBd
Z/ajDaoueB0AMfS+UFyFeZ9Dhp0Utk3DEKGLNgR1ecnjyk4k5wYE2ouoVpt33Rij9sfGsczjNZqO
yTDW9QnJyWruHTQxTykO29hmk9OQWvHogaTgBi9AxB9sCVke9u8x8+qxhPxYjDmxa3yYWVqdF13l
pWu+alC5sniu3NlBR1e3zWeo8ZZ8Abc5JyKUDOYmDrgE26YKxxcaupIaNPTajkvBVWgQ2V8hzGC+
B3dVM3hLIazwbyIH/e1S4lI0bNhwCND3mytlu6yiEYwjLGveEPV+YzJ6HAOAGYIBSzRcrkpsTWbE
n+wLr9L7iaZ52wVYGUBpn4RUU5OvdY1KuueHr4F23RmcLmmzoFb0JEOT5iOaOJ96XyUXr44bm/u8
fUCeMUwnouKITfhmvu4ejOgE2tcDWMEeTVqr9p5q4zycFXBYuE0Zp0Xdgt98jIIqnB6DxrcwdMbF
ffopTBonjpMCHempI4J+SXqQfYo+LFFbSipvYA9LY8r46NvakUdcaNLmpR/Y+hiFSgUno9rWm7P+
Wr5oQuy46LiABjI5TYFBbrI2PL0tsWWaOU/CkD8tUFZ5+cywel/61XVouEdfNXE5bDJLmcdpUJlH
2aOGicHjqjvQBX3b6ogWyOCQlLRpCuuXxORBJVRwH47mSgpm/TW4TiDdFTxPkykihR47PxjxEPSM
N3qID3WiYM2VrRrNn58MOijpO+9Ze2ebEWF9Lnjt5UEN60FM3WSestgxbBJkhLfGDWfOIKiMZx+5
IB9wkwufAOuAQaKhN5wrvIz/PLZYmDmJWFfIRYzNSc44T75GvnXTkcRSBcDUWJjrBWFFk2KJlfiR
ThHPehqsxzEZ5y9NUwqClCcq6/5hhFoPO55FSF9daGUc7v7L5TFZruDd1a70tk8S6R8SwI1mhG8I
dQu7hjR6d2ry+FmyJgI/XZXB9NLYMchxT9GRb4sq3ZRHc+UVRoq3dB7HbDLer0Wii6vFrW9m51rc
iMHA2CVEXz+CPQqI+pCaLEZC3kH2K18H65MbIok7ze2YHpyO6a1Ed+lnhYAqn5f6O4eR9WOAktaT
CAjjwBQMr5GbLm2Lk+GSOL78DEwdvHdNlIgbUgm0F6x1v6b3nUfsk+/gPwz7++gezqFjlrAFLiqj
v54QtnTvHCUn+zR5BgLzYY7z0YPkovSi9yRp+mxpk3tcycBjAJxaarPe57fY4qbzYhPyht2dHySp
mcy0ngdobwA7IZHzcu5AgCgklg7GZ3TYM8rqphpjfsDEANOL8eWysuRnkvDhOSRheGG+xISjyuaV
z55VZPVbsKr5MWGmfua+6SGkGpWUXTb7Ver6DCh5sRwXMAWXGzYR/s6C2VyGeknSom46lut1XOdj
Y+voskCQG745L4lfuXIUoAEyNLF3U+p4ciorsVYSGD8swv9ZDeUyvEURY0s2VXpOIE4OJrcU1dXh
4qyWeYURUGKDxYAV3XU9Ztlc0bYuOJsC7zIFITroYQjg/IsVQZk+9N7cD8cJzhX++8oUYXm6hNNw
O4Ym4t+Qi+kO0AzikRtTmSq8q+dJAfnLmwlba2Bs8k5HZfzHjo7UHGA8sjQw2eiZOLfelKqvHlYm
OGnRUkVV4fe1GLIxqpBcpcMYV7lViLpdVlKPUpUt0TJWP+Ykot3dNLfT+h0kNIcAXwxJhNNbYSFH
JqvRAlcf4AtVkpNNVFU/zwGqWYe2Cak+DjE2vgI5Oo/P3VVQeuhiTegj2sTq6BaKcBoUQTpH6TlA
I+D8u8Ipqh/HfkiMny8pn8Sl73rqswwWOQniv7UmanlGsScmqOtAhLze9r3qsROJJkYMZTSW/qtE
+cV9lZFMzyFI7yj5aBd/DXoqvW8a16co/MxtBDQmrlVEjtmByD8rx0mCAGPHuZg0t8lnBpeK4T1x
wk++9H2XkrqI4s5DsFI2kTe9MrfWM888QmKKKKe0Ok9LqshDvybz8juEgYX6aSv0Zx6SGnzJl0WJ
OYWFRtTaJ1DLIzkfmgl+xae08kj7xLA+sQf71F4DBOCRYpS/RQNDipua+sLdUCmkr4twtbNtM8UY
4wAbtMiokb7UXb4gSEVgjbhncM/1gBDRnVLJpX1XvddOx7b2hvTc9+kY4YutqbNFR9Q8fZNphO46
JmTafxuc7Kaj4b728lSOwW3V8ZLlHa65h7ulrkOOTxJXaG/tcW+UWzN1yLA6BoOk93EFeQTWFl15
13LSnVw5Jy8dJcvQZ0O0ruZxUUplFhDXDG2OfKSA2iV1e1xcgvCFg3s7nlfao+Qg0jHO+sEhfs6G
cXD9cxy4WPyeAOtJDqv0fVEwBzuvNuM9qCk3JRLHuwpmc5h1NND0UtYA6d4avrSfU2yftqDDEAYq
8ysIGt57tdYeUq7F907zinl9ikkUxJcB5039j3O0OiGpDdKvLcL7WORRyv3qBQQ0gTCoDjSrxgyT
LKJ5gn16QX3CQyvoGougekhq56+5xYJ/k0GkD6qsWIOlVo6X1kdN7h4VOBo9Jc3M5MVNNv2O2uIX
UF8GwgAJYmhqaEE9Ii8N4eU3OLQgy+Aa22RVW3k/DH6KrgdY5rizihORm3UBQgeNSv5NFVuq7ruB
9urelmN/OxrT1v8AEz788jrZ98U8eviM4Ry/y/GaUkiZNC9qDt07Q0QzFHztkHhCqTfMmXKxPqL9
PmVZbRxHcAIhzgTCYjLjBgI7YY+K5VA/OPRNgcuZXGuXsDKw79KtcUYi9FSccTmU9ne0SzrvicaQ
pULmFjd8Ok+M80Hho4yL38OjoKyrw+zTpL6GDax65l2VskOAfqzu94zMZ8o9gVrsN/hrAFtso6QP
Dw3yPoKpWZFXWyG5Pi1N3WekxgZqsmm0QCdyMoofSaR78k7dKKZ80X2A1D0O1TRn9ZQo72tVBeX3
5BoM3SQzfBPeFmZ+DVIN4dlHlSPgeadDOd6koNwkecqs/tVGWLJZAghNDtCNHx5UGib/KmdLumIQ
luQAx9YyRF6e+PQ4k9jFXwz3UnTUV2mJWreXanh99QbmMgUiIO0uEWvbH0rNMDJELU7UzTu8B9Ma
Qbdw9KYewuUnikF8vbWKlL+0UGsagQK/TOROCxd2b17ps+hXAAhM9BPFEoFaX82ju7S1EnuHL5ac
8KBzTzYtY4NOJdyWhpxx/6nyGMP9DIIa/zZysMg9ppNlpJiH1aeHiU3IQ5Qe51e4fAfhZ2PT6dnz
wv5zUsbBG5Qdw3pqS7S13XgtSj2z0vN0YGECi+q1nsxnjLm8bQIJoSargWGHa0/YnluRpl0eGeRs
mfFK+QW953PWRWhHNCZ07NbOxnuKmZvvWbqK5NiWMM05qGiZTx1AKafAKP8cAp6NPa+h/btAArM8
Gt6iH36a4GCVRR2y1Vc3wrT4G0xfUGnoFxeKL7jsgNMQmxaMA3F1jW0hpQFtEYMgGUI1dHgTM0NE
SlEcQ3BV+XXkwfAYWInCorEjOkQJRyXQjaQFeSe2a3UixjfvAArU8oUkLWwNZjBFXiq8SEara2ie
Y9teBpdZVHvpIwLBOMypweu8tW3p2mPdlbXISRgb9/2q3j63jdL6do7jVeE3pNe/IFV26pHy2N0i
sqzoMUmM195AFBy7Z1yuNAdsE01ztFFU9wURkwogAAUu+NA6H5sInI0u+BYosJUmag1qRw4y/GlZ
hpfeE/WUN9EYqIvnTXo9wVBv/elFAIFlCjzSW762M5ZPmWA4pPMPMg1HZJiDu9A2QAgrquZ2MSJ6
gR6/Q88LHEtRuYP1CA3j8ou3okHimKDna3lD5XSecBD1fvBzSCwnMahOckWtq1ejac4N7tyqb2Lt
ep3jS8HCIZECaQB2TDXpXHSlgSM/7LjSe5j+JajUOGbG89yG3f+j7ryaJLfS9PxXJni9oODOOYBi
Zy4ApM/KMl1V3cUbRLmG9x6/Xk9yqdlhS+RKDN0oZmIierorKzPhvu+1zk5R1k5hbjhKJ/E0QZDn
dnKt60WopWMUsbk37G3cfLIgXTt3OvTYjFzPrOY+5zKGwf0ceHaGh7rt9SgYyYjX0RYXpm08VzYT
WjBObhv7yh4l7rVeLtlzIokWCnTwjORbDjpne0U5xPGTPq/cPSJNk8ZRKqMQfuGauRlU4LujX5Uj
YK0Xy2WOghS7rH5r103r3FNxk4zeQq55vRmWULAKm6vNBOPWRv+utfSEeALzkntPO9OodvFST+pd
8qGmrx0DqjyLzsiVb+cqM+/yaNKJAa9ZM+KkK4qHhUiKbGumnV4sniA+YgSSj8s18uy8JzCGk3pm
KKwWFTY0oLtdeBNXerIeDFufyxu3hnnwZG1NNADUcfupCyuJL+YalqiOQj0r91QxaOYdTmAluaZa
a51gNMul3lIaOrVbdGx14cMTiuGtnIpOo5Vz7Z2DloMNftPz4nqEJCtVYLRunbLUs+gVlwFEPPNx
DPXd4JGiZZgnXZqCdVb0WrlPUA6Nb5O5uF0QShn2u4n79RS0oq6zTW5ZThOYdCz1mde0xRJv2TBy
VmWbQEHkxPm18I7+vypI48Sdj2GvK8fH+RS5IiBbROeCSsIChQbkfhUd5ThbKzNLX9v7pbQr9CcN
s50Hs2BkHhboNQ0aToN8a8+D0XyqRGS5xu5g2L3lRRaxPN/rrMhxKGZwvj0P04I50fa1vHV30qzN
ZT5khmM5z0NLN9F5AmCYaz54Yqc2M8hsVbdCJfn8VePTuJoXg4JUw/aaz87iOzrraF+G685+CrUq
mxm+UICvXrqEUXS7FEbHstIOluQCtzMAWOXDHoqp9/SucMv3ZGGfR7m3qEL/bPtRaxgGlGBhqnrc
uiP9S1V77NxqcG4FN4+IUdFJ148shl/7JU2nKtvakV1qAERNbZU0dMs2ubcZ97mW0ZXYYlszGjWf
cW2LyfF6wyV/fFL24DwagM0JhUYwWv2bS0Bx9lxrQ6XdVREU5v3opk1HBsfi5KavxoakboygdZsf
4gIml5PErq1tq1h85IZm0KE54WmNxOSvsKJVQe5gqxIV6EL2zmmq4UbPTNeOPDMW2d2XMk+z9qgi
a6oO2pBHxS+WroNbyevMth2qQhu8XJmTdq50EsXutaEbEu5xNG36LpNxuVmGwmkvSddj3SqErsbH
NUew6Dt6B22ZWHlJaFIbaf27I7s6fLQATX2zpLEjHdejtlLqzshKUmd+mOrIWpinKD73DTX3w36p
Stfat/BG0y7P5Ko/G3EvxDHJ4Lb9Wi+QtGxwyOstoEcJdQWh1c1C2zataQ6+JYtU87jmbmTdXTHa
UhD4stUNzALNNtEMGExZQlouXk5poOMtzVyLoI2VsPf9PLjrvrZnTS8JKTSnwfUyK6L9D1TCSM/C
aLvuWXT0BHyqyB6KM4Ntora5iAf3yzRBNgZ5BO6N3xa59V1Slrk8hVFeZl8mhy/mtJhO1h31gZIo
EDw8F/TcL6u4SwdVRMc5bd3siUUPeBUonWm5AWpzCjgYm9TBRPcHLuZa80mzkUsdwGwrx91miN2v
odzqhUxOvTN81yXStdgUkJvdcGAAa/lie5XW7R3P6RIWJeRMoOreVO7yxeJrxy7oijhbn+ADQXxH
ruStu67qzBIttZOphUDrntTJYzSvxLRj7vRUynqXpaoR5zWvyBIwzKXqX6ZkcMG0s4EwnG0f1fMS
e8YEOQFrbyIj1JvOGYl9bIvul2K0HfOuIkikM7fX8GIDTGMWowO4sLpj6rvFNGXBUrTXjsS+kxfR
hnZ5sPGmT/umrAcriMalLs9mR/KSN4eZbhzstRbWWesMQ9vCt/dJkDuRy8JZN13NbGQVifU6q3Sw
T+EapfMDTIvdQyHFYbt+WKWworc6q/T8oFvYdg96Mi3NDQkYbf+YE6/OVFMKez4bttYt35dGpPU5
GYdCbdZBOICCLoOIB3k9wBMmXYeIventm0EvusnvF0pwDy1vIQ2G1TQzH5+HRP9h21fZ7OhsXRTL
l3ykiPpJn7Kou2n71SiPigrH9XqcVYhvx+2X0U86ZadvoIkakKxwtLoDNmeT8buS87zYMFNnPBq5
hV4X/Kmtp1tXa0fLXzTNaLlMnKbF+lOL63fn1uBXzBCtcG87NeYa0RmJSj6G65PxQw0A0OQiiOjQ
VO5iQKgwTn2x2tbsB2ZtKK3WG3KbcJLJovNMwRHogWUKDaWYFTXhxYxVP225fxLrOeZlMn726VzP
52pVhfjazoO02VqadDgugPTzV0cV9Xh7jSO19l0xhF5BblPjMYZGc1BakFY8bOHi75xlcdWxizHN
XKD7CrIbGIpXMK0mA64SdLDaon8dBq1xPDxy5gTOX2cgeW0TP6D4MRiFRirAH1JEujwQqYshhtQd
ndB9VrXuIiAvdahZoN+wbareS7Cu2l7lIImxfGQc7fAJghSBE4PU6P0rMMWaaJ7smVtTT3B77Vcv
yiuMSx59Cyyc2xmnMz1X5WzL+IWwANgab5joY2p2xdiLJPWnhih8BlBdzsIIWitGlRT8W9f2JE1r
wtnBt1q9ryNuA9h0+ib0yfy2nix+WjuNUxzVBzf+FWFm755hI0oiUG8rs2s3wATrgHZaC7XDv4XD
rM9LZ+d7MufnOdBlWg3eusTiFtq1HAIZkmPw18R4P4ZkycUui6rs8o3ufkvtRzn+Jc28+WM2lsit
cWbozjdW8uCAViTir7nBTOcH3WNFtKYbJkpteT7qoEfuqN903Ka7/Z8L8f4ge810fvBBgIGZPeJK
OBGNy6+Jq6Q/FZNWEVjZITQDoR5TGi6U25h3cwdmy2aVaroPUcJx+vM38UfCuR80ktEM7J1ordpW
FPPmQYJX5QYdbOMzqEGiQ4A7hz//TX+kC/xB1tw2HacaJtAt2RaN+tIvVTgEdcSASxBCdw3aJckk
Zxydl/K/+Ib/QC/8Y9BWitSRx4gpttKhXqYnQWnTADL/Fx/oD179x6CtmnLKTsWuQARVvGWt8Tw5
dfhfuKD+6LV/UDoznzdFHYViC/PMptAuh2TIrb/44j+IJXvD6MtqkGIL+LxBgwzjYQA5/vlh/qN3
/oPSOZyhFYWbyG2kax0P8zH0jJjH/l979R9MT2ZWWwjd+F7MtSBmuncpTF2rL3/+4n9whqrrR/oX
DbVs4U7rOeV0iZVrfnSASZOvy8WkIssxi9qrB4wFe7xLov5LTZNg6r//lbETTYr4IbGl2Vd8tZu2
u6QGuOqff6BfPZb/Gy3uj7WNKl0s8KDI3haOGwM9u+Uywarwn8/F6OWzzcjN/1PaRil3SZ0+pmvy
aHCmiX3YJUPMkhLFG4pGP+bRimvT6xWz2H+8u//2Pv/36LO6+4/30f3j3/nze1Wz5Udx/8Mf//FY
Ffz3368/889/8/uf+Mfus7q8Fp/dj//odz/D6/72e4PX/vV3f9gwkPfL/fDZLg+f3ZD3v74+7/D6
L/9P//Jvn7++yuNSf/79p9ePAuUI206bvPc//fZXh4+//2SgAGbAuTq3/9mQfP0tv/2T68f4+0+P
n/lrGb2Wr3/wk5+vXf/3nxzjZ8s0JZGrktcz9Ws9yfR5/RulfjYtoRiTXYS5Akzgp7+VVPnG/H73
Z9eQynUFZWM40q4P264afv0r8bNjCVZ+ljbHYhOUP/3P7+F3R+o/j9zfyqG4q5ApdH//iVf8neBa
8a4EpjHTUQYsCOrCHwwfSYY1xUoZazq9f5BGmuyLnhSjKhLD1tWK6TN1FlQx0nX3LJhQ4nPebcdY
Wnu5FhZ4TArwPUpbT73cmMR9J6d+a4C6HPqWjTbOs/lCy468sRzoNpaRats7ofhoSS7awpCmipes
+7cuCfUOBbFt6PDOifwmhRE/93XZ3TRVW7XBYPYJGplBd05qXh0CXybYgDkSbr5PU73xiGNvfXyz
iIdEOb2HSE02S+mA0k3jN2kWcN1Vba4eX0eyIjpT9h76Ltk2WHkzv2jt9kBiavpUFghcfShYPOQQ
US7d67ajlX7pRsVtNtt2hU7TqMsg1lxxM9ABXe4QtYmnstXHF1d36FmaAQgOKDDCR71P5twz9Sxb
vKSR8WXJ2qnyBm2WkdfHVnLb5/n43JYiyTZQhPpp1pkuoWwvxmKM+wRA5L0iWv4XzWJo9uAVu9s+
QzsUTGUOc5Ab4jmEJD+j7dUeY1Cbb1pVZmghLAXR3YzT/UjL0aa1oujDWegd9yPmUt54jmI6470P
cemJymn3FRjbWSeNP0Y8k5dvcmDf6WLdRoqT6CZv0nEVVGBMvrWeGrdm4Yaln6llCUj4j3L8lMy1
kZDgztKpSm8x2oONCCQYu+lYqU7fmIPJdhJN8cPA2EKqTjQaSMPX8lxQMh76ybBOr8wX6XFa1HTD
CTWkoScBlHeSlXMT5UohxnEDhsYqYGUcA3dt5V5pRfJcd1Uf0P3VnAytyh80TRV+4czNrYJr21VF
tfgalXi3sYtaImfZ3+PQ0E8c0fBgkqS9ZUvTf2nWdT3GdhTeVQBsN0vKidpWk3rraXXb6qgRDlll
xntyvR+bZvLBXUncTYf4LstmtAJuWz/VVhVuo8GxXxNjWE74DpBDWW21lTL3LEIyvup6/VLEyeKB
nYCqNuNz545DRFxEX9ob5YrkSzFPeyQYd7Vp+HTRH2W9ja7CJrojJm9AWu81Qz3sRdnXta+zjyqv
Rvf4yHWgbjrYwAc3E5LED3S6xzzWwm+d0p1HtGBVFlQwC87uShmifp9ZliGz8+ULjfTNHoWKuOh8
fZ03QyF7lCckh8K1ao0eBGk/k6ZoXwS1RXujbXKF0q4KIdCm5Ls+5vUWPUzZe8scdm+gptH1okRg
pEqWsbSHtPAiCR/ucZ4sCAuT+N5uSHNSKLAA4FYnuqtnaPlg6aPkYXacpfanJS42ZHKPL3WS1peE
+rjjopfiwoYJtzxZ48or5U2Qj4Px4JqN2jsrORAehML46CCZfGLHn/awNsubmyfFI/XKVbs3ZWq/
cX4n32NJlannCINFs1zM+NUIcztHo+eMJbFASt2mdgN+phd4ECyEoc02q1JG/KjpS68QYbyrh6y8
jbPUehwLMzqG14jMrOisc6s1Jm+yKOVdnAwGVgrZGBsgicjeDfoQ3YL+GfdjG8ldOiX9uY9rpOac
whzV0DKfu6rrz3nWWZvQWJu9Y8nkhDTMuRBCiyQvBxcqPPZa/STD2ti7dLCdhDGmZ8PJMkY4IUhJ
bTXDeNSEnIgUkLm24fpVF5X1xT1Uh/5gmzMJhLUhrfhYr5N6ivJCt/yBceB9WqvV1wu985Vew+i3
CH/l4BzTZhFc81dFmefOY7u5Aro7Zq6m22SJE7MA5/F+csuLnra9BhsskBpZcwqP3hv72TGKe5n2
lGhw4W7A/ZNdy/8AOa3ll44OH0Lokw6Bl3s7pkl0k82F8462KEEkGGZbw6zWYwMEfIpA4/bs//pb
tjbZzTiKmbBDoPa4EOqEVopjaEbyTJxRFkDGDz73ovJULgvYZSWGaaOK4s3o8mqTG1q7t5D3fdXi
hrVj+JpiAtpx6ccHI5MbbCUkp6XZ+GFXyWcKKLWRnbb44NmJP1ZYiHKrOSaa3ezEIOxDaSS3Jhaj
QJDod29opdova1QeIi086lErpIf/Q9/0ubZ8AwwjBzA0ovbeDNm0gijS6k1rm8Fa5o9of+dtAcC2
JS7gWw7Gecjr3ggAF99SDR3Q0bSZT73aHbJgimzYI/2qIOpDe3ygITK9mZFJbZ2s7i/grSfliF+G
ud6z1tde2YFPdXM3+PiCjItTmUBkV9alih199WTrxuj83asVTw3piVRzx4EmBmrwZhHmuwSzSOwh
VCt2VFEf2ywcUj8US7MEa6zrdmA4ZPR5ZA3X+7HNX4slL44yl8OLldediz9gSW7SBT1jGRuN7peW
1jw0oBq7tUGo6bU2fJoa5+FUxFFWbM0CHwHwq0VGrGZ9Fn00Jhse8SLb2HUfM8xoUe7X05DA0Ncd
zwHiPGG1FpSBHWk8qXwvWZhvFaKU2ySjeIb2AAcPFA8x2BZcPZZ5U1XOLR8LeRgMbvpodTr6t9BF
/uEb4TQ/h2H8QRbu9LIKieyjv8HKPWyzrklfuSE2D/BviVf1ogBpmnHslBbKUT2NzPt0TNYXLWr0
TaTy+ZharQsnn6+Nr5NSQutCO90oJxNvnZmFv0T84qv0f944riXRqmlq21p1+1SpEZ25hCDsVHdE
ATDc1WkYPWeCmiRceuI7xrD82zTaNbrDq7rZycsi2ed91O4hZFBKjXVbO3z4UYe7s8s7ngETdWXZ
eHGEsx5NBrLnZFXZcUYHdmxMJwoAF/RDXYieB5ICQB7Likw8M3EOcct3JZA/v5uN0PeI49DqijXc
dig0ogCWapfFAjQ4Q8wA5wNYFigxNX5ttYHZiUDpU+g7c9mg8yNeYpjaT8uemOcqTsVslhtTl5XH
jTgo+gnNkUSTbi73mtVYyAkn+5DVqOmTIqxeieKs/Q55mi86Iqo2Tqlv6z6peMKYvZe2jnMvV804
R2Ez4XSETSwnzM4JkrFtnZd1MIatLxLLvETjcDLN5bthdKjRRx5Tsy+Yqz+GvNvYq8AqYTJqXdys
srdlNDWnHoRkp600CHUTTxW3NcZHlFj902IPuT9T2LSdjPkCXtJ6ykX/oscyDcIR60g3RdYmCzXp
Leh+txRBzLFPr/kLPzSeE4TNb62zzpsw1dMthaflWQcP/cr37UDCyaHMAIXhNeo4w93CCr/HCRgf
0Vur+3rkWR4OtX6Cq85uTaHyyxKu4T0GJ+dc6GV2HmMNuVlcZ+KOK5TimBoq9cweUtyXkSk+V1h0
3+7D8taaTeMiBlMehzYXn24cujdycB0vmWIsJG3TnIQukZqkwGQvmlH0N9w280OzZlOAVus9GkZ3
r8o0DyI7HS6ooJwXgPR+U5JTi4eGBz1zEa1BN/XSXNXxiZUcqiLqOnKt64W7B2L7aJ1LsOQKGQxF
vgdNqOUhTBGPBkRRHqtEhQFmjfJozdnyTBlyeTsX8beK/tw7Payzl0l3mr2l6iRYMotmMWbwJUqb
rUqksSlaGHAqsatLq1KedHUYbWrmpk2pc3Me8OrgQsnEVyoYKr5mhxzZgRse82P1LYaz/MUt8+xo
oIT0RNvZZwdWFk1BdKVsOpbs+whHnV8MkqiTep3fQ3qGsKTx3Asdk99MFte2UzzHEVtEp0o1TxJj
3ldHC5kyC6kHAwMRejrkTNmucPv6YBT56zxSO8oTddY9XAXw/2KAW8AnpevwTqxZvefU0zs+1eEx
gzk4pu2EVjQdx4MlDOOo5iHfUHitB3OB7XpCDOyiX/XqJk8PKv/ADON+RA4ejhQ83WGEpfl1ytv3
RYuXU46CqvPsJIfKRya3Cws0GU7F1leuE1+fPdm3QODLbo2z9m4aSjJ1ZFW/6ZwwlyEzxkNqokZJ
TFq0WH0YJxpXgwBb+htkojH9BsnyJQyTjnkhzV8zw135KHW+Kco1fmcZMw8j0QVBGmo2hpoe/ZG2
Tg/ZuFJ625SW8VJCv/5SKHfYNole78W8uHid3ByV/ToXLD29Y9y1DlKZcOyCzsmqwqcILNs6uAGv
oo5KrmxyY4LxhuMllJt9W8p54sya5K7SSuCYcLixNOyFDY+USphYHVAcjInz3WXgH3v3PJcur18j
xxnLNXATYoOhH46YU/RNoYpP3Gl7tG2PzoCUDgFvAiFpaV6Wl8u+c1S0Xey2OYxW1R8yPuVLo1fj
6zoa7cZVoXzWhOmeMYOF7xozE7JZ4nT8EXpox+GxN24xqhtCveqz7O3ihSSMgdlIiANCwGY3WBqO
AXeZNbBFM9H37iqwkpaGNp8b8lsQKiSFuzOtWHjxVJHAusyo80LYlHfdXTA64wqlajgP1S+u1KTy
NN2BKGdE2tTu4lLptObfGnDG3XLVVaNSmV8l3i6eHVlp3OVo77iXles9EpXxmIl1vte6Ds20mBDc
uRglN2Gm1sMKUvHgFm77SmBiskM2VH9Dt5Vwi++sw5V028hsam+c3tQHr+lruRl6Qw/QjVf3PRoZ
jYllRCmyRuOjVsoJgI1koxtsinIzDbhFvAzW9yXv6GdVnfk9yUr3aMdxGHkLOqc7JzJ02uus5Jkb
R++3ME1xAMMz3MxqNY9taJrYIpfi2yAyJtdV5QTrDBKxcl5dwnYUlxxTTe4hGF6CKkZ0Qnuf2d1l
qq9vGa7RmBDmv+wxZXGraXiIPkRV08KRxCI/1LJwdpmxtl/SmhkWHDUr9gXxD4HLFnNGVYdEMC+7
J6lrxMZbSvlLl0XPdupgsG5JrSN6ekwPUylNT3TTeiwYz45Ns07fRrqaHl2m0Hvk8jxN1tR6RgeX
HN3RQNGvBp5F4bRexCrQkWe1Hp2xrBk3ZYePIwaM9ESai4OOhAHZIAV8lV+lUryONp4nz80s/bWQ
JIUBHsAX2tmowFpSl3Ja1dsk5cH5DifkBsbGqhy23SbU1u2isvqG53j9Es9h/TxCXxOpZ7MYOGCa
CxWIt5ZjO09SZerotGL2jGEUwaSZxYUALEastKdF1lNpMn4zVC8DoafxbWjPqMQ746oOpcPiZTVC
ZP+drnt97eQncquZOpNUVZ42gLcrBHF30CoRh9Z5rScQkDjViLefk62+sIPzOQzfbKQ3mojvQ4e7
azZpWeeXV+zBKDhKRu/CC2Jkf7JyvTlWGdH1m3Lt5Ztms1/M6BOjwM2kTKjJawoUa0aNziPBac+n
ZrzV5PwlCdP8JrEFb9Yk3V3MtvVbKcD/a2T3JnnH3F597/8/gHYtW16DkP8Y1n3qYXn/dte+fnx2
8b9Cu7/95G+wrv2zo+NGBJqVYJ/mNYzrn7Cu7lpk4ri2SauNcw0G/A3WtfSf7SvQ67C8ob8X1yTZ
32Bd0/oZ25POT4LsoliT5v8NrPt7AkTZhoss3Fa6lLqJc/R/qdsue/TAgxh3JM2jbhna5bbk+iNN
zU3aN81ds9Oku9Q9/MsX9Ru6/K9osiF/DU3+T6Li+pttWzIuCsUHlxiFf8+HDB32W1Qg4w7ZW7hN
WkvUr4WJetdDbWrjC6mNLMZfMg3fcjR062a2K9BXR5Gk6IcIOOVOz9HQ+R2a8ZewCROQJKO8euUW
vKVOa7EjoUyK/awIu2E/mQZ2uAZ3Kg3IU88VUFfO8mZNjWfhvS15TFnqpbCL+XWpTPe50NMi3ujm
ON4v3VVom/WgKcjRUAXD/tV4cw1z+FbaKsEkJ0bCK4qTnVQJSA+GgFX63Vq+0WaOBs8ag7UyqqAL
q/eRyCdaY6b0nvVbfXVXSWF4qKXntsA3SrqDzQSgRTJ80kb8KJs10qoDtyy2wnD5ZEjIdjpwejim
5qE35zSYpvjOiQe1HedihUOuMl8zyuer29WH5MIcOJlfRqyozC7mw1KQXsEtt/TzoiKc07Xs2xKj
mIP61DctFKPRNPCDbSOudQQ5OKheopZsU1ZT87XW8tKLXPukC0aeGDcEYCWSiXyL8oT8kHBNPOC0
nZR4+TsBz9zFFUNo2E23E8q2sz7U/WEN29YL827Y9tVAjSj6ONx86LGGCGVTPyVqkzlMzt0MNNOL
aDiYSJ62mODEwdYVFnykqhujHYYjXECys6bYxBg5r3QnlOY+A2PdhnVUHBkV5M4VhFS360IYytRq
m9G0yaPpjCg/lKVmf9TGGO0RwGiB0qR24Y5aHgyGlYdlzbsswNBmBxHyOHIF5hDPERSChQvJwWwY
ADYQpYDuLh43k2V3r4uSWYWlweK4J/GqXqLBdm7Ukhhv5WgWH8ynwOpAK8LyiH4deExnZ30GhA5I
8Uguqek2h35pTmQ3aMfCqutjvBbV18KRNt912oKskrQQ428VU7L6nRuzAep6JSU3fVnd0VObo94K
hYEctsrKwASHvMC6r7o/G1Z+zrvC2M1oz4tdpsXOl0JoLXLnwtaDRparuRGa0etYQaRzo6NIYVxo
lvHe1HCJ2HiNomMU1YwiwL/qBacTS21oZuulURYa0gaO8wE7jI71IOFZI5uoOJPMZCIFpQiEqBCH
im0ysR+rtmXJdOBVFr5MfC+etdgTkkkSJG6tohqf3agR1w56hSNKzqZ1inCRTxtHAKUeF+pKPqsG
7QRSL+M5s+IGJXth2N8Zz0Jyw7DttB5hANY1GmQR2sPVVrSVbrOe0E/hoTWF2VqwNzqBQVaexo+D
mZS4Yhrt1Na6sSVdorZ8ESXqYQARmXh/RbfNV405YPmQUUbaanwGPd3VukbVx3JVYY1mvh9j17qV
Nq6Xxh7O12IARKgyO7t9knmrAfJnsiYFxYrtJ62bSynX7g7t7UecGdKDwSr8sM+jvZ6q+qZUigUJ
7/hWLQWwfqGSuxhp+o6cCucEbGduKD6t3lbZkm5AucVFX9IoCYolnM5hR5xAgUTQZtk2k5NLsF/M
CeyYob+WC7HQ7SKMNwWYfMzNIT+5wNezKoAXUGD3VkDbSSc/Ce8hZQmTy2L7TqkVXJfat76IoFoR
sZbSEE+IZtW2K8fhHiMCIFScwOWA2oxHzImftdVw/+gq297GbR0GrrkopJE26EgGMufO2CunImJr
7+PiTtPRgNGXTF2KTkTWg8rtDKhcW1ukvUvGIhM143uvFcOlm675N3GFpmGGEiZgZYz9pa/ISEit
GV+uCJHAaWP05ow4CjSMo3vLmflgQunkBE58G7NpPjkIVU+C4+hBpfAKMydwNGWXMbSJPYrC/ZCT
7VEV4tjnsbqpTRkfkVV85+mUXMrKxUvfNlHK+raK7pBa2ezXYZNFm3ZdySlIusgoA21p2o9EW/DN
4OfSz0qWHZRJyKy5iVstnQHgx+hmjseHZImyr33SovtWlvOpx8awY4+g9cflgtmJZnTGPTkIqb0Z
x9G5kCBdPCuOkz/ORrtnoyo/BrjWu25uwjdca4b9pcMFRFTDWmKTqnpLn6+mxDYNaqYDJlbA5E1W
t+sNmjXLTwf9DS9EtcV6tO5y0xhPmOZIuC2/afOA+pDAPIzqWZdZKphGaRnA+QOso1075IthJOgf
p8y0ryh1al9Up6Z5s8jW9PJxau4Wp7wPLdjLeCASuasL7Q67UniZtQkrdAe7RxWC3rVJYKBYCK6J
FYRqHgpDpZvJsdsTAWC+JlocLlkS8RHiGzRbH42a3/ET2dCzilFBNxHT0Jnja3Nj7jUtxIcZkYhj
mvmZgX1GytmKnTMyLIeRSZFBHHGQ49k+pSJ6jiw32mAP4QQIJ27PkYXSs6f+0S+0NX4o5nrZVGmy
1aaQug9pkOAxmOd4RkiQa72BChFh5RyZrO+Eydzg8rS8qzbZq2YK15euMbH+he2uVqAtHKFpwyxo
+cjxdDjL9SnMITzNoiLxV/LF5k0Z3lQOjcFhVz9NItYe3aps970rhuuoQZe4bPtdRZbOjjsQfhdR
EyxF1sBGH8wsELS172Vq4ZJP3TuYCC5fTCG3M8cdVKbrMWqNs73TKOfbZLOKdq0DE21ZrcUFz/bw
P6g7j+XIkTTdPhHKAAfcAWwjEJoqgpobGEUSDq3l08+Jnr59pxa9mMWM2WzKqiqLlcwg4OIT5z9x
XGjfY+/6QyULJbc9nsuDiis6oVbXenRmw/Hdd83sAszCPJl+lv6S2kZsY8s5WFQfX5MKsEov6ONu
R2mWzZpuQRFErhn+mgy7BG8ye1h/AN0CttlwZwweGJ0ytvQD5TN2zjQazCPKxLSbRGJ/AkSi3muK
6R5VKx1XRlVQLgyvYiPMJ6quw5DkR0p08WPkW/JkeoP1NNdJ+Cdrw2VAzvbyHbZWnLIwWeEh6Ux5
hCFwBfFPib+JbIMivTm1EDOiecAaRqDY5aawXmzH81fMroEThBMCDUBk0Q/GnjmsM+Uzg3TQRf4A
Rdh4Eq5K9rFu51MyJcuVNDe8kVbNYTnNBRgejg8gE4p2K9oeCbIzzdTfSG0vTymjd//0CXn3oMKi
uzTgoi6+Livuw7HSAUfbfj1ytN8mYdq+eHA67kJdFEcdAoyYxVCjGWCPQ7RqVPQWO7UT5LmZnSjM
Tk9QM5z9QEr3bPh2x2lShQ92SxM+szzr1BWe+2ZkY7omola+Md0cbBD1EdVFd42XqBskfmPZ1Iak
o+ClTs7JXWP9seJZK+ZexTcOWDICDk2D2EWGZjWG8bSGAYkR26M6ZuRAFA9TKsP8jnKa3vlZUROe
La6qJZ0u1RlMz6r4DgqQTs+2GoZ0RS7GfgrDET7AYgB+fmCLYH/rI3eYWcAsFeStF0PbQC33lwJo
l10sW185V9XQSdZu5n8mcWWBroNkHnvFvCN8qbZ1XekfDi3ZxlDI/+toyUD69EQUdzmx6kNVD+07
L+1yMfyW06acwDVQFQg8wxSQ+Lx0I3PAbyq3o4dyasTdCE1p+iwZIFaf54nBxI+MnoqAYSGShNxE
uOCt8fCScdUVzRSuHTHQ1CKEbXjkGAZjJym/XmDeRE8M6Il/FxT3HbJZVG6W0Yl2PTLSuZqF9d6X
vvPUT6NAwGuE/9Yvkb9skjguHqPc0D/TqJIjYEH7s3YIotJniSmnQHmZLgTYnT8NyNJjNJYIPXk8
1Ze5sVgrFqZ8cWBrLVY1SU5xV1O/KYDP2P2r4sf9mYau8yxBNzZPXu6o7g7giWNvFrAfxYYpeLw/
eUJJ154Ta+3JaCZwnUc0FPG25/hQWTyEQY/BCShBElnu8llZqyzl7XVm+EpByX54KiFCgIphXN9d
1LiaNIuB5VYblWvxvrtiXpVDdU2s9/Y7aC+9K+iZvVS+6D8FVyJwPVV9aaRzjo0hiAglBSBUvVM3
wziJeA5Xma/Mz8TV40dU+MlBgRd4SZbBeLOqUnobBcXgXcXzdBy6cd4Ovlfei8VW54jgVUQVbwr3
TpJt6rlKD5yo9c0kHIoLpGz3PR/h5+BGw01XGurB0VWzxZTbWV3p3seE9o6dElYA+y+5FI7h3DKg
AZgjzphpresKDXjyajRON5vDU9ksDSuOG95G2vvoI/1Dz3E6Y9OExWqq6YStbDoWq1YN/m/vAeO4
IvW3tErIvo9CvzRgMV7HhDcnM4ruNcmiKAgnZd8WfVoe48zJzzhTv5GjzbWoOv9Sc5x9yHKUugnp
/A/MOQTtaBR7OGuK4Q5+d1wiqjq038aX1LKTVWuk+q4NZfJAjdDezGSBr6XOqruZQrD1jUFiXUW5
Pg8IAIFdxbQ4wcRUDz130q96Fs5ZkwmB0wXBo/XK5n5Ayz1gabz25hSXwURjmONBzjiFqfS9NZaE
2KZ9t3xqBfeMGd3mOs1szkBMLHujoChw+VExMjCKbzGS3EeI/7KTEec0ttXhMqObfsScxe6KLlo2
C5nP256yzWPHKQ8rm3b0diGNf7Qdp7oNaWM8Dy3rvVuV/UccN8UmXLr4c1YQBlaJz5XaKhDNkd4T
wlAzb1fMrkJHOvYojbCneKMc1jjYuC5kE2ggJreFPYQvGXM5jrIKkxej5LlqIVpyExyKADshDXJt
Ww+ub4pj6A5jYAx99jTNlbiFflj8OjDqgAuZhXjyOE/emTl73oqmgf0DO4AbFmXy5mRGrU/hIyTO
ZPCgIZlCfbFgP6T9a1+nXRSANKxeu6miwEgWxnpM5Vw9uY1oPxNDo624aY+lOvl1AVIiCz/Hzszq
lR+xvpzaslEPC6vfy9IUqbpJAO1he6ncabZJ6oWfUTdyv5J9bH8NqlAvJQxTZF23/JxGiyJzaLqv
pUKkkXlX3jBkl5vSyNrBN5TkATDMbBsPrnOhG2FtLNXIPZ9ke99Y7XALzpX2R94PJ2vAZ2iFF27A
tWX7ubfn7aLb8gY3xFpRYareGteMt4QDjIvMUrlOKOkTrlp3LPHluijL4qck1DfdUZjXcm9QQyIn
6M8z5Y3Ieim4behVlU7xLxAIqjyNOW/mZJ7UKsS50quSuMhryh0yAKsINc6NDQ0CaGRiLW1cLtRC
t06OBDw0N7M56Hfhx9aTmxQ8QLG18D0YbXmBSEMS4MoafHHy+rdNaSduancuPpcmnH9LzqAHLQ2W
IRTvQOd1GcjBIPw2xV9phLAF22nVu/NnNsk56Nia12PX2etRJ+b1MPbCIlMe56Z9ZMq82EV9bJyi
pEPqj+AL9H4mAwPWUdqDe9S9d+ni1rkP7ZA+XOQISuE0lcBFhelBgqs8jSRhDgT6eRwMRL8jc8yp
ombavm5TORGorobMluGj+C1vmrGcpn72buNo1gGiR7Oz/ND80jw+X5VFwIHsWpnz9Vl9UtqUt3BG
iy10v+6SzO7DvGhrx96MXxcaeMCdZRMeMyR1QoMeC2Gv5l4K8/6qCb3Dr3SqFe1Tyw5So0juOdmR
YjNZr2616ynUrlbqaOUT5Vv3CRdPQo2Lg/62dIE96ezFZISaWgEcUWeOBpmzpmsZ3sO1QPkfXdDH
lPTgP9pxQPTDXHnhzHuZhf6qg8UZbjtyDAWbXtmcnAYtce30InyFBSi2tD/ad7LbJnzZngiW0nTv
WrrRZzvua1AYTDwqayht2jLtW7MyaGCRjHVPcL7cvV2myVHEc3uqOrM6xU7skcwlWFeMCiVPAF95
wxvu7hHX2m4j7ZYjDZ2rdFMPxjyCaaiSTeTM3z7OS9CJCGpTJMwfA5/4MGD4PypWphX8W+GwHS34
k4uXbiOGi9LRN5d7IgnxTgu6wCDIcu92SrvqvBgT5CDKt/ySYRd7wNkLZnPmHitZJc9Kwgpm8W5p
nthwqSrEK2vFS93ecycQgDyodOJBD5y5SN7aLZtZx5Rhhv9MXPcs4LbCePa6oaUKTEDWmvNrLb7S
E1icbDq7oSCON3vGoctUdTTAydKFK+oPk0ZwYERlHLR5AtrBb/dc1zHG8vp+MEswbKmHqoi3O6/4
R3noHC+/ySZ33EKSrNyg0Amw39ljKIhja97xckBuUN4c7vq0biw2HjHcWTTOXyDzWLB3CljC/Zzo
FcrVEoEbgRLi0hTlnjzG1VNKnd3cxkB6ST/h3xdbg+ZreRq0FkiyFXMNVqA7eCABZxivReK0R8/U
Cdozh+h0raktX4hWNTGmv4rBSS7XqrxPIHNF1EiOQVLH/W/igkNY+lF9wKNVFw8eqLV1i8yoNwkF
z2wrbRhT5C+036yyTFGxJZ9hX1rP4Yg8YjoPq9Tzq9fesZOvwTDnBWTaaDqHqQWzd1yQ+p9iZwEC
Y4fjzoBKdT/1dhwRh6rbM7UEMmMCg/ShGhHi7MEhAJF279KKqyD06FFalu9/GKWtt9U8aerFrn1s
KWK8JG1CJ7EgmsssXS2IaVsZQkp34FNYcPar6U7FresR/PHLx64b6LaF8/KEfCmPXi3cB3umKx0k
NHZuon6hqNLVtveDaqAkvFiBpQ8SuFsZE4zKwKDev0dDruHfROX0Fnsg+riMiPmW4XLuptfnuHL7
PogK5T+lxFtuImiucAKbNACwN92Ggp1gT7i2IsS26O7L00lLLXWeCFdMZT4MK1RneSYWYROaGefM
D2J3Nup1Z6PUBkPpFWlgw9naso1AP3D87mzDT3hFOB/PBsEduJcWQbrCgZ7YVrQBSRPf21XnbGLP
GM1tGYsZEoVM7ulGQHIpR099dAA7iAap7NQZ1vDQQFeukSAt7ZxqcE8mP4KMv2qPQO8MSlWsO9cY
3masRuR/DteAoqdkZ+p4uifpTtDbhRtOppsP4gwFGcBhVInoJ2QQUr+OHct6jEKE3lWcm/ljAvBq
MxkhF2havZLttJVr5WsuUlNuy7umtNpLHZXmRYx2cQ/hoUjgJ8b1+zJ58Z1a6IyuhtpTt2ZrXHFa
RZtATOhq61lpX9DcB1m4zslp6FXbo38SNs3dI1MHwu84zZfPyufl2RA44u45mPUYBsOii0CBoihw
ZIfsladtACCSxewEqJ7Tfcv0n+/R6K4LHC8ROdns1XVtcYBGtNyaonCPGPzmjv4WoCLk7HXf+uZP
6/SNBmLNzkdn13hWRlydQbC7x4m8EITRbjgstu5/294hisBjW69Gz69dcgfT9EeBSQuarA+4Q2TJ
ulMMYqQB7x4l63YwuGX26EyDPBqCOu8CAPSnSGq7Wi/ULkErmsU+gU7CGS3K60+rMlumNPdueeGK
hPpNSeI5HWzv7HE6+14q131kpAx/aViH2mio3yKmgHPFC2fsjthtjWOXmuOm5zN8LMa2+2YHyr0V
vBb/yVgsO1wXNNfjTdnqB4LT7aUsU4l7wNpSrJyeGdY+KO6H3HazU2XxRcz1uIaxlPugpgI1wZzz
/mNBVrtuyIO49Xq61KHLrWQVFWN2STX12jV0Z1GR5imX85RisRG1wjYxY3XG3CoOmWnpSytktRbp
JCHf11w1nLLZNI3F3AM9hvf5MKsjXxbd83YbX5MFgI9/fNPhkG6suJw+uTJ7dz3o0Id5yn9qSwZ5
2hOM0KW3xqmfbxXB1Md4tMddU7pUO7T/OMet2KQquyZ3kC4PXWvC97QBBG8SEohXKgLnCuXy8sxV
FwDnLxMC1u24Hbi+4tD0KBwGMcRDx7H9w9WleghNE4C3Y0/NxeFAz00gkzRV4NJHq2EC/RcP0oYj
CafhPUqn5gZ39RtGkkhXVdfKew2P5nZUpXOekDM+CtC5cpVaYQQdq8e+0T1P02hGe1ZVmgtx4UGz
R1MgByd+qyIE+EOMlBFmVtka8RrZnZRUClcpX0Pvi0694RavdsSWBY+PI4tG4UwtMcYrB7eFwopV
veCndoecz5cYdFfuJ2C2gekCY/JmkxGIpi0ddtNowrTquvxD2SHlnXDpN5mavd+B6O2JIAQxfbb7
d5OeeUMyKfMYfGwO/rEPJQdZN8G3speeG4yAE39qwQPsRF7bgYebg9xbyc9KOoVD5LozDiFc75WD
RsLMBXSM226SLHK+W1cT6XH9KAs8H9u3xidmIzo/5ThPXzHH1qd66ultK/o8rP9h0d8oP/EYqGlP
00ed4l+uWBWiFyRSjiZLzh2PjByL8dB7Lj5M2tlsNGmnb0fDNL8o3Hn5ZqxCygDNzMY1F746hKUL
uqqzDZj6fjNBMbBp5EjStyAeo/LQtLJyqNCKAmRhmM2vtZcKfBvtb4Wo2PML4GebUJlluC5DSA5B
58bLbR+HrN7dKNKj66v2GE0QK8hOze43JMUYLc/E8SMvW7JbibgKid77s7yr8ljTnO9sskqJZheD
B6SSAbhbD07RnyZ+mzR1IqqDZemvc+VYz9nQ4KOIIj1NgzvBTQ4N44DInpNob9rrvxh56UiVxuIZ
zxZE44ghysSmQsofQnLFXYWDembz4uwCfbJfhdSD2kNn5teZE2KZ3tCbxaZJE+Mput6ucq8Dghr5
Eyxx/MHNCNcpmOLMvPX8QfykDmnjDrlvC5wL4JFDxifcSlIEIE78/LTkpnUkQTzdzSaOt21dRfJc
AyuqG7HxPGXxZg2MuEjGMy36B1u3I7fr9q3nEA5ps8gOlL2MTZdabQA8YvhjVTKBANHEd+K6OkfL
TKrPNYsbY6gEIUH+bkkknSmrb80306jjO/js6S09L7EpO5MAJWG3Nl7bsnvTfbWcm2EobsqUdGCr
LWPjiDA/ZJZrfmfVwCiJymtucoYC3oewe4A8MNo86LNx+W4jW+8jy3cPzVKOe87ryMQlAJn/rOL/
r8V+/lYC/T9U++RVFjQt/3026PZTfzafre6av5U+//l1/0wGmX+h1/imqXzpMXba+/+FT/GXIkHL
Qi895V9DPv9KBgnxlyn4F1Q6he3TyuSL/pkMsuRfWK00PhWZIRw3z/nvJIMs8x8RnP8a0SH/5Diu
Zdu2p0xSQnwX/7UlLbigT/BaMe7Qwoa9unJXeT4Z9bFoZMK08/ETCcjaKEID2qTHAYI8dmRaJ99w
DaL0zKfhIt/K8i0H3e/fDb15/S+KVnzbtSJhidd4YLk18xXIkwnx140aPEMjyaqzZDzBq+HIOHo0
iQaUZ8RU1Ns4wVJfl05B3L8pVAg3JxsbFkpdESrvFoXfDvIvBLCeC9h8Ph7aSD6cJCgVniJ6QOez
fq2kdLgvKuGv67T3D3VaGxeRcv3GJliGPGBLcag9xADeSa5U4w3jsHPy2ZnZ8gdoxmOHV+RB5yqH
8C7MAT1xTWEFurAyv8FAmq0dCz7LWO2SycRDhEY0gSwGxDyRgLxxBtvCPPdanV9PLaz05UALAbOF
KAI10lxtSUhoM6CU7i7rkWITB3obtTWKaampmr6YYdpztF1ab8j2BgXz9AhzsKfQGUG3XSnXQTqe
AQdy86CIdxadlc7glRyY6FLqoEvQGaEziXuXZPyN1Xga/G1UvbeW8S0h0qDnctzqIdFcZxUDI+5W
0ASQiJwsfuX/RvV/iJqHEABMeZBZNeI2ofox0RWN6JKCi49uiyikqqGyntENZBbs9lDMKATbsVSc
hdiy5HLrgCA0jpFrVYpey+IYexLIySv9hbHf9dARhtuwIX5NzYItIPBGIR+KabJG/JuwLW48s0Ps
ghHMpooZYO1l5zsQcuYYhK7ppLo6UQkjfeEpm/wkYY5iLyav6wLLLkW5iWh6MCQEo2JetTbZhe2c
pgNooLls5w3HHGFttFuRfnWianpqNfiKfTLZzlcF9ueZTQO0VtQ0P2UbWtORpw7r0czDGfOj6bop
kFbJ4IrG7A8RTisEkMVdYLMb3pDDdeEKfQ0VfVW+1U97vH5OCHqK2iGA2stPbOYuerTHjoBVXDXp
DS11fW5i98FFZ31u256gTRfWxiHqLQ0ne3RN8k159epB+78YvW4/Fnyjky/T/VCKjgY0v7V4vAaL
kSuzuBNPsLzIVVlmWtbr3qzmR2Lky0+u8+V2kJQw10wo0dZ9g8+GG1CmAHZEsVTDfjGj/BZdu+n2
JPS4VJrJkL8j8NX3GLZmHYDAw+AOGV+PsClt56me9ZUTLHJV0wP2GIKapoW8cbpCS844wJERdozI
OvVQegDFR7lz21QWE4BGXc6EdZI8/uj8EgY30W2edgsfcm3hhHlBWWsYdZ4ZvhgLI3MQVShsTyi6
ELVAngF53HItnV79gdeubhMPLwbn5H3OIt6bymecSFRKfGknL0+FmQ1PbaTQb7I5Yy3I4OrFjmM/
NBCH8WJ8BqT0Q5lvitgCZZ1AUMz3BKOcZ8K77QlYZ/QhU6H9zdJ1WXhGM2baq2vrIcTIo07Ui0h/
gQmt51VCNmdY4Z1S7a2z+ilWpn2YFtfhXJ0VSLJakY5iFKrKfiqpm6PdLD4ts8lbXnqqI9+I14MP
l9+eoh3+vFdx9nQj/M5x2DhDNN4xhItjMFlUDqhRmY2P1RhTXeJqMjkBY4CGdt34eQ3qUYTVcSCH
1e+mmXMRgXHqnEFK7jVdYx8k5lqadfs6IMXeE2srOUbHxgdThNzi2Uu4oQfjxIuy8lPfDOh6ymth
iz3tOzdmGybbYu9Av/F46lcYSuZX15P4J5WdbJw4bbZ+r+tAtx6xez9nUAfTI/gtnSiu98q5NgZa
wrEs+9d5M8yn8IunErnJWVsOMdHBqcNLPhvmUzSnfKKKWDqRabSmcZM5SXI2e2zLVW+KgXAZRDjj
5Cwi+VQDTMt9FJt9euvY4bL2IpYcOIV2vqkoNygKhE3/EMZp9GR5LHPBEE1Wx3oR+yV5opon0ZcF
nXXqGOOzPyOpsl5ZoAhaPvn4GkBX52wCrrbO6OHWNNgZHoYEgYhIGE0DW2WAChvA4hKk0xVkwTXg
AFMcrpkLehZ5rCgUobpA0YunU0pDes/DvBiHvrCiA6fyimYp54N2L4y4QXeupb8HBRj/KCyb16Jv
yrMxdHGOWxgv36kDqnFVuhLfYUp6r8SdjTs6LH0CK7Nw0nTfygwfLobAypAztQhn5QHCeggL3CW4
ZXnyQLBw5oDQ2PanVy9sdF5RVE9X8+KWmSEjWN504pLopCytfu/RtMYOze8mVcYX29PDyziX/jGd
I9/eUiRfLrgxHpVvdIDhNvWX+WlYTK9hVE3KdkRuqq72E53iP+7ozHvsAusuHAkqrUpjLLMVc9gI
9BZQssrAG7heWfGkw3vs5GneO31S+WSPyBGsDJChtwZ1yncyJ/KcCONEHzXG4uryS5/7McVpcpZB
SC93Z7PIBWE0GHtG7aDv99MXSRbYbBVrJtHU1P6QDfWZdUQrndxWb/+2FcK5dqbyM0Un0Yj4Q3ow
J6Zgs8agdcRR8jhTZ1tnI3pVMDc5ou4k4gvCiXu0atcUu8GmHpFH5DyyDDOxApAar2vGn62uBn9G
vVFDj6xlSsgiBLpYk6slpyLUxcmMPP3QVhfdqCEd16rUy37KTViHlU91WHPXstbX4QO7JEIfXJHR
Jmmro/FkaCrBsHBG+nVuPLsMMojdu6E2GqLLTvTjjMDMyLI8GRYbKx2GyIkp3EIsiCfuqAyBu9aA
XYbRrBrWIi7u9iKGg1PQWajpdJg7q8gE8wOS5GA5s9yJJvTODpQfLqb4YJmyqw9p4djd2Uk9/CrP
LUbOBqnI71WnmyzQyWiorRRLCrrKq0DgWWNp7Usnnb4iEfk/eFHx8AKUuLgKbFb5U0vbbM5jKFz3
OivcpZuTgyy9iX2LjzGK6PGuHCas/9hRhtlNXl8Ph9DMHJLGHOfASFpl7h8LfNrHGmwHKPPUyB9H
vy3tQzmpfLnQY7wMLUTBo2zqASfeH+fz7NokiexF31rdxFwIObcmyTliWo1my+qyLq/WLoOxSmog
BHhWHMQZfLU0+pB7kXcsEiPehz5lENNxMA7pspYbVEIC8ECiN76ZRezlnEF+GseenmXh6k3vjoIu
WSQ4RZfei2EQG18Rq/e6gwepsvicyfxXOxZa/2mOE4ecIPrhKnKa4h7Wef3STxlmlj2P1tFO5+ym
FaWbrRlxZr0K07FeFGe1u5ZUNnGdIaLnnTcKQx0RAOKbmAA0zhX5JJvhoN9skFnAluWRSfcM+7UL
20/R1ITy8YMw+SKRVlBk6/rViiXRZgt2ES0VxhaPayOei5c66qMnSKx0VokK65XJefFxrPE0PZ7k
WryRhCEUWcNA/qahhsJjYB5ZITB2zuSf1kQOv5/1Y5IK62DQvnVWCD+2f8QE8NXeXKxhuUmtLJ23
ecZYl7u4HGxmEI6Gm2DaYGLsRdUqdAabSi1rnovjY1qFF23juq9oXdb2RAzX656Y9FBI2uOReIwT
8PIouGzlGhTkpZnb6MKzv+yXYSGbmtIY6YNi6fuHGBzuGpRndTJpj22FwakAh/GPo5RoAdo2UI9J
W8lDm7SzfgV8qGm2CXoNOJrXyP1im8yNsOv+gRAAOW6qYAhW8QaCzHQ0c7/c2KYCztsyJ6EfY3wU
6l8hmphLPYxmnryrJ7+7jEa47CIh4reKz5Zk/IS/ZKsiBc9t+IYiaubE8cZU2k7XDkbzu+5UbxyT
a+Ru1du5+wxcg6opOrtlr/NmKL+ZQuROpMMHfRfRUYYR4F5nnbaMKHokT0NpoIz9hB+hXN5BMI8f
AGlDhVejSb94fN7QT+2q3Tl2g9QmIiITsZU694yaMp844LLCktPhsI7ifgztcvqTh/W8VczJOZDm
W+L9AIjglkuDFx7rpBJfSVnZQWZxnQk4ZCwkZMiZNOslRcubCJZUKwFBUfBTDDd5VsdIRfzEOnIP
dppseJlh249kDb54fdVNC2OfSLtlsrsPToEcpnVGH1zThiAdz3SIUOb3wuQwtAmxQy1ow5pxudyI
TbJHsZFwq+J6o9Zccped76TiQxJjrNdL13N/ZSSCQ4GwJ7vCRclX83MTtpazNzoGwm1jRhf9DHUj
D4PurXdC21eVSDb7tGKZXwQd5ZWcFWtN2pUbBFlCJGDfEzKlXNPJOPcEkXOh2g+HMWD35OfkTlmN
pqLoQThgmIdOtzTH1Jngddke65KERtD6oaIbjv+18fIJrZNMRMKBUkSca4BxT/deBYFsHXWx/xP7
tvdot9EzqPwmo+mnfNIRwJ7yanG3thubO8YRece5ZWIeiLriwASQ6sEdajOoGjokG/bmLNvMcd9e
GqbwrmwmaDKipojb76TTqtv6wu8akB6w5rmydz9Vtwz3U5OUFn820yVLVUYRmzQW16fTjWaQ8XP4
hbq/XBixiBaXxerG6bU6JxUxwlyH4y3TYk6R68sOMjeYM8YnDPvUUd9tz4EnVRFNGlGMp1FzSwKD
s2uTjBPvoOzXZdE/PG4TnzHqaq/in4zZOoc2JEObxajGecIJebLUnZMb1TGXLd/QUFYPIIbYQLsm
+uBMwewwFj/16KSfppByA2pActAvGFk3S5J1TikPBE0xRLD9d403QK3zdVCWrb2z4sKFN2BY+xCU
0MGu0v1SUBInmp4SIp2qYpvkjf3YWNZ8chfP/MLMK04IneNnf83mO2Ga51u/m81pz/grwmIskuP3
QvkcmTm16jXxLg9bqObQVQv+7OthNOpPmWKEb2gzyRsyNyCiJs70KWipXcL0jX0Vzlz3hyp9YOrJ
fKekI5uVHLP5ZpwGToXe2C1/5qSFpZpyglxLJ/eeZqnUzSzoWqkW1pGeMo9KE4VzwUn+T2ZMza7p
6n9sJm81GGRrtQBpuW0Vi2gH4jSBFyFluMtLP9pjbO3qjPhu0WlCWnaF+JES9XzmuAumJpvbaj39
484xVVFQtzL99WztH2RTLpcRAMy7lUXqUpRzP0HhT9p1LZy5XRXwV9exZLlEudnJEuC1iKodJWZ1
T+IUVATzYoy1kACFd4Kizdbu0c8jt5M3Q8b9tHed+o32z8m15gI7WrrywjyObl/DFTiTP0M4MnXu
4bWmb3Vmm2+hmRMZ75vmDjfK2jhwiLaVvMpn7RhUJObXnGjkg66l2oBYj48VJZjanvs9pYg7j2Pe
2qld5zRLYXGQ8peAeG69KUQnuSMP8U3TRhSl2IwpzJgc74js3bBQJRteGe+1MIgmrqIGdmhh46cI
K3qaM6LJu5jE65NSU7sFkNbxfDCr5x6cm6foLilG52bGuGHFJbNpF9kWcFN9XACfi9NkJVVHqYmu
W6jbdyPxzCepamBAML/aZ7KGnPai1H6tp8TcEWEx+aku5r5S/PybIuo2bpsl0bGeRo4hox6DQUrJ
OWdJ3a+pyD6VwR9kKvEDFYMQ/0B1C3esD+WFFvPIcSg07gDyeBsnHF+7K1Git3Ki6Zmuyp2kqEi+
Z7roMnPvKvLKpOa4DkAz0lxvVuEo45OZNsXBNRvqGp39gOcwrunJLBzIwvlBObPCAAfZAjyIyDfC
SULra6cZ+HZQ04I2NZeLelEil++SeXcYt+wkpLJOLn303cx9Y2NA1o3vQvJcX0uc2c/4/uYvrTri
WsxSeeiZ4kF1eunuKmNOx1s9VJoztQGAbMm+a2mJdmPY7bTn6D3/ahzyh7SVYl/jl24aMwepaKaE
Gfq52A4eIGa664BMNtMiI8FxmILxOk3iZVxTtO7PcLMBUMjCYtP7n+FE/ts28f9VWwG8okVD99/b
CqfPpoAumf7NVPjnV/2nqeB6f0mJ42v6yhf/aBX/q27s/GX6jjShOJoo07SO/2UqWN5fjrRwIhyP
bwC7kl/6f6aC9ZekGOz7/IrD3yjvv2MqXBmRf3MUJDMzhFQ2robyOGL/3VH4D/bOZElSo82ir9Iv
QJszwzYIYsqMnOcNVkMm8+TgOPD0faK0+VVSS9b7XshMZipVTOC43+/ec73BxbE9wtqHr39YmuWW
0qIvM+B6Y3diJOP91JZfvTPKPy4ofue/p1cG/oXo+qdXJvdC1NoMBBxLPstvcWOMnPbqrZWKvSSU
n7TGiw3uBGwseEgRTyyxItnmzFvsDVrW+jAP3VwdK/YIN9BFui/HhXMR4bfA5tmQ6ngjPNxeFZC0
WOVyCBIwuNCsN2JYgjsAczQRKrydO9tNrCjDYL9fvck/GemIaE5ZJUndy3azWlKxwR1yC08KNJRt
/yhE2mxVGeyKkCP6aGR0qfUNud26Zs0RsWdY4oonmGCYLYsHm83EtJl5hlIBbsDESM2SuJUhfbIL
hb6hkeopDQNeL1nmYT/TR3C/uEz7u+K6sIvhXJL/2szhaq5sMQQWu7zM+Z812nlUo1r8sD3DeR59
mF8RT9gU23oor92GMhiTjcnGokqs3nQk+iIeH5gfWIVfcm2GD547gR9aWcfAou8xaqj7hYAABMgx
e6Obxk6jUjoGXu+S6iJ7MoJbDTn+K5mtcN6QqpN0zxBL/zl2msEv1dsGD51QPM9iHfhXaKneNuls
rB9UtlWbxllKYs3WxXhNNa7eByLIIJAJtmquQX0ATUuRDdnuZs5r55ZGmDyL0dfdu95gNoS0KK7z
gcO16ubmbk41Q1P4TMwU1t4fT55fc9KhLLfZt46ar6ciGHewEpuokEW4Yyq1XjXz1D33BGdoFuoG
I936ttu+WMw9thaxDnq7SkxBexVwMLlLrYsbJHPKuuc6UCOepKavI2fownEz0Xh/8LC4dCTSxPpC
7x8PGNiJ6UhSC6Qv5rEqWG75cwhelm7MT9fwXaZDamriiQHIHYLxYEaCYk8X/7dHZpns+xFdDVkj
IOU/7QlTMTcZhGXvncyHH9+mnfviLkA2SHEsXrL1pobd/jwCcSPRzUa/9bvlmNRgxDYI5d1ZqWz8
6BuLC6nsxVsq2uwzGf3uB99M/jDAQbn1S5dtTb+gesY5W+03QHJoULnKU1p8GhJpTB+nO2yHvMpq
ZeaBWR3UG7YUzofu8Dzi//LmCDxdlUAHKDBu4YZfYotB2K4YLjDKdrUfGjNg/KBRstZtUV+6X6iX
mH/0NdsX6pd1B97UDD9IFWSvEhIQz/pAtuewqkpqpsLUe5ku5ifsfeZMn0E+A2cbh2fkXBLVViO9
b30Oo2rT+UZJMlZiIPTQ5UTUm735aQy5+UgFav0ygSe992bbf6M9BwU6s6tL6FBzaE0pVaT7x5xK
mpEat35svd6Jh0XRM5z2KS6MhJJRkvW2IuOfZ8FIplSym996s09eMMNXGmfCgseZTRxcs3SlDXwM
xIE6BVgKWZnJB6mnHu09Jea1skXA9M6WCgcn7SNISJU2bpduoZrKLIHtMGmBrI3pFIXdAx7wQwh6
V7YeFqPDSsiGYSdFwvSBTpaPznyxgnq0wXPHF0FxZ1CzfmfRbks7WOiSuVwbU9/nbWC/8JO6mxb0
DJ2AAUCdxPHkY6rsbOt01Hi7tlvfg0IEcIC+4m06b+7f7IE1ncVMLPC2HO+DxZxfNOgaDPSDbyKv
4Mg1mNhOKQHudO44fhscQ0H1Co0liF7X5Wh040mlHixi3mFIQ+/UsCxMtNCDgTXW6UaPnn6phATp
uDpVMWySCUHlwKjees/HYcKuo9g6IisaDTOnRRRnOmnVHTSq7jlYZpfJYoK2HCMwOm+6Xruffboi
TNaZYknPRXhxc9JrvEZdleF2TAO5pEdgMVhbfNsub+qmFtldK6Dbxo4XgqSDtpTtB+zt4WmhjOdy
6je5uwAj5zTR94XxTTMBTaIlTSQtVVYDKq8Z2IWTdHUIu/fobLpb05b+U6AGEReOZHxIbdIFA4AY
TE+vCLd90tKV4S3uwB/BSwCUUQaK7T6J3mAE4xcWUxd1pCfOXEnywycfcjaoFn9RhaxPUz2VV2tB
WwzPOa86XKzakvOaWgAUmCx6Kf1UN85IKWNcM/t5phYNhzc9wT2UDdfxCVZ43uNcEpXPMTnUTJ9F
SbxJ+fJrURNTTdRfqB9NMcbQw/RNUGtzxwfFn5O29WvTpvKUlkGbR4XPYwekYcq0v1mvagul1fDV
cOVz68Vg9oxv61jcKJ0lxCAEU6OVjdR3SPvVjUO3JKZGnTBoKW0KUCKrc31xSNJFQM1VhFWIe/o9
J/ixXK5bD3Yy+uOUvQqb3CLOI8gc4AfngL5gk88GGGJ5swmFPbH8dnek/7x9SuPGe8vz+dqz0jln
02xV77QQhjAOBvzJm1QwH4+mAhkkshQFBpthuWAaOKnID63c8c7Bgst+P7HuhD+4n2iyRhSAq352
uZF+hJ6RONEovHw3t9XecnIAuEE7ohzJapQ/13xKOUj3g+9GYWhQG82PZt0TAlWPbWuqIzOwsrpm
+++/u9S9faEL1llkZj0DKSRRmoIV7i9kJCRnQtXr7Ew9vO8keFuY1H/j6ZLfe6aZzSxbXU1NuaWA
VBEu74CGbPqh9G8xYzNQdqbVmWn7pOY1YubibKmpdbezXQ3cBAvji8EovvV0cNy0U/s61RhoG5nM
KP1mS9YL4XPHxoB5GtlIf7paMsd79DDRanz+Lmp1nTgFIMPZYObJN0Hmgsm7ojGH/JEV/Oit0b5q
MiA0DErIuaOeMyPrqbW7Vo75TnNm/1xepvlo/WF1wLHVpnFoDZR9muRYM45E/viFNFD0m175k2JM
6QYPwvbSZKd+uQaCMk2GbYamxt1pM9bdaG1LLpqpVhB84U0wbFSc+K7U5Diveuy5omqzadgIkbuL
HCL+B4m3BPLmigN8wwPe/IKOmoAQLSuiu7KZ1giu1HwLiBkThFjqKYapl+I/zDDxXONwWE55nxvf
k1xSepW7aPzkfgMRdW45ftgEWJlkkPP5SEn2eJE9LAXRK5tV4A+PjAnm8rEJOsc5pBPZUx5Uq37W
pRY8jH9ZN5bERqvhEsDSUXKKTM9EV+wH8cv0UWk67zC9Vz1WaLvBDetZ/s86oVRhdqB1hmW1ZXwX
RvbFOeJOTvaqZwvrvrGyY5NJhjBeD+1mEhR3Wwy2EbqbhKnfiB1lufhShAsay20i7ZCSKfDrEqsK
argwBjPhJLc5B3e82MXRoi7eFjz+2ba2J4HfZdkSbW0OKZN7rOUFdpgCe3asgXOTu5ZV7IeJwyN3
Su6Q29C2fBWsu0DWhGMs85Ur0f6i6KmI0UeAB8nWD+98JJjrIptpRFuKyn9YibW2sRjD7NFYzPps
Kc33x03xQkMtyxUlfmuzD4ZieU2cYHgafhl8crLEC4jGdDAJs3Tqi6ZP9cPJJqZ/zFExKrQgm4eo
5nTzZQcDct9qZJiEuoV2+nawnLMeOIrnFh2YjCC5CjdlrptsC1Fcf+WGP2+7tWdetbKokHlPOnIw
vxxLSXMhiyZYVCwQOPZM3Vo5LyfnYnJaf/mdEL6QpMoMX6TrLDZs46Tpqxu6VgD3MJKdBAJZJeMU
Vv4jkxzjoQVbHK9YYjHDIjBGopd+rK1AR21YgCZ0e6UFlZyecSqrhO7veQGNy0VMoqJNJnggdrKw
E+RBiQE4xZvPjMmk3/BiG8fdkXc0AW8NZ+Gr9Z322RzRKzucV0D7SpCl8wpBIx4HuuggzA/V6wJU
fDhReZd9YojAXtb/spoBMmGLaGJVGsHMW+2LUHb1pAcR/LTqtD3oZZm7o8q5R4E8ccwjVFZ8K4AH
iR3HWPdWLyUdWbbRVCHQ6IvpLb3430Kiggxr4R7bxG4T1DtiNDTDOm3b38tAU1MKOyV04ZSubLAV
Da3gZ6W4s/y8N6+qQI6QXKQjAKEz/dFG9dlQf+BfZMSMoaoJt3Ez1QYpTtdLcWtI7d6048QWMht1
GJxyCmCBilP2cKGal8excOXdYKddyRgezirSK8e8ae6KfY7V8KiDFOe80RY/PX/AaY0uT+ViKF2Y
280VXgex0X17rC1rvZmz8jlbvXoLl86L6TbdN7RK7fPWGLfIgNZGW97twA1wmxtJAPFjZMBZOYJz
A9sPicUt2yz+WMZqWTlYYBjYZqpSm3kiuFIystg3vdnca2es7+pFttvRZNd4sbvLCzx6carrlok8
UhhnEQJhbC7mwru1Q3fYNW1F80RrRgX7y3Qo9V3jSfEiwFwMLLBFuK3l8IrBHddizpB8wmQZ08+5
7FzGFn5mzBodVHlMkufwmPiJk7A/sVJMf9gwtmHSYwowoUy0TEjWWMiquckC3AvrJLWD7zqEqsPi
/RkM/r4PxPDVLVl5l04gIsapCd9pcwxOfmbZb0D/qFjgARr5fEFwcQGkjg7myE2XJxmwwkmWxt2K
eu5HMzVo7HizoXuqqXQ9MClmGqrpZ3uy68y4gvWi8L4Z3cEHQ/Xc0Uf2kSiBTGeJxfialN8MH3bJ
MehiOyBz2CSBWPeyKDVqOjh3wqFMmqgd6qqfsJ8IpZq4TzZARHiAFbNJpgZzVal3VE4jmRdBeI9n
NSh2ZtCrnXI1dopMdHYYqdxE2XaJ0Dnb8vLM7IKOOQhSOwtVgFZdbtkjDafu17Iz8tbeR89hnD7j
VAcji1yasPxbq3twa44JVL7bzRxZ7eBAK/YVQTi7MQkz+dr87FymdHQmhuWyDYYgPIZTOIeHuidz
EdlNxiZa25X3GaQ2bVcoOVeDHvQNThDmfvSvszFVZuH9kLWDUu2kfX6PLNAeRmXbD84opjpOA8GS
mASeJsq7pngnOxD7RJp8fAt5nnA4h6Q2Ef6YLHHN+KQ7VOPFzjMGmVx2tHeNP8aF4fD+l+j3/7br
f2nbsdlNUkvzv+ujr/Tl/Nfmk7Kd6k9Axj/+vz8U0lD8t8DZLBzhU2UDYRHI4x9AxoDGHAswOtqo
aYs/KaTWpYKHhEoofDfEJvIfCqmFQuoI0wp8LNzgDJ3/E5Dx4qn+k05JsDK0OPMxevF9D7n1T55r
3wH2XmF1wCGiyl3PqoVZz8u3lL5gbm6W4398PXd//MV/AjFeaqd+ez2yeLRy+3wjtAiJP79eYc2J
HYoQG2Q5pBgAyuITzEN/P5lNF88LqIE6WcEPKf4Ue4JlgnpTZK56IYVe4Uq2GENMSTBt/+V9YWP/
y/uyEOgcbOkW0sFveu0lWOwUC9xaoCYfY8P7MDVcFNj0B2t0TmG4tvsWzsMuySsOCsvZlUqc/vlN
/EUzDrk6THLiwvJAY7q/vQfSwF5yMcbtO6Aoe/w5ySkgKvb0z6/yN784loKA/B5+foyLv7nsfb5k
TllFsLdblr0SWyRIyYPOMZyylOl/+WL/5jNhduLTOPj6HC6kP//e0pKmwAwe7sPG93ZzQOVQoTrr
X17lL11RYRByR1A+Bf0F8sVvV5WVMCfWbuLv3YzOiB4xdtNU6mGq8x//5y+PZ42HZYvPA2H1txfi
6MA3erl8k5zgPZsi9uhMc0u7ubOL8l+q2/7ml2JXY1OqZV/mKOK3F5sVWzh/cPx9azvQ4wITltZE
aqhe4WSyDTn882ezLr/Fb/cmznJAlw4rAuvUb79VTsJjlX7KZsJwyg2OmvBa+4l4qMzMA3Cflcx6
e2/Hrs86rG3R7kw859+BJDQb3YDxgboh95QET1u79BKTyTIgV88Oqq3rEnMcrY4xcpA1ICdV0RA7
qolUbWS3oha2msIizBTAabBtTLRRePeyruX9P39G82/u89ANiVngHQO5/Pv1iEXP0i6W733aZNax
IElwXDCc4yh0nw0GkdRUkBiQ6Reu6Y4AVGk94U8M/uWr/rvrlTCN5YSEp1zQXb/dFQWTVdpJwn1F
TuE4O0D9SO1gh4fr8M8f+K+vxJiN5wcdoAFzsN9/06wjRYZbPtj7SV5H80XyRuT7oDvLiv/5lbgy
/3rBYg8WJvo9pnT/j//+HzWHfW3ahm+xG3UIxMXlhJsQQvh8RzR1fvAMLgSrH58IkdZxoUYoMyjJ
fURmsEMFaymVCoeu2i8+DHxi1a73qMiefnOnPjhAfBmrCNvZ8oih1bkmet9elRnNPI3MKHDpTFXM
uyoIXUhXJije2ldHoO/BoUO9AZoCd8voB+IBsrdi25WgsHslUEVc5grJXo9WH6W1mZxVVri3+Ldn
CJLZ4MUpNlmC0EF+iw2i+AbNrT46wOViUVHsvYSuQQak949lP/pvub06txo79GEdQDkamDo3bii9
U0AXw9ksFuDZox1X6FfQVHIZgarDSzyr7smxZPdm4dH+FqQCpSFjyoGdjw7epr10IzXTsmsobjjk
YiweDdH1t4GoA8RAkGW0SswkolBXegx1U3KWFE+/ZCEj+qnugx+MZohEJsJ+L43iFUNsyM7aaL2r
YpScZqR949fZFs/YwXaM+tBM+FVYAVLrwTQDtqA2ataVcOzhdp2I7adj7+2HXpZ7Pg4i4MQkMsG/
tqUyU1Wnqc2ZF7JKLdch4BAc3SWsnC0UEuWDTenzfdXr6ZMtE98JAfzrLCNo2lbKhCyZMFpzbUtB
2HKGVxPI54vL7h96gNsNMG+kCF/Yti3jBZIzgtKsnaNi9hnpHgguUxIHidGr47YXCXtnCiGAn608
+sG0oNRtCgqliRhNAVbLNJS7BrfjrTVMfH2TMbjfEtD8TBAx4m3ExNHP6Vz3nYZK7Euh5bwDfhWk
o5Eobid6cjhnTCWvEygxgBJMCDBtpLNICGK1Dl8gvYzVi019PecMUeCKANC+8ROXK54u8uGxAnkB
mzXTHV4XmZzqQUYVk/GvNQVFtBHoAekWg0dS7AOMSeumKNVybTHDO63e6LWcNPTCLcRYN4OttbdW
Njio/lb93bPdKWRqxjAodChlkCGOUjst1WGiKebsrQbcgsJJw30L3Yd4EEasbdAkN6WaOevbLQcL
MvO830wzUIbVAJE6wsGXhRvDyNdrS0vkSLM/Ef+QV+nY1I92o0ln58tuhpH5ZIlwjiF5jbuB93ag
gDjdhf0YHgJX1Py+M1NsogIEZfA4EliqlLfDSmy+THbgX9lL/wkAsI9zxTldoul/hEkIu2VK7f5I
2TgpaaOwIlIXim6uFRqPAbZ421cl3z7gRML9DaBEyuKPWSOhCDho0vaQ19+ETIubgtkRnWUy+Vna
q5tw0tQ0EhYCqxM/8WPi2wL/vVHFeplozZl5CrMVxZYOL+reCoflgG23BtCvACVRarALBHITPQe7
eWKDOK8mXfCWLuLZx8omFY3LU3dK3TyAXRX0Y0QREgeFIQ0o6Uue4T3CxpBMvA3KHa4I44Xf4IHY
zxxPxxh2mo2Ek0h1ofclB0u47SGrR+wyLjgRitrTU15SOuh1bI5r8h1XaTe9EZ8A4dIKsCouiQit
lDrIZG3OYwUEOWIytm5biniQLmVRwfSHAUFsAe4Zva6MUNabwe6zmKHB+kh53XDu1jL/PuesuAIa
Ii0CxBX6vpzvhqnVR2INyVtHvH9DqDF8ZtgIR10uxrZhXnhOMd8qfKX7dqjni9aKYAZ/oKofBFBk
8vu1d9TKxt+EdTC9zBcrFRi71vb0JxG6keR4BxiCe80w30iY2GenGs4a/xYzuyKNZi2WCI+ceV2N
Nk5WDNzVTlY+Oeuq1bvWCam3MUcOFECfN6uU0wNs0ybfSYfxcjWuiLyN8TV7w6bWvvvEJmndqx7S
GbSXF+2BuDRNz4019v8zAYP7LpfXdgEgxTcNkBis4Pskab6ZLaRRkNmzLSlwSRmSYTEhWOaj2Oer
E8+WZr6ktH3Ta5U8NCKpY5pIwXUGztlpQbCFgQHJ0vaILWrVf6D0BJG/MJzwlvUOoBFuDQ13euPN
2nvDhT/HeAWXHbi50oZDCwcschqDwGq7NN0z+7L53mpy+0DYIdnLXFeRyWJzAyul25i9ET5mfN53
ur4muS3nSvJtMEidWc77Au8iWTx/C+43ERhkZTnFXss3grF69e8qt6E5MmXxep0yOXy3DGy7cLlD
SfgQNg3hzKYmLzisXwvA6w213FDufPUNkxghzkXSthVg4CscmihNN+y3w1I9sPZvBYvPDTdhv18L
EL3Ek8t3S1BiB54aZopaV+TrC7+3SrNdngOPxQPEbazllVwTFLbKeZmsHCxaaDzblaZkgIf8nUdM
YTcQKyvBaplwbBNPc+WWQxWRfusfLU88+vnQH1oq0Td0hokD5RzF6dJnj9qjmGMlBaVzUjXAwF0u
iqm3AJq1FS2JdNHETExRMDugv8tYW3fIXPm2EVnz3gbOEPeOSx3hUlwhtmI2HML2iwcS/A7oI4fV
E9Mz3S2A+fPZ1Z+yWl1n0yIpbgs5rJt1DQV7RnfZGURgD2Ck6yNDgq/WstrTrBPz0TbDfifFcpfL
qTwtq+sig9so9KZpTC9TWaZf7lrKOOO3ue3BYxx9t092RhPKh9WtaNutSXeEvboxGyPdVTmAWC8o
LpOdQpWHeRLzXheAn1XSFxA0xX2/OkFEitXarcE079aEORDxjrQ5FS5XQjBbYmfaatxA0F137ZyX
V85CrdFmrFWuIxBeOlIuTQXWbFVXRL3KcdeMfCOhV1T7pAnNo5O1xC8y76p01Nsi5/Y8t/PNXLXD
Twrl1HXf2Zh+zGqOOBveKLsd4jAZhm/24LnQc/vpWLvLvmyNF8IpxLUZ26QxfOPm1CY1JtOOOq1U
efXzPMzjTehrkCE8BA9Mdk7NUstnp8to3yQxSUJ2kj/7Rq88udkUQLFgNgzpAB+sxdp8MTDf+OiN
99gAmghgFN6X2jJKHANVu0XImO6gk7x2pGKIkKnrzJoqqg11TJ8hrQ0jRo1KzSjXcIgw5ax7oJcQ
frFBDOBzztZqXsgZeX7Pxh5Hc1okW5Rtwk8N5jxo4s3LQIhn1/mYckrxo/Hyg9LmeAQLBkIJABIQ
Nx9OM0Q+nn2zcxhzF+C20YDgg6jeuv5u8egQ2nSdEZzClsIHi4n1gVHFNBv1tqcKa8sRattgH9mz
lS/jIAVc7WVFss/AhO1tXn8ja/cHccDkza+J7xMB3wqNI3Ut1sPY9c/LOASbYQJHaqiXoLCmu2yi
bWqS7+Fo8IzOjB9BjpHJLs9N7j3SoQhRvjZvGUt8puWn1MG0hylLKDBPn8iFEE7pO3Bv/nXuYiCw
VnJuzOavK2lcS64g0MBhuU+0Dblm9otdCl2dpxRx+G7a215fv672T6S4ahdYvRmZuqhJIHXgA+mE
5wcc8ifV0vjJlOdZrsGL1xf8038ru+Rjbt3rzKzeHcsdrwbok5GqJDStOnvOrBBhuX7SQfHeWP0R
ZlZFgU9zY3sl790CiO91E84AkGUbym9BNRqq2DIvYbbSW6RidL/TXvVQcFcdocwwahVHTy9bI+jd
DURh6GITvosiSw6eaU23VEG72G384ZPy5hDRDOd+YtSnMHe93UQx0r7WyXcg6hzMOe4/jZcY6eWQ
zy2LU+1HtprdrsatkSa1u8P8Vp2WssIvQOjxspXy+tixsd5lVaC2w9wU28AMJTOo5mw5gGSGZmav
0iUMXQml742UI8Kg85JTvcEehg9cWAz4ZkvRxUCtIz0l/N6cW1sGT/5j4KW3jq3zyLPkx1Svu2Fk
n9947D7rkgyom7Dmk8+Pejt8yFb7bBfJ67g0NzXMxU0z87vTTCrgRVXymGVrx0O/eRajM0dyogFj
Lrq3wpxIbPnklvL2u284r17FvHmVPLOXbuBHk+VLZ9mKnsGpfpkRQzeL61YHCYzzQHS3jQlDLZuO
NPe3fFJ0uToZ9TEIIie/uYCD/N7Y9jUtkKCHPxooMHvCVXxSAXm5LqZb1+yXTVbbYJXtSn35S2bf
5u3M7s6z8ajjjdoZQGYYjYpzw5llV3D+OekmYXNEV4tryTs5csBwu6B/yzrDpZo0UXsklsdeEetI
SMO5U4rvvh5vh96AXMvaETskac4tAX82/TPn5tyU/c1q0bYi87ncEdrC+tTIV7uEdEdyVuysnNK3
NBmBz2pvfrJoItv4DaU4WjI9S4FS/Zj5UCdf+hWGMX5Sy1TdwcoMted5K266PqPXgFaQU90fwDAU
sdcAyBVLXzEwU8W5pBbrZTBb7yWY3U+AHBaw/AZfGamDV5pFxkNjFsZj103yu+bavhslTLYlB0BW
2Laxp1F12s81TZQaCiKtj0MdO8g4W7jNpOd6KAMQdWl6Yd83+M+4D7E0pCPRX5xgOBHR+KLKHmrM
uVmnjkPN1BfDzfvSs1UEG1z+SNIMF2FvUqQr2QqNHJH3IcxOtOqCvVIhgMj3jQs2yfNOnRyXd0Vl
GgcmL664fXfgrBUh+MKOdQEfUdbpfJcD7WK3WHYn38+mLZUX9xlCVDSRMjivC4X21uSauxktpdwU
IClavCFn7LfyWIgqbkI970JudM5SUHbpBJhgb0v2lZjozqEmjQVtLYvc0iSVsCbZsWO+B74Uk1Bd
je4Vr7PEinLZ/erCWSE5EJySICQ4rloQVzm7eQ5gj5hg7Y8SpEPkzeNPfET6zSxTAF9rde5JOb8S
rP/JcVw+hCQkQc5KAxIfbrKdWcrpyhDDs2W5r7zscGpkeMw8hfcwYzs8OMsSyQTJzQJ1P/BDyezG
EgbaUCNpk66VQAuqDRPVMfdweTVcPm3b7dysTag3wwb9qlIwYVyCHVgAHtMJ6CxcpopOIOo58I8U
XnOPVtE8d4YOcQtm3TdMMfZDTmH8ndX3dpwtHA0hjObyDh/Od+wH4QN6nBdh5IFA5XQtFJUVJl7o
MxDulH9dDo28btq+jL1whlg6g07s+sSLe6Ot9wbI4qgbgoaJtpmflgyYIf2arU/amU6iolk/9OCQ
oWey95a1EhJ4UUgUDu87ACsG01i+IwYEaQw1q7utbLw45bTkRKo5aQVkW49cfveh43UmJJq0P8yp
nV2nU4OpsW3zK2ua8mqDfa5bryrKMn2MRPZ0vxTC+TkVurdOBgS//aTp+Ihsb/XfzAZ0auxof3Zj
qbL8C5C89CO7I/9xnaXjQrkzHS1RJQyZxAHzRQcMgqS513MVQ3HNSW8d1ydh0RjeTRVPx6V0tkxN
HgtPsWaGsvxBSDLbFYE5b3GwEe9qiIeWQ+c+J2UDVYBC39qUJ8y3mEtKnh3cq9V6bmRN0YMf2HwK
fx1AksIc28DXal94IflMfLZ9Ky9rJ1npm5a44a5oOv/azUJzR7sFjbgYppv3ru3s0+jWVrw6NMps
HbzbB9NNpmfdL+tjmUz9Uw5q4kx2VcTawDsgGvw9i1Ggsg9VVx3MLmTwD+FMUaGarN5mXEzWxEst
w4YmJeruV4orSVhpI85h0zobJwOsUBGq3PV+ipa+9GWyhTpigvpVyuggXA4VnDDdfYMTbrmX36R8
8ll/blQdqE/ZuAZuCg6Te8VXHVzz/CYdmVvyIcF5IMzywQvCeg9WhMpf9MtNF4r0rF1SuSkkQZSc
6WIaBSIxGTcI7kQI6WYdpoSFlznCDnQxFqiyoz6SQr9Ld32kPILBBs5xYy5d+pepJD+7ICQ3ZT+8
+FiRs21W2gYHBLx4HkepQzgFViQleFpNxyuzslE9cKRMuP/rYo9XgAhS3/Gu8N/j62F346o5NsxL
lmrVP1ecREcc7CsUBf1CavrQ61HvUWrB8waJuBusZojtMBCbRhkl9Tm+c2hIXkbYHPqTHeQP0CpV
DBX3lDiUWkVcLTiXUYVjVB119ofC+j63fp5s66ImQ2WLxd+PUuAUTkQ3Xjm+VHvfd2mhTCU+HJhz
4Z5ipe4V+aO7B5Y0PqQ6GN+CMChu+eY5FyPd7cxJ+rfs5QAd9Gmwq7n7trBYPgEayAPRhvnWXVOs
BVSSJN/RYNnho5d3V42d0kHlsOaJzTQQjNlR4GGUMQVTZA7LNhzHr9IR2MGpJFpxReuZsWPtNrih
iGyHzzxLFd2mdoWa5S6KY3DZJnI9juHSUa4EZGCfBiNUpNavz6NbFs8lnJHYzIL+GrCMBotzmbgk
ePIIzUcz9NG4ylr+dqWHBxfz+55WOHGLLOLzVw8UeqYDip7r+zMiOntZzNBzb1W3dDvHdWYJIo0J
VXGy2bqdM90mVbUdiY5jhShiTkBJRGj8S63yuRnn8Jk2WryGQ7oUPrjNod765vpWN/PrOlxsj2Np
7QDXb43hYl/sxjRqF9KEaYsmxEAHmFFuvAzayCmmRbtEdqdRI1vJG2LerOvMod+NU1efusWBxBKH
WWo9EV7IwxzZwU5AsSVYkZ0YeSriZAs6qltbDVZWXpzvzqBJ0AcGxMoNUxXjhoDr0u6EUaPjoGhk
j3CC3Ss2fe3RKjzQCHnWPXrTQoDWHz2TKuJ6YEqN4EFmeVXWiA2KdCQLGE5dkXb9QZYph0jJaaXd
2okjT3RLCIoECcLsymCQmz5F1hTa9974XOsOBCimnV6R6rDXCcs5J5YKZGfaItysvf1zsXo2vfQF
hFuYs9QToixeXOOXxRLyKhJyaSf2l+OVF48o7TD7ghkCjzf0klfAlP7buGT+tSyW9kztkv/A4NM/
epZtPwuX5jWc+b9cfoajQRlXQ/g+LUF7aVaoG3hV6yi4tkmNoPYj2imXpvtNMcGz3xqmY36Cw7Sf
gTuLl0QU3VfpYy3bjOFQ31KEBm1a0kO2Ett0yp+94YpjMkMzFkxGHvPaTdItgLSB507rfSy+49/C
866+V/6aoJim/8PeefRGkqRJ9K8s5h6N0OIwl9SKzKQWlwBFMbRy95C/fl/kzgCz1bvT2PteCqiu
ZhWZGeniM7Nn0bkdKvu11SwMQbKNio/UCaZDXdj8vuwDxhA5oRB66KADLAPKNR4CCjYIuBS28SFx
be56oSBiST92L5keMo3wGxldtAnUC0V3G5MW4GddBuqnKjHsISKFL0VUVG8an/21JnnlU17OjGYH
b86XJdML/uP4lUbyuYmXRus3U2juB1Ng+z2XI1iEesJCMKOqbckRfrLAKpY8Iodas222FJBEmH2G
H7guECmY2ywh8NgLCRq7WI7URD9rThHvLSILN6Lvg7cUjOQStzaV7qOfYM5rU9x6mqo3dSVCLOk4
wBeyyps3v1ThYeKszaF6ysU24wC4ULKQMVQ155HNq/zVlW11oRKBnLzJKWjhOILyjoRDkJFp78B6
dPjn2CiY3ejEh+g03HZRlt7i4yC2xLLfrK2qLi7IZYpbXsS8y0lyDiWlWdQPo+xhQMD4wCo7ksWm
gUamN6bq873dj/5+rjuEd1XV3ymHNKzfhqJUE34K5A7TT/JHGfS6vlJZUd2wYPjgGhLeObPGuLfl
mjyYy85suEVTnJbOkKwclO/keuaXkYr+joF1f9H1sHlwOq/6hS80vynplqcyLnR/iDL6N6GqwXZj
gyc/bXTWjwMJ/hek296m1K1q30qsJ6+pENLDW+sJd+VD5YBt0Nt498bScnc8qsEKy539KJ2GLDZO
NCoq7VDq95pQ9nPkFcV3GYlnoBDlspScSLqRgh4qVyIc7ZbTZBfQ6eNHAbvBI2lclC3nKfB6HqP3
aScVYz0n6CSZ+X7gRW7rjgOG5taTfkjjhmBgrAxSBaQ3kttxUKRQHFRX1ogI57FFvuwIxV14q4x5
xaafGh6douyKfGn6bDb0qyNE176m33SNTTEfj4R5q7ceAztPkSd2XC+6JvczvLLy1cZBnK4Kr4n3
+Oir+5g3yt9gNrafJALhuNaLxvvmaGR3iyApxq8UzDLDlbz20h3oAVx8KMbjuOFpTuWWGql5MgjA
1V16Qem+09/gAkrjyH+MQqt/ctW8swVuv40mjam9RvsOtJ7xU4hsWqAc98OCqzWfE85I/ASICYbp
gkNiy2WOPaDjUJKZT/m3iPqQkaVy6HkfsYoYxslRjDDZC2zhbi3qeuOVxwTbxNouEDws/uDRwG/X
LurRNsp1HVn0OrSGVwHojxNGZ9JIv0IMqnsPxz7crUjpxgoUWQLdI2y+xEj3GuZ0g+0f6WY8ZpmW
L/Veua9Tg+qAiMHlrRBhkWHOz6zvNFf6EW9uyQV3JjyOXVFuraxzl3lKPyYg6Aoxzy/3ZAcRyoii
BBc3YJyJBtmym8hQfk0pICemk5p4oXSoABzBaaKK6x+rM4Kjo9nBIcVtdekni3Z1fmx5oKVD3Ixj
q63Qarnjj9nGdikr1FD7ttxtKghRZKd+Gr+zMPND/LrEvnOGLJFsTXJljzEYNUIuUht2aUF0bINu
H5OrsT8cAhj3GkWCX5rLaIfyOYALIJNax0qfLC/O9d3UVwHDXyAFFM4Bs40q4zavK+0e5MdfGTH+
bHkJdBsXFBu3SXmaPdsn/sWxEGe6V9dx4893esRTbswXD3jVGdBKwr7NUfXcEUh70ruOrfTfGybs
/8kugQUFFZQuZIw3v/l7JlOjXDEY/O3oRuocuLXYdUKiIujI9kC9dZrlYrbWSk+7735iSxFti/e8
y4xFyzub1VDtfb9g2FkDG8hLBKYSkvmm5xg/+1qNSxn1FmOZwoUOw4467YRrVwdwkQCpJThgk6xC
7zAbtHBq5cu2z+guo+KoZq/PNQbbVIAVQ4YLHnfQyp3rdlvRQlPsnUfCJyhj/WhcmsT9SksKfUnL
gJHQWPDTinDfgssYVqnBt/7ipTP/bCOkjZp4uUVHIdPB31GxBY8SL5/NaR0PJfcG/WLbw1hRpzLu
SwPLUj/izbAoeEMjasdjIttxE4CwqnmYKFk0V2ESBdCgST34i7Zw18Sfu70OV35ZDdpxgNq39vOM
A7CVprsyJbD779/92Uj6m9sqCBwELdvnV/w5s3PuXx69hL2k7gIRbHVRp1xxQNrmS58wwXHS1L0x
dO6qY3NezlCEAxH79heKV7sX+uzWY+DmGCWICkm2geb55C8MSn+27fHN2bDOTNMLcKb+ZhIk1KG5
hlsEtJUwqEKKjIITtV/iL/6ZuYz8Ty8CeDN9/giwtBu//Ts1grEtwzrYIn+OGdu3p+36XrR4s3P3
0+QCzxqZ1cuSGMiKXkv3PuEQOqwYjGdHPDvBmcaJDNsMH5aakPiZPjMKULNwgl6d6I+1yuTzX7xx
v782rNe64Tg61knbZ/bzm00TWCY0Vcmz10mTRWEyyYl6OsNBOhHpDuEa8hxk50pPKvrh5ia6woTC
1uXxYYTKscLMMH47aTCcrt/X/5u0/8KkbVBB+28hFjcf3/H48R8X8fH9S8b/6tP+x5f+A49t/oEp
1nZ5DjFP4K3GOoj9Qv39bx4kCwzaM67CN8E68EkuqX2M//430/3D5wtwn9qsRoYX8I3Iqr3+kfEH
zeAmjlTWVgeT9f8JZGGY81/13z8qBtZWIqPgLAApW85vH5XEQBTgBCg3Q97G6GmCBK8hRXzWtFR/
jh1lvPhMI/KlmLz8lFyBen5Zg+Hrk/ShtM3kLAgyEynsRxtqVBY8Tlc0Xwi8zz2R6mjjZ8wK4Pu0
meTXhSnyZm2aq0GzAPzSs0rb4vDkMW9aqrjtznWpPxOlGzTSR9QYOHXxGE0lTcCOZ50BvKQ7k3pe
0vRUh4moaC8F3gK8ZJ4DgFBeYYTgc+ESmiMqyhVWyHhnOvq60etLMoXjXdCGwA3TxM2rgwnykO0N
+GF3BSG6NJU/1Fc8IuPv7gEnHdDEye4J1SNc2SivV7CieYUsWjNvEdUc9CL3KDxm1hXJCMs4CA7d
FdXIMd4Ud6xD9TdmBM4ysP6zjpMkjMdqmoZPwFSAH03k8WKtPMB0lGmChkxm2hjtZTMyEts1+MiJ
ktIfFXqqIsFUNO+UXRuPlWvOh0jok3hUHFT0lJE4KgZ3vxlTySDR/RxFYnd7y+VKs2hC0USL/Aq4
jAdYl+5MvTSuAMzwCsMMRv3RpnburZ1Jme3MzBx06d1S2g1IU+IxWtP/Bl4TlbwH9wRzc8Zj44Rz
IHGCnoTcpBxG97ls8F/Bn5t2zszvjGaSp3WFelLQ5d6naaExAdVL/aBR04tyndN1cIWCAtoir6Nb
oELrtqDPaeaHEsdEn4IvZ2KJ6MGQcLI92WX21RY8LUNJVfUqKSp4FzOXlDEbrSNgORZ6zs9NHBog
5JViSvFu9aFXAzPhGXIa5YX/Yl/Jp8aVghrPQFTQCt3Sg5FKBZ0Oh2DGpg5OtGIckmz1K1VVzYBV
F9JqfWWuYhk9OQ4YVmZ/wZsQeXITYaNAsqHobYuP0yelY0KwyHQtf+0EgEPEVmdQCzeJBhjHNry1
RauXMVNJOE2EDuM8rQ+yRJPy/AkcAoBneepDhllpWd77aa+vk8qwm62d4mMivPSY23b3hvOoXOpo
wPoy6H0nXnadhMXiV6Fv7fAFTR9c99uYMsoqTvCExFTakSzmvDAYGrYV3UMBw9Y1MdGvCj0p91zP
mS7UTIZfEV6HhtRvpCpMVF43nJqRWmPGuLPZWvdN+q+oksL4Gmu9cab+2vAWtSvcN2vyBIMzSFpa
uA2L1n6ZQxrarWMzS6NALInbDWIdk2Z73gSXmdtbzoYKk1FfpQNvNJTa0pkBo2ZUDrfAv6L2JuwI
Iy4NJj7U2gT8X/ex32cdgmlowMDi6fIXupdnwyaMcLcsaUvX2fnHgJFRzaVgp+JEPepp7uw5sUTN
Q8bt2V8nmgrSXz23aPBmleSD7dS0kIyTkYMWjFtzaVdp9ivvVSDWVhiKejHnRrEFOWDol4Y+kWeT
vsbxt2yNEPPclP+IIG0gEFs9JMW0zuSeJxMTTZ2YHtBQYd+RyqXBc+4ScbWhNHc2WYvk0EKZ++TU
KfABMqNeka0bgKjzRywSg/lUujSXcEcn4qhnjOHzudTE0esmWsY+BaqeQ6B6ORmBwwHVQSxeZNc6
FBZIT3K4bZtqyY8IevBanoKeBRkjHzJa+lI6At6o7/BvOvgnLxU3V3AHHM9BEtDHgtsIyI2o62HN
OhRpK5xHPZ4B1d8w6Q8uIe5smAEpDS+p5g53DnWJSzsuzfuiK2N72cPagZ8zl8OEDeZHaDCDsUfJ
To5K9YgQmmgejdK0XgpwFxtDEBCmDdkl0NoTeKV0C8j8MDfSDBGOF0tDi6dZQKMCNfKndquPbXCq
K6UtS5LfuI2qAsnHLuuzpqr2Aw7C8A7lB7U4Npi3tV260UUX3rNbJv62MTz5SHHv8EmDof0Nqad/
7EVB7ZFTPgQsS8OiZ4BL731XPaSE2mkaABR0wLnIygtKItrRymdR5QyUkrF1miwdW3XWknNaEm/8
fHYHy9x9i0DgN6sWFsYxm6uDAqZCizLh6qOHAXbRuV3I8wpIPJWjm/1ON1vc3h18S2gM1Q5ZBjQm
BbS3zrW7qKmUkW5Ggx8YQBEZwyrRTtjLrHhplpFRn8bCmuqVpFXlqcl7FL1wKGb0UFfb+9puO07H
yHTooD7q2ajTv+Romn3XtaN1kzZZcC6vRU0Y477YmsVpmluc0g6heNEPdDvVQxYdC6MAzdmMLFTO
XANVJCa/V5jcz3wv6h0js07drsRw2PbACc152pNcG6ZCuqakl/7Cd5U/uR4Kfx8C9b7l3Svf9Emf
VoOjmDkL5aBi2+kqYboH7me64E33bzm5EAgKygLCA7CkJtCSeM9FMl4glYl1FlQdnzdvsFbGXL6l
o01g9WmD8c5otal+KIHbHUy7Eu8mjFwClDZQugW10IW/6kXVQfl0pfp0m85+Z9rf3Q2UL1t7uKHZ
a9VHjJBHW6H566ldfuKyV18hHbW4BYaKggh5rSWDxwL9tIs67yGAv4i668zVkj6oLCqDKn4dr+o9
fxuLma55Xod9KykxasCf5iqinDs7BVrv9JKVmTfXeAbQVKq1goBCV2TsFKuagxlhXGdItuPUqx/s
lRXKW8fv9bm8zempcct7pz71LtVuzlzyllWAQxfSG5sYg2uXPtFmXm7juR4umYvi6CF1D4FAkFwY
IslBCuS4AuhlYrNhYtrJpUdEIyZ4yx8yasGXLdJCQrYAof3RXBvsmsEaP5K51k7JwUO+l10Z8YkF
BT4zTokbGxreb954CvNMvhz1pagp0ys8WZ6bzJ/uOZjG1CRFlIXTF4qiQEIASA1/Z7Q1g7R6DwgH
8HnDOo7lYWLsEmYd8wenqd/KStGzl4xQ6uBmOUcbSfTDalu57nBC0wBDUdIxqhrDWdQG0XPCbfTP
sWYC0vf16kX5UfM16RWGG2xvzm0S01kLF75yQSuOwwyiKR+roOV7E6Ii1u5jDwD5SQ8UnYyRtTbt
qLqw6o8rdHHiHhx2UF4YIkdPIaWIrDu4721pBh1F7AHePIHbKlvBHi2LpTWMzbufpGw1vhZMZ2Qf
h1atdmg/lKqctXetaiyaLDtbSLv2wusLCjCB3OjzsJJ2RyWM1l5K8tNP0aSCx6CpM3/JTQBK3Bjr
mCKGkjSzN9iveuB08UM2tMEFT5eVr1lgfFBmWozzkhEeAB92ZgZCo3OIc6y8zIOUjxvQ0nDsk0Yf
MRMCdtITuJqOUjbSmCG8O4b/Gg6GsjcfXHadVe1G7TNYzuSBlkj/0l/LNmOoL3c5PLZuoweTIzmS
XFs7oQTQ7keg9KFzg+RMTQ3mX5z54xn+J86AaLDum5qFeofFi0rQBA/a2ukc7ZsVL92wP7sbmOvp
LzSResVRyHkic02bqNQ1915HG3+vJoA2yyBm3ug2JkJdP6rgELuV95Z53XQpdKF9Vn6RPujjXFxq
SlUcydJ4P6hSSX2aIlkh1kmn+LbsQT1PPeR+5sPd0QNmkKxsL9ZTFJa5LdUlZT3TgFmFdk1TuDvC
QDQuRjjF1rms5VZXeACLWDDUHhMdG7RTW2sGUAIdx8zzAxGLnmawvBtfprnWtYpTeL8eljGPdrsE
DdCoarrbMzzrpDPEmkbX5Eg1CxXKRfs66ApXwNwoO83dsgmewvdw7ptla6oPQ2z5+0TUrDx2ZN8l
vQf3cDSp8Uvm3lp9hsdaWvzMlNNf2MLEzTT33JoU3lYo69K1xH7AWr1ukJA3thYPW58GFKKOY/gr
BM11Bj7I+jcGlE6IgduhpuxtVah423NEsFcmM6vbKKiqy1A68b5Ja6xAVOHuDNlnxyby2q+euNCd
p4342cOOoxGGzuqR8Hu0ccET7HBxRe8cZySm5fg+KVmaZcs3Ok4ebASaGRdeV4XH2umSbR1gHR8i
XJ7gb9ipqU9e9Un/xe1B7Y3KzxAs4LaiQvfqO2tKaiXTPvdnG6X/njbQI/CwuurQ84AsNW3ENQ64
h8MiXu9AZt3H5Dff07UBObfDeTvlNlbH2PDcUQiwWea05QoUbWjP5VabQKa5waZR0tzjWMumpENR
zJXLCdGXO/SycW5bG8TRpYr2RH1wvR+1usFA6Qgdv4ATLXMsJyerCh957O9cOzp2Q4vs29uAmUhj
+05O7QzTMAwyfbDg7UTVzCIS282UxjexphgIpuC7n6FAxS965AZLbp9uywbbPLm6Gj4SasQv7gR2
faG7Kr0ZUcd2NJbY+yokhbrVB2mzvM0t1oytzwyYxRkQe70Npdq1c+k18C36r/XcarGGCbJpmeO8
yrHqPutJ3hQx/dkypz69MeZS7WTu14azpH9GHDeWEIkq6On0cHPQm44ETOVtmnftA23z7HN4Wgle
me2mySN6vW2hOftiKszbyvX6R+VxNh8l8bkFvGn1BpbCOShMr+uywACsRkt++iWMvzzwhqMThP1D
GDnIK77SNz2TPGbfLjBkzXBpgmmCbFHWUdStOtFN+prTyCXnaWzW0MqJQlfgeLF1NQ4ZiqwtYSCa
Hj6I3gD/63Jr4zasURwBC8ZAcUMY+fFyOISPXkTGeWmYZcnNRJnxUrGbfAtT6y3qmgv0kCkp34dI
MJ5oLRPAoKfhX7vA0UcjT7qK43dWXABRmO/zEJbW79z4lqkGYDyz8yLFiGZY+5bbzcZFGNWx3QzJ
cwaHGEOwT3MMbklZlnjDgAvDelc1c+xmeu3i2tl7TID2QytN7guDVV5APZkuMbi8+4gczcAyPoEw
t7uBknKLgqRiqehOfzDkODePdxSRk1R8gOWvPsw8YQGQRrEzneQdAHp8tKRUJfb1KFvpPXMW7nU5
fpywch4bb1Q7WU6WeRMNI0VkVilSsTalOeHI0Qt8RdagpVj4ZkDSMzXSpr5FhQRehqNiPjJGp76v
N0kvUl4IFWDRQFOd6OTuAv2n1of21p/s8EUfCs8jNmmFmPGVl77CbhcHJjhltSFECEnJBLR6oG7B
wpcdKmpmldG5JzykSh6reMiG1USgdJ30Wr8cmUpsleW90VOEHa3h+oYwqONJG6dE75ek+acbLp3i
PSjZsUjrgB/JsMwQLbG0x9oP/ZPmTnLJEZJihbbq3vnIJeKWJd8l7QXg/WyElv2Vp63/wmQGchT7
ESfpGlcvZrhbJ6ibL1tEER+mILJOA+nWjRHE+TdNCFq4a8hmBIwfBLBOg45QZjtBIRxOfAwMIKGY
Qi3duneMFQjK/ibNcLtyLWwj5hE5yLSFD9UQ4JEsyajVlPY6cLqA5xzzGDPHIkEC5jicxuNsmSqU
tZPcxNINJgUf7d/r9JXIHEXFvKjbVyts5qOyrLDdJjLPHzPGgTNKPm/PJdcX/mshWNwJ6Ufugn06
cw8N5JWPSJM24hYNrcsMzBEnHLao0QN7hJWuGA59ULufWW7UL25h+K+TS18Elq1Yu1R+bo3wjFCc
lz2EsY1PtoCyAmjle07i+aab6ixfhmMrud5hOmmWdapq7FOxH73bzVhvS7d1b6Ha+DaXroLAmYIP
CADDd75c5h/aKjXz7EjdSIZ/iDPPayo1KbaG2zbHtHGtS4FWsMsLqC48wVZ+X2p5s+tDCy5ZLLh7
LEnbYsoyhFuejHSmFsmm4ENSWJldr7uiEtAezELrcOiosKj3tJuF7botjHSbdZ5Np0UeDm+dywWL
n8SXmOU8aJwucD9+am/G+pmZmrDgBSMDNAKp4Uebx8aj7/mwqWxFIXdYZZF1dGUHpilyuvTDlO3E
3CIZNGMzkjnSlkUHCfkQeO30kpYtly4eT9dfZdHgOYih+gAWDmDltihN98BAxEs2pW+VoHb1/BuU
rHkDiipIF3nWWu0CZqtwzwl26+cmcNKXptc77AojWVU6LXyAcBkCPhgxuyXuhPBYHtRINBH132/A
oXdR8Fhga/4mF8TyM7pG+hmOvWIOYpqNeWKdQGeEg1XzgGZOYez9oRElBrigs4590bUT3Y2D9yWc
VjzlrhlzGUMDLRaZyUhvkShvXEI4ZfbIXQAXXtYKGHQAnazoY/AS7ziYglkplSH+bUpPhOQ8QZfM
wktBptCNo1nTKitBGa2cUsH4yfGqQyuNW9okuqSrb9MiH4j5gjh7c0l4riavad/4JAnzJNDztlGN
Cf5UkwNx5vSDFazApc+V5ngtN0Qk0tkCCvx+ybbEujKUQ148pVZnH6agIqyot8SwMeNrZMQ0N4Aq
7xIf0kz6L0ma6uNpLDWSsdwitQgf3tDAScurPF2bxBDv4DplNX0YTQlNLQsk6W8+82uiNuFNT3d6
vxSKJABIGNwkdG/NlDc9UBTasHaSgC6GjQbksz2NPRXXS23WxWgaq5mjkRtgmCQ9l3VgigP/Vk6K
033OzsYVDFTqilI3fDo+RkbSoH6EvUXvI4ZFY8U3HGmDDG8kwNpwkxfGT5dp/r3wPYPJYwq71dYq
Og6pRMD+4tCAguc5r0W5liybhElUo91FXDX8ZzOZxnXkdjT8+Sk1hH5vdBhYZWgnP4RPxvecA5mD
eZ4eLKa4dslr7FAF13vJfQbteOf5NDNtYO57z3XS1kd4NNFzWsRzDQOR00ve5K/4pMJ1lXhetk/Z
RNYhvj/guqoLV+1AGhRBR/uuknp8TCk301ZxRcJg4bHsjsecrZDUPhl2pHicACjZ8yybMPQXhznx
qad+8TTpgyBjVgMB4LIWHzQDsWmpqvknUmFrLSx37u6JafExNJoomFpYRJCj5shIxyYogStY6qM5
Q/gqi84Kr592+BKje9X09X04YReJrw1C8VwmJJq5VwgnjHrMAJsPx7hp683EfIXqz37uIyo0ySTK
II0/bUIs5snO5/EFLX3tMgpp1iFcfe04miaDvqMaMLu7k8QTkGdi5ZPlyqhHwnj4gGEJL8tgjB/Y
79aWRplSradAKa8NSwgyuMCCxnzlTDY47G1p7D7QI8fQ4trRlAg3ehRYKx45i8K/1fFM0WVw7Xai
G7J5cT29+sFgzVnUEswBlr7Ui1/YzmiI8i0gtqU7MOxv2oQSnLlMyr72SlEyT8fU/+uzpUrIAIz1
r7//7eO7SMpVIpVIvtS/iqzgpVDI/3eG1iKhuvjPX/APUdb/A6AnYrtnYleB2IIY/1+irG/9YUHI
Mnm2LcfCQoEe+k9V1vvDMRFfA8MAZGO6AYLtP1VZ+w++Am88cq5DDEMP/i/1Ar77uw/F1H085YZh
O46NJfh3ZFPTuTngx8La1ihyj0hz0wqnU3kYPLw4XTq0hIOLt5jVk8yb778l2P8AwzstH11+sbeE
E92bmC65lzSOwcAwIbkxYCWFdHEqQAsc1WP4GVxdXsyJKihIOzlibRazVWWKBqOMplX2vG56gTRW
/eD8Vi80TUVUk1mmOnOCGS66HzFlZWaytEE0b3qkn8MgOvMeLHFztGVZHViIvJqLotpHzEaGlWFS
n8bR1bSPNQeqI2uXxSWXNfIxS/Cm77OEJks95R9i3JB2JS46bGnMMsMnwiwNrnXNOboMcN+RFTn9
pDTbJeTCx+QZQ5D+FBJyDDatFfF3U6VFbV2e4lrCmmd+BxE+cnbSojrgBIxgt7oZUbWUEVkq2+SE
tOzZS8H1cVHgdCeYyOziTqsr/DqEipGNgXltusIrbzjVzVPZrCWxzT5btGdSLe2PgZP8nlkvfa85
yYgPpofkA2DIc0SR2tjcchFwxkWj+0W9ob9TI4UUd9mdnMaRAKZTbZiwY1lHyWSD7TNrQz6oOlmO
dPapYUTTCle0xTE5JczVOoylBusnVrnX8GM55MrL3BY7rnpNu6gCvfWXg9J5d+OWgN5i8mmclazJ
ezhBHnXY+tz8ZngPuOe8TWdZ4ntUeULCRRL8a7XU+qqxrr0ZzNuuWuvRoc/wzvVH84lyQnGTEQXA
5zjqnrZxWGC19dB2JSchO40YA9PickWYU8A0BLgEQLHR8lhGREvs4jB2pYd4S9CPsaB+Nzk1bI6U
Yh1OwM47Dqr8sSgd9WDrdAbuKjPVGRpqLQ16JhrIInWG4FZ3QXTWrs6dhFGGunGEb50cqqr3UM8p
PIQ7TK5eTijkZc9L6gs3K3YMOtO7JGopos1A65/CXj4U+hS+48TODlpm22+eKNwjA6V8F5nC5GWq
jOBW4JfXF45HgGNRdxRHYbSdvf5ZkLJ1uJX0po1xzQP4kkJw2ZFIYBel9CEZO3GPhxcS75jS65No
5Bqa97ouwlXoVsw1VKc9N3PUVQTVgWuntvHaEI/taJ9VZgPjcYJNEVD0FQr7JaTOpmhNuQHkNdu9
vZgkst9/50XzZaCYkVsVDw0JiSCBcBBa2ZojAnnpmqgxRoZz0VDpQLBiCTiyQ0x1abBz24IoypzE
oPWSVEZvmllJ4JRENbe1cUF32rRl4OuphZ22zoEbyLLXrZ4FgTHLKsASfvI9G0I+xOOnMrDLGw35
eiHopt7mtmrbO+WGmA3hWBIzmXQaOucjmf8O45grkEL56Hhco/iLtgX82KwmVCNXOgPqw+xfi7dW
y4uzIE5N73bp93yTfJEDlPWafxmsvtVOvaMErlbfy74Tq4TrSdBz47upw2OhBpjajr3VO1tfQ8pE
aBRcfVDJSQ5FNto76ZrwyeOlXbaq8xc9o9oNOfSCSGbcz9MtmirXUN3bDeBWvI5Ooj/4qZjefYMb
Gwl6AooAZqs9lc/ZJQRAv9HTKvmpE2YCROgcFAGyDSOadgbCxtKwFU+mxwfe6tq3GmDxrkH0jhYd
PJTdGM49h1yw0D2kZ94IKHULKwuSXUCe4xVXCbdnMQp4+H20KZA517lddg/gp8SrlrfZwSuasVmZ
qedtZdsoPg+RvKSkS5nDoPN9RlRKrS3i5FPkHJkBjicFMuVVmJE8RtGwa6dMe2hxhu7T0s/ux6SJ
zi7zkTPogWJLR651acpTnah9gZP1glBIX6RndU8BtseNrPvSXHJXavZTVmu3uqTt7cg4fDz3nOdB
TrPCL6mtNw52n7+FQaDeKKXInpukrW54mbO7Ipvsd1jZbrZqhD7UyybvKPmLgRXFHcWzCzOa5Cpt
gV/1PoliSWnODW3fJUPbkPpIO2g5DU823JTOaXDbT0cBvjbBXcxbN/VZvsmnYnoIJwXfO+T6/OIH
gPfHelBnLHfWwcvh4jEanOqldNP0u8nidm909AXC6XMSeA0RT9n8b9NQZl0UJLhNRBJ2ZwKX/yIw
OG5degYZlxU4GqgLwxaQGwPgFtsqtZMn0ZkW9px46Nnua9FgxYErjm2lv48DCVoIdEG19X0/29Mj
HG1DABHLBJzVi1a205OyffM0WTDwUTTJYtZ22CALxJaxj3TrmxEbYzOjzz6ZTJAwRf+onwajY2hi
c/SACdMI7zTUPokJn9IfDFkmt5/iw5JlwmNMCgOESnS2atDLkI7DyFog3GbvPespTpYYONF6jMrq
zrN9gBA9lcyPFZw8k3r1oj3o5FGeZZN1T0NqfAvAxtM2CSUVMlFundHOo19eq6JN6cZEPcb5rAwQ
hWyK3QN5AgJoPqeCMa3HUvMRcn9m0TXhBi38TC+RtlKnfvKglv/KrZwOOqua+ysSxpmFMt7i1GQO
KZjPnVVT9ySZgShhAlkTn0gPE/P+1yCMPhGv6aiBRNb4AUEZE/mTtpkdCOcH+MOESrhUHiCm3QLp
bxhjN8Rm237al6gs5kMm+JDsWmb0R8AFSFIl7WMa+gIepQCbXJxy6ACOIj/rlETpiChvjKbYk4Rx
tk3KZrpohJZSrDjfGxyzvwPSKznvgYknzh9savaUp2qs8g10nYpmakNciLUOT1k9aeQSA2aDcMiX
tczttVc52qM/eOsBGspC6KZ/ByysuAUzwHnPStIXYxzNfSeKFgR8WX8zMM22PRHkNZdb5rteGby6
VjGeQ8OtvrHhAAuSU08fuOuOD8KmvbxlHLWpTbljSBGf4goPdNbFYLRKOdGAV7k/3qQZyzp0zgwK
k2Ohsd0jKhmfdGXBakhS3wyXQwfdZTF2WnLMizCyOUlmw08Y6v1pGtMogRWlubejK1hI+qH6LDph
EqSVPokNTW37ok8u7sg5isL2YOMpI9ug2dU3bRho2zJhyGxQ1kJ/w/BNOE9eAK7ftr6ldoZey9Vo
gBPxFQAab3SzU8O9mLKS/sShE29VUNrEDsx8F9Ys65Wu2ZvayrZ4pIHvxJ8I9t+1QSVQFMkN7TrM
HKh19+6ruq7RaGrd2MSNdmRNxG1iogw90uODcIQ2DJ+SITZGK5BEEyUfqt9Yo9LufR2h543uE9/D
NiiHrefWAe99lds/HLIqQAxWYTyzSTXboVfGL88h3nmYiME0C7xzwXfX+oaxmQS7kbS7/iHIHW9l
T+10o0vtJjNS557D5HhgZhwvLHxuJ5xZAae5eSCEkJmMlGIYEkFMONYjZULRrpCKiUQehKv/ZO+8
luNI0iz9KvMAG7SQHhFmY2O2qRUUAULwJgygCK3dQz39fp6s3WHVTPd03+xV33U1CQLIzHD/xTnf
GWV21gKoW04E1n8tQYoiZt5FrreTvjZ8xYVJI0406szltpPBnK8as/XfCKZRjzUugAvPq6eovTCY
dO08POSYQEamsSK4ceF1m0jEqsXeRlS4m0DlVreZiNh+XNCutttmbOK3CgvuxSGq3VxboMhuHRAQ
2J+BpK0oVkuwhkx8MN1LT6wxoMGX7z04quu8JcRmG7OwN9BNNOywIDSdES1hzkxM18DoQ4mBs+WI
Uby8HUxPaLspwQeD8B/AJrqkQfvgatYIEcrvwZxaH3GjghsR5v6bSkAxBEFoqJUQaV6vy5j8onVU
RWpiJ4uEd8PUs9oYdWO1BImNwVM/d6zPma3P2ylgr4CgE3NT64E9DEFe1E3HnhbDObiBqNtzar0P
qSSl0VawfgI32RcBSTdTirzVju/t1vvZWgO5vVVtHCdggeu8NI7sAg+ul94uOFFXg2iIbs1i+Wgy
2NsCFEn3RMjgHjcjZ124+R5G4ZE6oTzwQizrsYZDT23IT3ISXvXTnHlJ0tg42GLCVJBTcNMigyEr
QjCAJFGFHca7MQGbg0oClUH8BY6bTy7PMO66TAKDtCvCe4IbxwYIUprGwUnltKMZ+TAiUj+8bFOR
RrJewpS7wYy/yhprFtmvK6/v7I1UvtgsI4KLvE7k0YfXtiVTB6Y95hFMF6WzcaoBxYGr+DkHlgEM
LgEtFB2B2KSMFKRgDTDAVHKQIcIW+C13i/KJcXXKGsqQudzw7AEbcKJww9VjEXwyd6wEQ9s5ZRW5
11FD5qpLEsE6bolOaU2lWGml4NeNpnJ2S9nnFKXGDDgEDMAD4RsWYSEkcjtrI1TwNH3CbC5iVojA
VMHrG4CQ2+fQOLBrusPBNfzoWVm2eu0BDmRrtr8aqQIb8Tz1MxnSCxyGh8JkTLgVcRM+k7cyvUsn
js4MzEYP/h5u2TH3XuOxUfFWGl6ILHKhwTmZjpV+Fk08lVuUwcuhmcxpxcVhvuCWLh7Zk8ONNNgd
mnsjL/oTFnLG1wPGYY68oXlxXYksg4+iKYMnKXMUM8OYY/ZtgsNUtO9LQ2hJK0axleBNCTEIt0iq
hh/2rBLYVrjDb2PlBAd6LPhUyC9BoQSBWDOBR9+DoXT4ypOFENVrCKvBcb2HEif208xV7aW0cHYS
xqeMSdpBBkwJVkFihVu0Lc3ZijnzOYXM8Tn28uKtLmBFpUIqopv83v8SULhoDCEzc62Ryn+Bx//l
jvifpm+Muxh//e3x29N7mRb/dvv+Xf1pBvfry/4YwpmfGLE5DLtDD9LBbwR7X3yysUvgcXA0vx7l
/v8bwlnOJ8pS+j8Tn4wPb5wh4B9DuABnhKasCxcvOUNfU/wzQ7i/Wohw72nyN7x0vpueEv7ZR9Uh
c1J8CLttGjf3VlSimTXarwAXYpwQ9HIyP7n9tByUhgr89krd/0Jj/06zF85fcdIBcGUBoZ/XxMGz
IbRp4zcTF7szAEg+WblWYaAO02o1QybAbaYeeQ2RFKulyGxiHiGIKkx6aHssqGwzxDRsmkm5TRBa
sSPCXXA7eIwrSJPxzuyS0ep6qXNqu1BDC/rwxkn7AO8QZdkhYuE3k7fdbBAz+w8swL38pikDxmtC
PDmJ9tTGNv+gvyBWWya03W5tkRmuRH8TpyXHVZrLdY3ddQcRsoFSU/QQgN3FeLLMlp1cg+z0gRA5
+0KvYTz5xGmB1qvDu9FhEe37jnsTUybsU3QzX7KUTEEybthwIhyB4irUno2ddw7ZY+x1PPlxoVFw
1lMHNnZFF23kB5cW6OJ7uF5BCaRqPCK1qJ1zG5H1vIeXEO3jlKDAzgDHSyLlHHwNNEUJ2Gtjf3ZC
0pmoHPSYhZjLHjjGfABr319k3GEgy9ukfEB6Mvwgmct8q9y+B6XrGdW8Ru3Nl4b2OL6OMfc/momx
fKyc/gX7hIes0NbpVPIcVO4ZqllziAEvYssMyDpuja9CmeGNiYBYkIeNuL5Q9A+rHDYi/oLMmeRh
KafpVjUtg+Auz89DMOG0SES+t4MY4mrWBvWlwg96TIqpPDhDMj7F5HLu0avgiegUzDPE6NtF8Xb3
Vm6+0zGQwlo1DIhCv5z2uRHelXM7XsIcsUvedM2NY+Soa32vWnm0sShK+uBgMbXdhjw5BJ9JZV1m
5PTNmvUnpvJsjOADGAVvfwdkLVSoiWM/mFaVAb12cO1lw8HcvxD3E7z4OVSqJmv4TDN7YH6CJEN/
zmUM16TFo3njzF34NIg6hWqm5GYks2TrICVCsBc2xBG25J/zDvZPvr2QXQRUIH8M4j60NoMnPKim
KMr6ZJOj40SJ36fj1yxQjrVrUBWT3ITPAshnT7D9NrFGBj3uspDy6Iy2O+zKNF1ug8p3Pio3kp9N
p2Iq68MK389VMD/ifvV/YGHpHv2xD79I2dstel1lfGXpN11SVbpPTi5waUOUbP1bN0E+sQVKU3cb
+FQRSnbDaPesGLKMKRow19WUt4jgZR6PH808wSAcaF4vWWd11teAzny/+N7M3UpaDc+1yD76qSvu
xzJjMhIrIAap7SHcbI/07R4Iz/HnItE5oFEfd3nl4HIh8/R7OvXZYY699KZldn1cOgKLrahhPR63
znDLOLU5m17a8FBPlvwiRjv8lkVOdNTDy43B6I2Z54jYMO5L75CbLQDt1Or7m8Xqku2M/ObFgdiN
Wme0bs16gXu9DNUOfXf6k3QKC+XhWKFkGIJHylLrvSQM6x7mqtpHScRLOAX9FzCoTAwHYmzlFJev
cNPbZ4RLzhcfv9wx6Slnm2YmZ9bLtamIOmzcN32PJzevCuJ9CbSxum/oiKr4nDhdzDQ/KwL3i12n
NYmdfOUrINd9lM0J7aaDVM2dTbWAs/Hq5WCPcDpWMs3mbS2o0kBB4fvyFqTfmepYKMRmW8Urss5o
L5gk06aAlXjnk8aQtALhx4GEMcPcGAhrmCMl5GIl4HSQnTYjK2rHUeVWocwML7KZy9PisCPZQRSw
YhgxdoAPIrC+suUI71W3DMfW9KOX3rG7aJMZw4hspGJ8vI2igcdmIJ7qnc23VvDLcDyjwgV5lFXS
P5JXB6CozfLlAW+MdqQ4aDaimDzYKpuaW8akvX1K4DFvB2N+m+F02BtUt9G+GgrjsVJO86ON5uEI
ez3Zjr5N0UvNi5lmHmbZbmi9q1c+/KSklcuAe4mRJlI/dOmskKAGoK1ox0GMayAOWlwhW9bq7thY
b1MzECkmk9zalYke4qB4kW9GNfaML/LGfUEZaL62oHjWZrvY31IlbWRjS7iBmtvtmMH2dwx/w++9
s9S3ZjuF2d7x8PkA6oWjtS6WqN7P8UQCKn8tPbdELtbruPGdp2iewD6MLg/9qnZle4C2xw/AlDFn
nJcsI92vhY5nBX2kpFns86bhzMRpvKKtSYt9nWvCKgJAVa5xkC/TLrhGIZeiDowVeVgwox2oOlw9
YGYYEpMmWk+kKec6VznvSFjmLUOXAkQMk1SBd0onMWMaJ5SZflkCuR8QwxbovCB512V130a9YhfG
49DofGcLxfo9u/gk2QJedxA/o461dCZ03NrVhbSxkdN0Sc5l2I4k6aoUQCsD8GoNxBwIRqiTpg2L
/eBmROhmrCjlTf2gY6BbJCOW2AyD77h8+NwqgLoTQsWw/9nNZnC3XCOuUXyidrgGX4c6AxswjrtB
Fi8fjLzeO1JM94kOzmaCGT9bGHxWtT37a5B+aISaxAZVpWO3E1jOF7h9yV3v61RuWwd0FzqqGzgd
cvVrfrdNgCmkaG1WBECNX9Rxve4mWJILK6xt0Q1cyKrt965Zkw3u28nTMGGDQZ3VIddz2/zWvsaJ
p4Vz614zxkffSD9PbJxWeDTMcxLN20WHkg918VkZuN6MerHW1GS7VEeYU8B+cwfD22CQuMt1zHmp
A8/drOH78YUaf1r6J0ZARKNjeluXgB92buPANQoYmt8jdUa7JHrLIWjQ1jnrtWjqMzqDAHG9OxKO
yIeKOohC6Gepg9rnXme2Bzq+XcCDogl12DuuxoEfiE4IFOzKBueFFE51PwigI5fLDVL5TQU6rauE
JIKOgenGwR9s88JokGSvFhsWcEv0dR5Hq1f1K1wF0XgEg9vwT8cL1VqOuebRdWektrOEQTQULtkD
fuxxHzYqVS/S6+2XET3P1sdchUOMUgVqHes6sO1B4EKbbk3xDWWc/+B20fhsLVpD1g5pfoppxEg2
tqm+tl1v4juKyx6+OPQsbFzAKe/bvlluc9xXh67yWXobUYjPyc7unFgEr1OfdyCXLAXuOA/E1MB0
SkEI5Mz2ePM4wJu1TrhOV6wYux9hbmOwGlj8oWMZs/mRXT8BoVTstov3LzO9g4kZ56KMMOmZX9f1
JcnK5qckWZEjPoOToN8Xl3MVayJcc+FyiKXD6PWXDjXNeFeVLoDyLjYA9RRM+hY2SgjQ72Ky1qpN
Flu8680Mf4VohTAtNjkFsbfz5sR+HODtGydFCLq5zQbbHk4hcr5gRyofRQcd7EkNfhFQ9pgTFbDA
VGHNbg6OLEOYF9IVPWFctF+wEIgXHupsOFlu52C4SiY9O81Qp3NUfJmbaKjOE+Q6ptbp2I5kL4ae
A10o7ChZmwnlUVUY7wGTuGkTGYtfMXqhjCLnsuoBrdA5DDuSeREF8p6E3SmZI/icmIKeO8wJ6QXZ
jQiOnhzjY1F3apd0rfHDtLLolOvxMeorozrO08hRXDMIf3VGEmLpEgz5wrvd3JDMmsFHLx159DjM
D1Ff2OfFJds29CJ5gVuF4AuINwNWfvXtzA+h1pNwp9tmwGAMj5W8WoCMRI/DKWu9J2naLWKtv9+P
WZqY8qtNO37XPn26zNC0hO8QwAjG0KUd/b0dq2wlVZG6iLCQnx9rGX8wX35srebVCctH26u4WP0k
3FBkfu2RiD38/e//VzKE/vbCNAOCzSwTk47+89+6QXJA7DIfDbntIiLMMKhVF1784vz3v8u1o/3r
b8k4i47T5Pt4V1LAb99m7pfBHhcXrV4s6QkH1WBJNhwjOLiJBhhhn2LGaodV8p31kgFTFz4r0aND
AcF1mj2MB5W6MGiUn3O8qTf6JVsL17RvjbGZX21b761ygbJDcS/Ke8cUdbS7/hL/msf8D/MYzp+Q
j8Xfnsecf3Tvxfvvs5g/vuTXLMb3P9HdMu+wOKiv7In/K4iCUoEWKQhMYXnwxf40i7E/+SYuVth9
mpXD0fHbLAa1kWnx7wFg4UQS/9QshiyEvzyBPsALxFgMYkyXEaX4yyMQKoQheW7lOK3lFuk/B4Kq
BYcDghR1qTLKn8hU9pmSrD6g+5cgfjsE2gGt4k2izxv3evRU+hSCiIQe3SQf+1hcj6kwyAMfwq+s
dmiYgzvzeqwhjB7TS+e19Td38dS5vx6B6nocgm1Xwy4GwJau3YU+nHkr21R4Ak02bTLXFJukLOLv
VeNhwwwGJGAUhuDiACAR9UMNPU3VedSntHk9sCt9dnuLGZ2JKezUKdBne6tP+Uif9z1W+rt6kQ1X
uy7aRGXGp8EKcOHA20OjERQqPNn6AunpsJAfGSb5LQOgxAHCRZTAoL3eOkJfQGZFLvsuv95L0Gq5
o+CBc1+NCOYqSLzJFN0lPkLurZcs3G+QDbnr+uu9J9A/9Rf7eh/aoCaLNfoo7klCzrkz1fX+TPVV
2rK0u9jKSPutidXyUl9v3TrpHU6FX7exvpjH6x0dXe9rKadCrqtUEnI7hgYCYTE2+TcSpRZsTde7
H6cOF7SrSwKTGOu7XJcJvDPukxlkA5KJaL6N6jm8t6+VBSrrbsJeSsEBexIR8JKVU7QXAOTBak+w
+l1E28+mLllyXbxwezvpVl1rGhiHvDTMV6gwRrC9W6ULIESd6iW4VkXjtUIiLstUa2aS6PavJRRo
Dsml1DLbbiQ8hSMGQIZ3qAuIeAx0FqsndS6r0hGtWUlYqxe36QOQf7T+gw5z1YltkDoSXTcD8h21
nSkhmJkI2FhZAv6lzoWNFjiKGN50XmwfLeGRQpUosPaaKKv8UXMyiZltfaV188KELDKCFKbWpMNy
d+M1oXbGHAtk8Jpcq64ptpz8/hs9bgIxFPXSqUd9k29ArpB+216TcM2mUz+FtZCPS4oQNNbUbJgO
lk1ONowdEKeLbJFkXcYm0UNJc7iyr8m7+aSN1uM1kZdVMOm8sc1SpC1E/l1d03uD0jDXVYS0fiMK
YF+CZi2BDMITXT6GYcrwikBzDHtDUdqkp/dulz03S3hLLsO0rVSHOxEPWsgUw25DPo7igKFgzA5m
b2bPlT2aewTay9ZP3eUSh31xnsk+3LWTHbVcTqM/3syoFa0HrM31czcibGJNfbC8YVTr0JFNdnIh
LD7GCSkloDeHfRZZ/XIsOz4pGAk9pngBHZcEnjXyDZwEqFmErfrD6cvlYg/WEK5zhADqRKBNPj97
bkC8WDvPA8xrh/Y03w3kx0Fr7QYgAYwuCEZiepl8HlWlzSpj22zI+sYqP85Ftdyl+FfmtcUjo3Yh
G1pzMwbxhO0WNQ3GTRGyAaaEpk+4MUD6PJN8gBerddCJ7hQiATb7XmIr/8BilmNe17t0snHuM/sw
yKKoqRKRuWVbosk3sNDaFTl9zrrxcBD7nsdvu/pfXgMyRjWq3aJIbe7Bv8m91TT5vy73H/+I1Jmx
rcvV+rcv98/v2Xsvk/fq9/v9j6/6434PPtm+4KYGbffHQuWX3lmEn1xg57bgtnbFLyX0H3pnx/xE
pG4IhUqQn87dz6XLbXqlUDmfTMpgYG6IpQOKRe+fWbUEgqXNnwpsmC6hj8KGa95nIXS9/n8rPWt6
EaMyJAjykk3d3oi0U8MuPA5skozEEZMA3USPZESAVESOw7bRXqpNqa0ffRcS9lHacXC2BySzozM5
F4ETk1S5q2/EH0HXr9mR4ifJVGmrC4fgTl39Jnnrj3LPqpfLZgCju41xLDJU1HYVTpOuAyhUiSNK
rKbjwC7LZi/mLH9b0omcdQvXGqk3JBd1Gi0C+8CsoviCAlJ8OG2rtigLxv00hMH9AvLupjWYwZcQ
V9ehykn8IPbm82BjxaNTN97nqxPHLCLxUQK+fbVVTCc0Xx07YIsTiLouRp7B9LMX8PD4NNqryacZ
Eb/u/aGcHnttAEqvXiDTxxY00wNummWe3ojEwDU0osDD4993Jq61q6/o6jGCqJSYm+LqPRJXHxIZ
tx0h5h12DJDa5AaUndUikbFUCPtee5ng6jDpS68eJ1YjIK5bt+tu8TJ6bwH8ESSdY8JQ0w0r49T3
DnTo4eqeMvwQJ1UwAL3YoxGviWOwqm6NL1S9KCXJi7P1QP2CYka7hqeu3LVZlX04UuWXJXOb+0L7
txLLmr6EyjMb7f5igj1ObXVq8gXIiNOM0zYim+u57CukdVdfWOlRnayqua2Llbko7zm5mshgH8Sb
Ft2BNjy79WdLQKff8hNMz8Moi/uKuJEHMCUZhGW8hQdoQf2ePUT8mv1ysGFU9QNc89raFmiXm5IE
i5yENVrG2rka4RgszfbBcPHHeb22yoVX25xFpFO3wqjNBHDGQ7Qq2Xs+9e2Ah5W49hkYt5th9Gvq
HsA75zONONmj/bO6evaQEUxvmZDBBbMmxmPaevx9w9Xrl4QzGqs+F0zLucsqB8HU1RA4Zk6zlVej
IHoYQmS4OC6UHvaD6sfgS5713ipkYjCsDUjq5TokL+ceXAsGRLy/NYoI7sNU+xMtcA1nkruSbo9b
gRkQmZ7VG81yfvavBker7sS3Rpr+xroaIDvlyFMazSQCmBOW2c6rxi0OWvEWMnEJQEqlRKzWyoDm
0QwqxAhL3NlO8xeOhErJbFfjWtiZNQ41KhkDh2Y9yvgzzE7CHtskC1+RVrcvpJkEH2II3LM/DqgK
TW37zLQB1K2DFzWk0OxqRhFYRS333fdSYd6RLFYLcLraTRpqY2lbLQQi5Uq5p25AAcnGFXTdzukw
pHpUsR9JFhPRUFwdq93VvYr0STkHUhZxtcYY4yu8rQOlF7tGPzkzl6DrwNGFI5ZdqoXYmTolWU+/
XLNXBy2eBgoQ6irCsJDOyXUYWBopHwV4+RJTos/ELIcnl0Vg+F67RvqeX/26trbuztrEm2k7b8UT
zjjU7JNvnRD1ra+Nv5NpLmS3KpKHbG0O7rRNOLg6hqerezjWRmJjqRyoT65GWJHUHACG+8InikzG
EtAVrE78yFwm81uu5uIWMiB+5c5s6QCgr9l7z5JVuPX84Ru2ClRscd+CosH4XF090CqzVH9Gm4k3
Oi7E8shh45VPOcEM7wFejluyU7FUC7/tTn3c5K/wD7BcB1LLpMyiNF5a7clmA2z+VGOCUTvIGkzb
zPjZgfB8X0zTrr8D+MbinV/t3jSwefDsXm3gitbQ2KkBQQ11oLaKj7SxqOKvFvJOu8l97SsPrhZz
S7vNS+07Z9OLBb2/utGxpccSf7qjnerSbtQ7oSjNo9I+dls72r3JM5ijaps7RjOfBNmr/V1PJ7eU
YcO7h8JYHFLtlA9zA9P8gAHwaFUSJ7321OPnUM2WcJdgazVOXSHtkW76aCL48fi7wONbJD86XCgo
qPlC55hPNhb+3F2IcKHGtb6rqPHvIOI4Xw1jKO9tQh53Tgv3oQAkkN6XiSSyVtqxx8LTG6uvmWYI
YAGanLXSZAG8y8k6Sbs62BpLG07rgSmP/8S0c/iJCNcuWcICIPR+IQt6eJEanU8XhBdQApSLAByw
cCyBVGnsgQfdv916S3SvOo1FIDsDREIgfU4txH/ipRcwFEYnj9AImURElSEYd81ayEN/OlPp24dY
DckTkmKw3VYwkJYFpyHKpXoDgM/eBn4+JgwXCFqx0s8h+WqFX128odPiX/GZ3JppQybbSx1DYoJ2
YtCyymBVp150Th1iF1dQKr5PSUYgBOZSpp9Nu5ZDQ7bLnEKlkBCgWv8HLKUPGbvG3koZRcsIAOVa
9SlMdi+e3BeZpwASUPDxqU0QQvUru3ZH5+gKL3fWswu95Di64BNXnlHD93IM4Q3gKWaQ9LFfsKef
ugAb8ZQE3+u6reEhWdJ6ToAWLCgqidVDh1AE0+3Cx+d7JASrrXGg1HETrOK4V/v64sps3hHpmB2w
Dhhbe2ihCiagZ9TEYA9CKSayAikwk8zC3CYM4z7nHuAHjxwX1tMhBJ0gtX8GOmgA/WK/mZa5/zBa
h+CgRbgpi6MMPpnrReIWrLUAMjxW1pbtK8B5Ew+NuCCZNowv0MsBbuCIQbUd5KqtNnabDsttC1DD
3pZ8YOJN2UAB0HFgDpyILp6OTWqQYIrBE/Q0gOB6W1vKeUXekWcI4J3+R9BGRBKKAgWaS2zFsYRp
76w5EQZ/50zXNRXmfTBxXXgzLg2EYUig81paKvkom945eV1HcmI0JPKjsSVQPxnW81cTEke2YSlE
J6uMAI2PQojt7yth4QyRJvOmYywKou5mj1yQnFf5xuqgHa5U7vhiZU/ilANZXzd2HRAWgHn2mSIK
cFjOlOxb387dq2JfdipKL0g2lR2wrOBSmm5jbC3cJGGHk85HPGghPLGyO+VbeMsd4UnoSEaybKxc
duIyILU5ep0VsGblsAMO0enbDxc4UJIJxjeK43K5gSaW2uspDIJNiW79YQwXwj6EQ+ySRwjiMYAo
9pqNrQJDbSUtCcVNXG8CNA3zlp0hRUFa46q766wovpmyHtYQ0k3qFxG2D3ZTis9R3yG9i2whCYwc
FpK9tSfpwxg8+tacDDoTZkO26YKRTAcgi0gMKUwfvNgbz0Qj4C2OEhaVzAMW75ktKj61GElOs09J
T2i3QeIG5QuZK/UPG2wm1mk5c1zEo66OsoT1wT5SsninUIg+M0+b40uAwwk7UCtnkh2sMC7pR1OW
GqgMof1wQM8Si3gin/PIRTsacUffqXqOzgR8DVsege5HqTzr84icvd9YTVg8JMtkfLHRozzbw+Tt
7SEMfyhnML+gTWTR6nnG20yDT9x8my0PY52pN85fygW3layayqAnsqgimGw1lmZwNAFlvdTpjHFY
ccewvSEwiIkbCBYOARMpfi1ToERu6LCyjxk4FFTKZu4eQYZSxfRpFXWoO4LyJHwyslekaTvHtLdF
sUNi7qUbkXC7gbdI2nkfOUmcnhYp8jPt+twelauN4RgNyBJUYRH+HIho+NZ3QdCuCwYM9ranl3p2
kUYka5GMU2ftzQR6IBOKLnFPKd4trEOgZbKdR8z04Kysqg6N97rrfZbpdhHUWMEKDwZtlS1yWi8D
7c6GeWgdvAKTsYLPHhiQfh/ySWtcFlKW50O4Vu8eQ8t+jkW2G7VuhUmgv41h8Bn7qXLF0eF54oO5
GEF5Aa7QTHg93MG5XYAdeJrCBuQz8J5M7puF5dMcPeQhNcE94e9Is7gRQlRnwHsBjyblqIptGcRq
a7NSFs7aYX9Hp1JUXodpokratr1JlpryCHKiYshlNaV7KzPGWSfPQnR3F4y+EncCG854yPpUblAb
VA9MVlrjEnjUJE9zwXhtH7az5+zQCSbp0bOyFHBMDJjs4HUR4RRQ1+b+a7nM5ntIcKBgYUhk7Ve9
I4EHMcWWT5EkHUxzqJfQc5DuBITEBrmQri2bIJhkE8+2+dURQy/hKnQMqdqo0RR6bw4vXN/teMgD
S53cubTg4ni9daixCu1lLKkl7EhMj0kFbeg4p9Bf2d9hql9Vroqzm9r1R5/dnIWtTOaYDcEODsZG
xqPYz/hSopNDnKzaNVnA3UXsth+dqlbNLcEW0oaWzs0AJ8sw8DK/TTrrpGmnubzB0mP7cB0SNDXM
d2XQnIhLmcMDWYGozCRSsuSZS0r0em5aUeaY43gZRicwcfgjeSy/oHhxsw+CgIb6IVZyxm7foM9K
2gh0h9mL4T5rw/Ato7iD/zLLxt/0/DrwaLoUgL8VB/5wTgx3KbZB5PnuajF8ufNtPcRbgs44I2Z8
w9QZlSuWfPF9QkD4txLx91fDmUKIE+Zyn6EJzwZk4BBwcoaxRTgWtk7eAa4yiSbZpBEgF1uWXFMV
DuCfC2tP+0hCKOgXRgws6WWRzN/muHPwio4WxqrcHPpT2w7qUeEnXCtBEN/K9ubyODit4TILRaMQ
95xNFWaZczzxxFK1YBPcRMGM6yE24uGj9wPFxtpkpcMt1JVQhWiFi0PadzHGCEJhn/vYwXDTBEvm
YVSOrbuZjFD7hg0GsW18NbmtGAlNAkezGqVoXSYTSOeOkOYprvzvSFI6EuJbu//SIz3h8cqa7h27
TnWE4WCsC+FHF+SrCFdkuVgCerMHynopPeeOMGjnc5vW7p5VSUm0+2wuIJZ5OdCPd2c+l/LX7t8N
Y8bqsvatejsu/bExq+k9RnfyPM+pfJnbWGZ7vHL2aXAs/6iAxFhrPDDFWwzdplnnAJ3NtY8wVoeT
YE+Gy5YZxW2oVMu55LAa2hn8Ys8tmJJzIBbAthPwyxEGR0T+NxIzNrpdJNoNPk+G4UuamcNmhCPN
id2GYvv/d3Wpd6TfagjeKWE7/X/8+x870827fP/Tf2yvI8cH0v7mzz96Vcj/+He+Mv5R67/5j/7h
v/1Dg0uLYuDvzS3/d/U96f57hP71K//QibuftBgah7Nna1aDQ9rKHwR9wZ8AXBBWyPiKv/SfsAYr
/GQhmfFNy/KtQAvI/xhdWvYn0A4ho8vQEwi3/ilSw39RBuhvYUGEYEpKXiKy0j+v5gWf9sHCD7fr
yOruHxMVBE+Lb1RQJUkYuoPyGJB8aNXtrkJvsnNNmW0LGXub3162/0Yxzgn5V2QEPwb6R8anHlk6
DjPZP/8kJjCD1JhDm3K575+5WBTO8jA6DnFpP6k8DS8TjBsQV6syqidGSooyIjS2iKu9A/9XuiPa
qEbglpRfPcDxHFrpjBJZYOkt48jD3DtHxwW02ga1jrpNspR84gy1zdZtDfsh6aFTp0jQcDyWHee7
scj1FBfR1ujyceN4/rytaO7XianQC9iub+8k1qItDsjwLJTmIoTMb9cZf59qCf3pkYdveq8RJqIY
cG9L/NIHbeXGQ91L5930zOLGA7bAuqWlcyJit0XtQvspZqjtjly+kxjrPYV8CPb4LoeTzEd8gEXO
3DJDX0Y841h/gGXvjwoI/l3iSutk1qQFiyRQOxG68j4WTrRxK2oPM3NORd0cphROZcnZ/GVGT9eu
MoiJazezxKuF9XBdC9P+krC93CnCDPFNE5SzDI59aZPY2PFXzP3kR2JTj0l36F0zvMSGMx6HQLPU
5mJXzTErPLdVZ2yB6a1ei+F+a5utr1oy2WiinB0bLW/LTIC+yRPyyWvR7Idp7Wx8RNGPRTV6rz4g
0G3HGGjrdKZ5oO1Z+NVaxtCUoqUwxhtMytmTAsn0Mo7tsMsoSQ62i66sq+1029Z4kJylG763ZRZs
ucmrB7dkN0rVbCjMUmV3SmPH3VjCpr4Zb9ykPQSVcQ7aROxYQCGMM/0736G7g5MRW+uFiGMbxtcK
si+QWkz++xzrI8psQeJaAmpBJMamihiO98Ss9aKneEu5O7Qw2IeNvRnLLj04A/lZjQRy0OS5fE3x
tO2rXtZrmJnk81aG8eEv7bQNhmq+LYk024Qjn6eUj9XOxayxbdjE6f8lvsedDPfj1MQvCxOGamVY
w3wTuyANCK+0HphRWveK9eWd2RAn0TbDtKGfZCcXVndpUXRal77sm1jKh6LwxL4o3OXBlVG2bReD
5QPglPVAEPB9PqfVHUaPGK996rGmzNgotLQHXgKJoatMEuZ82RzqsWmeC8TavJvYOqsiT4hlLn86
GOuQyoXlU0RRhmOVnDX+DXKJklYchilcLlMyQdv0ZLCvqtjeOhRUKA1LPwarFIbbLjZhgUxRs+kw
bB467A3bPJ650MndMEFYBJ0HNcWDi70wirnFzSY2RoPrkeSZuTxkjJJOc0JnopwJ/FpvOJ+HCdp/
1d9OzUKhO9TeTVC78z5DcAi/X1g3cZDchRwyW1KK7hB/rgs6CvTTlToPlpN+mxnn/mQpzma1kNXa
Cpfo8n+YO4/lyJE2y77Q4Dc4AIfYBhA6gppMMjcwkskE4NDKIZ6+T3TN/Na96MWYzWKsVmWVZBYZ
gPsn7j13gfp2v3p2+55w6h/ssXCZv+rmWk3OcFwrLXc0ru49MDI4uFTLTwlZkJ9W45NSqAZ5GKZx
/O6con3iZAbL6t0o3nS54a3yCgOcYGkIdItxj0RFkB99R4YzDz9zCm8cF/LOCVmP0kSVy6ZnQbOL
yTXYMcnxGzA65lRhwKA6ZkqWRCm+7Z1KtB2mtY9qF7xCGrLL8AYGHaaN/GTUZD4LeyJ0KYvfbLjS
91h465XpUlAT2ADzEjl/Zg3yoxT++GhYqFpIOeg7TPMsrXK673sabNo96eorDR1e604uexRv1Wla
yvSjEZXWoZ90vNcU6GCZ7QArNOwF8H2CUeMlbXJ58sgSdLZ2E/wsuZsnx6aq2u00DtXJL3r57mQB
JhOF0mOjB/tWA3nuvnI8nDcsCJu/GSLVBvdqN/z1eqwxsV6H91IE46Fx63sK3F90d/2hMkxSdoUr
QTtnJROrgkBCIHvBwPu/Oh+Fd8sBdEnrfnfKrjgGilY9MCf06lPmh0tJ/CcK4YncE4slYDi0ccGi
YSIgDrmqMx9dtWiI/mUs8h/XkP34JFBQPCcNcNodWOrms+dV+Ixjq3qri9S4tolbQU1Bncgr1PG3
lcE6vTZADcDztrHzlmj9npeBcV58Ocdn01lAILrT6oZyIOXTzGwYq6RO2yc6N5uoGP9mBaiwmM7Z
4v7Fyy+fuAp7/zh5qlCPQ9/j4yDO7nmEefacihFXjy1aDMsaTfZfdK82U7fMc39V7Wx/L5O/HIeG
Af2SaffsLtr/QdktHEYrjPAMX8hLrJw53UBha5+tVLrXaua3mucYSJkBwEroDSacOaXqB0qd9snh
tH5eyrY9KKwWu6RPLEmzmfruhtyw+WqvsX3AG5xsyTImrdGJvc2gJ48UBFYn972IPXXS+ZMRaP+s
LNUzV82J2MbGgIg4MFvzVx102cckFTalrsmYw6N2AsKBWVP+hsfTVvdqpXkgy7ZiKNgXvrktQNP0
4E4C1BWVDdVSGMljOsnpvega8QoMxX4muKA8BaKXO8uea3J/jeS1wpXCihAt/sbVfAtqrUlh9+10
VMzZtG9rjFXCc/yQKs14hE1d70U79mE1rfWPl83Wztc4ykIrIZ67w1Wuoly1FVDFiunbkpfWsF3X
hUnemmqU6YySAeoy/Y/wch3jvp6/4L9NdI9L+iuxyv7q2UkZGmkqQmTAzB75BTPp4P4syfcgUMk/
ghdd7xlPuVHXsjsObRNLtk78PZhTknGqMi97fNoxyMEzDgAICRsGMNYBKfw6nfpapSfKmToixRB8
AGWD++LgXgZ23HC/swT3xEPeMkaaFpdHYa1daLCd3T3xVTuplmzfjTMQeVKeUdKY3nlK+mULkTIp
o6rv+vcGux+OWLkchbKGXZwjJZLspXZVK41NTTrqPq7X5J7dhNwBGVmOTtr5F5fGnfRmZhEZDaTz
k5rHuaveXXP8pJPe4LA9Wd47rm+bnErNEJzFS/9FfVnvBiEbItbmRf9iHdo+FF2mtoz8izxiMOPf
sY101z1CEldFfR7sfYPoX3qzAo2NdA4k87p7aSIBEpWr27uaPij05Sg2Yiyb7RybYnnoZ9Y/JyAj
EnN+qR9SmRrsV4CAnbM8yF/0yDrNKgD+SN0XR5ad6gHQtt1vVVMvP9oqCy9M6kn9gugSR5UhwUEE
qvfsUCGGasIJnFG5rUsfNtFcISqKWW50XLVaeunR7+csVCzxmG0i9zrIeXKOa901LDG76lJ5o3mH
sZMRyTTmb3Od2nSvJAtFahJefAjiuC0OCt/Axbd8UFdileS4ECDsamEcNNGaXyO9+4MzWT11Ndum
Z06bVPLgjmMTpTOWn26It6WO9SknXK8j9QdkA5Af8tX3SVwlEJIkS4kR3Td2F1bZ2h2Mk6/UZ2tj
AWwJyzTAEFvFz1h5CZYHX3L7DySSdrND98CunbWoY1ZXr0Bh2BvafMOBGjxwwbXn2pwwOAbGsDMd
iNvObPFMzHX8lxF0sc2F7d3PyNNuQQ4j8MnJE5yijfFmkObVY/+KSf0OCADb52Reb71Ctk/r5JKC
Ow+WfdfFZhBmwTp/SlXgsecU31uJgSeDDp31MRnuY9H/dA50BBefFpAr0XBzJgBZ5CoiKaa7uKMo
yCb7TGZPuVVL7m21izywscihcLloNkXTQoHJYu+6pEX6RmLIXcuQe9eTXL4vagsLbk9zgzI0gd+b
dx4HiVWMh5oeIwqS1DqajlwenRlKuFNUZ9ior65V/hixfz9ov97kgoCnds7NXZZWWFQz9nydAk7v
kTzrimG9L9q2xAbTjfc11ddmoAq4pGueHlw/mU6e+IINB2Z/cHY5oj4T9vUByGVKL7VO0W3duhNc
SFj4kyVVIfbCg5sRvENgNBGtxzkjq2FxLx0GuXzN3GviJeIM9xYRi7KnPISM00QFggRKRngXU5uw
ktDTS8PLtHMI68G1S+KsCaUOQSP8OpLX3WPcJc7ZH0bn0RGlf9LkT23RgQSRZ2BzjXnbz+Pikf1r
152gBGW0x2NIyCFsia2Bm5Fwm/kQF667z7vs5OcDs2c0Nn56oxDwTC/hVEn4PiLITjEU47Cz1Hzu
cHBHMFxucQs1rADhlWzBgddtErxCXVjmnRNhhIZJ3B5akxpidbRPjArJuIybi2O8lpx/uGbecELW
BtCdxdiS2Gmc06RFUiAbZ4/hSvxi2eOEQZsUp2ZexwiadHItoORu5RTow4ph8zdKavsXPOXmiQpY
HQfQ6295FQMEqxrjSehRPuVrm3NWsgNixkZiGDhcKPtlu25NirZvIQQtNHtfguOH+g9iYQDszgCh
W537MpYR64Yvc+buQ/6wghRDq2S8tGo0ztaiGSFPQX8AXOcdZ2tkAYYA5NlHvxFVCdyiWlDAaq+y
t6yY0KF6zcVMKxESvhu5ZowwwaGLNEtGm3NOnVB1n8KtHIRWdhw6tPhHrIiHOV8NoBI4ZysxDXdD
MMCMCHJG+ynLJUSbltPd1Uhlzfk65uaWYduORdsHELX7ivXIAYXxM6ylXWKUTzjNDnEO7r7qQTjH
otYhpeGvLgneodFFFubKjsFGWHREJCV+lT7BvywPwYBClmumujj5ZPEcd/URHTcrmbQ8sYldzy4g
760n/eJQIo9yFtAsgF5h+piQrVD2JHuga883a+/GXypw2gUN3qqNNufhYNlnSpqrNS3zb5vgokuO
YGwNs6lyMYJyRlqmcQCXaUeSLSqZfmW8I2AjPs+FLLfGjSkVCDp9WI7Ku5BTE8NE96K19/WREOZi
n3lHNpJnSDaH1SbhvBGZfG0ajxQHx7NfM4ROnLl6QE1hLVyMOS41hNqAukcCtdBvr4jN34wJYoxv
06KsLpzLckX6mtamfm688iEHjqcWyZ/X7ja11Gko259qxkEHoMwA2O2b1ZYD/mQ2Pnw1Ue4YMcEJ
9/M4bG1EvxaImutqCR25nmV+2/x87OhGXP5eNTvvrEnbo1a+/8AkWu5Qu4gIkfymTwoA5O1s7lyY
LKONgYkEknfbNcwnRDSEqVkzYUulKT0L06vb7Qa4bfspq+rNNJn86kkqCT09BVsyhzFHN50EzE0W
iNu408Uj5+Oi7RroAIF1KzJnm2infvVOQfA8I1PNUvsBt+aRMOwvuFc/zNix0ZlNTSFutURDSTdp
Dz0w+x3XphFOskC0bxnmtjbK6W7MtaDLNrIDN9chF/Jw25jjGmXxjRaZPvzgs+eqEvQN3LY/7oTF
pZLBHgDkgbyDs4SbeqN/71qtP0ZrQsU327BHWq6D506Yy50dpx+jba3QRo03Owvkfanm4dOQdnPg
v0PYoWxB7tUe7ZZujBLFeJ4D+1rbDKYVLmSvbtwLwqgYEKb1zgEOodps5ZsNJQp2kLtE/iLeSlwb
kXL9Lly7dEcNHXZNHi718DOavYXFfK43gce2Mh/9brOU7t8chIDLsopMzTCdypfWzSgv5RRmLRz5
lgt8V8Y4+WDTFtXybjRgl/0b5hzCIVuDwimGZ5rsflc42VURVLgPxPAwdeDBbcimD8j/X9kpkE4z
2zqCHkG9iL1zR4rkuLH7bMduCzFDZhWM8oRzN883Sy3hWRHmWSzflbu1esAFXV13oRT65OQXnBfn
ZsoyXsfq+UazAkJ6ioM+YOUx3rlrMHdRP45BNNaifEHENr+j8YYnQ05BQcOxKZv54IKC3hPPbWEr
ReZ8ROU37ozcFUdDpNYh74V+aFed/E5AU6H2tz9p+V9s/A/TA7nWLGz+eMy5Xgh8rI+C0veYMhm6
ef6JaihoqJFq7MzZw00FEYzeBGRsybhlHOvmjXX/esgJWSHKwPDJ9mlwZVaDBu3YEEBoeTecOIOw
HewN93lNpwy7yzpfawgazDIttz26rmIVZcwZu6H5YnhltQkmNfNBmcm+scBge5a3oHFs7OxVy9m5
4znbWoAUFzfuLyp21k0NY9XkflSWv+Vr+/e+d4wjTp9sW9vmEvF3et/NGkOuCACMxeq5tOp078EU
3HdBk78ZoC2iVnYPo01Yl8pIqM9bN46IO0ALyz1PnYzMEfCjQxXePLmm1puVOoEkHifZmAbkYeyj
YB6n6UPWmogeTvEj8ZjOlX1qHiUaykeoiry5QRP5zA7TbPsXL2mA0zMXYtMnFX8uhgYVpVXKhKqV
fzxGXcD8F+uhctX8yOquFRFbOtph05uYpJKQZFnJr3yV+aX36+pU2e7cbPtMxdnGiHvgcFjH1X7K
05xQEhTDQ04yZU2lSUGVj2B5uZGz1eyIMPIay+BcWApxDRDCJRftLudKKuMttjANq4bWY9sbQrwE
UhIqa/l53m8K1s2Xuack8+JGHPQkzPMMBpmnsypRScAb8O48Gz87DM/2wJfYW9PKhgu9vPWWQXs7
isFt//ZpQ+kYO/1lYt23rwjZfbQqmdwbbm3v27RTe0jsFEDCbQVRiSM3L8Y+eTH1EHUUfzb0a3Jc
mFJcgk5azwimk1OxWNYLB391P7p2utcJwDykPm27t1Rpt7vZBMi2KVr28jT/DVcfYFXUTkitZDsy
CasXK/30Xc6LTSan/NUS/nUMQIt4y1SxriW3QczOD2mH9he4qjqNLN+O/8RFVr5QhnyoQOJayLtH
a+xfrCC/Beww8BrX6TCsS7PLqZ3P82zyuEoGX75b6QPOluqzQZ178BtHhU0Sm1tdQ7xIGA+yOc/X
B0iohEyaBSTpxfMZm0GP49VyGNC5iM/BQIPGVc2dn9tjyP6aVJl0eNULiB3T6n6hV23DDoX4Prek
e0ccQfa0GH3720l81Ghm7E2gCUZw86PDKreRNDZJ/JKmQXBEdk+5M9YbCHznOVOKA29Wp8Xy/maU
/xtboefKGUFxEsyyCfXoBy+iKLlM+pU4mXEQ1QXgwcPorQ9u4gaPKayVEDtms6sH67tKUQjdaD/X
uaQ27tRqn3u1GJ/aTYgfrYPfwSD8A6tqDVOXlJIFTw2Hh92gQ44LdZy1JQ7curTGFrJds3olM0je
WYLHr/KM5DTOvnGgsQOs2RWPQ+aCEGAxtfPa4SIo1Ht/0Ht7ZSq51RYbXCCTxp1e5oAhhvOSNi5/
XQ4B2ekw9BBKpKPRUozwO374okGwZd8jPjQvwjPXDYt6dRIE/W3g1AZMhhC1DNX8JCwo2DH25I03
TeJkxcHzMg/OOa0qWHeCEEYJgU57wXYeihdiKu4wtxOc7qI+mS1FLiDK/JsoalzNg1t1w86iwuEs
ZDTqbIdAcyajr6/PQW0PKVOAzuFhnnCxCpcDWQRd8wpoxv1Tk/sK5C8FQiu6lY9XwhPkMYwWv0HG
B9AVOA7H4nVI+/ihW9f1tOCevvrBUNwsQa8ycR/dHkLE6ASfrhLnYkbSxLR770gEBt1iPwbURaQw
jmHXZhgTujdwcu9S1wxae6TEbe0BGX6MUahEKwuW5w5oZGgZoA1ss+7ObV8PEbF56ZsELHDIu4mS
Zu6RMXZ+lKzCi9q0AcLhN8a+HIJNMj7O7JpIMU7VSfGufWKey+KwQLeOyrBj9jJK3oCkkhcxWuzF
Wqc0t34znBLt+AAcuyMZoTWMaLlme39hJQhHHfGd8ki8i0vicUJTOiYjR7fa24Qh8TECyn0z2xTM
ATJYSfxKUX0BVgfK1IxWfeGbqhMQnteBqCAGhNau5ny7BkuhkJUQSvK95hRm3IcTYXUQVJIGXuEm
6AbzXWad8ULfb19WHuW3uSIWY2bGDiVoTHtE4CRW81M7xW93DvR36g30dQwNAs1SKM/ligmUiHOm
t874Joc+u9fGzGu85HwI7Jim9A7Ao0J8OGSUmQWuuJdCoGRJ5xosYtmZGnmYJ1+BRqbVvvCYU1WJ
rCsmmY5TUw1axX0ifaOCWz8HaA6SckLI7WdOEzqWl72i+e+OrKMo46rRynZ01M7BI+lyRW/TWDcG
RnnLb5v0u/KqbwCyRojl65u2nOQ4dBcqMlvrmywd+iJ3ZWC1MRQjkX40/bO2hoyTouafaGyq/rq4
dUpJacr3SuW8S/xns78auAK/0IsAxOytuAYOoeUfRUG+WzVSLT9O3CtbVnhVHbpGqdkJdwh9dk1W
yMcRyRtvu5fwoLQen96YuvbBMOKO/RMuSeWz9mHSVW0oFfUPv51xVw2zhTJSZQfcIE/u7LCGxLlb
hcqRRqhiVVwH0oWfmaylu7Yuw3VFDhriXyuBteRgOXn9FNIWz52BBohYfqGtHYgwKsz21Bvk31gD
3Chs9uXBmwETF1hzIdjH/sQq2kIhhjJo1OSak0iOEL2bSV5Wxr6deICT1f+sUrIGEaaqBx78druC
fDzWVm3dmzr9DLDPgVujpt2gEv9wmmEkWgqSOILthxHQPWL/ErMippRNjOczdFHNRO3y3mQAqsx2
Y1v1HRtBfCtjK16Tpo30knf7IPPXt0rj3JmTGneSGqdongXMiqI72YjZIBGt3YEuMN31thE/gYrj
rB/d33OMIXULnqTdmoHurgpy+3ZmBPbk5DGgWlVJ54Vl07pLUxU/Am3KdsNszB8x5NliZeiQB7FD
CnBXvlWkN4TgTIiMw6D5OE5QgDQE1TIk0B5OKFsUdw3VGgfnjLEkXUeu1Es6msOTZ7Hw2RJ6nuiw
tMyMeL2FkiDx8T+gfaRPA3gTr/b8PC+5OGRyxK8C9h/v1G2rlpFjULM6tbW3vd3UHo3H1sOeGTYI
ApCJt+Yb0nyScMabJHLQxW0xKyKVTXpby+aFzowqZXC6vV839lVNCvLXUmTRklu/2b/FZwoRdSmo
JsOypaFZMmIBJISXUCtVbMEU6yt4X/nLM+CRJua0U5m9HPph8A5503TnZhXZLh978ymdLL1nycCY
c2gm4jmpWtr9UE3xc6pnAi55LfmuLAW9Fkgcq2nxwG/VoT5wluYq4lGGbNdQSdarB0sVRfh6qdbZ
+7ssFZ45ti/0gGzd5hOCYDK3nZWnh1nqS7I64709Ng+kYkdw89trOw/u0Sk8BXPIlfU5qRKGca0p
V/5Ap8edagiMRTCMidsVOKtcVipebY8kDLgEmRlFfLCTgr+v7htrLygUzuR4HYpyGT5zjYxnG2hj
8kgEq7I3Pt/fi9Wq/cwQgauLvTpqfUHbNseRq/p301HpPnUyAIITEK4O7azJ6Q+Rh0fbcWzIuqs9
utspd1kpdkKfsci4od9W4wf5jMuDWrgfm9ZTmyGlMejs+uxVsielwZVcNuzMqf/bJc2ehtZvGRer
3sYTywk91OYDu4ZddsvIK+XyKgqZ/1mNMnvpg877wwYuuMhRnLIR39SGfhvRtm9NHaLxTBTA64z6
3WAhe1+LFitXhQ5+UcKITHgvv6dADctmJv0DmV7mMgqmZvhmBkrnYbX2fYL+FBbvjGPNr8p7Fv/z
sU6rgCjO2THPSQlGbMZ6FQIgIndgMD7ibiYUMKXeCN1amxClPG4braT6jhlW0iZAFNrbQKwOaHYC
PqCx/cVg6CNL169pDgqucbd7ta20OGYtVPIN12n2Lug/fw0LVGBOIXM5YJj0N/QasPYwU6EOoGeJ
kiDT2zyfq0d/KUmMq3z3Humot7WaYjqsVa4xWdpwrQRMe2dXNROaDMAtMSBKNL3hUoBGuzU4OWOJ
3ep1j2y8xAajtWCKkfTzAf5ZwCrD8PcGjuzH2jH1xTPYvA6cR0+IPIxwZdIPm2SeHwqZOAecgsk7
3Ab7lfjTHK0DqhW2PZAYDNx2+x5pfh4aeSfulDUxdzIRBbLwguUzwVjG+4GYyEu4CbJqYdAOqQgb
G8TEwRAYEMeiwhpkIfKpVtciYtr3VOS2brX1vf6vEuh+hxrc/qZXyBngTaxbyxYvHrP9MDNFsHc5
TQkmWMqLUVgPUldgGF1s9JZcvbula2v6/Xn+0oVNNF3vT/6jw/IbhbbE0m5monxiSRs8W4YzP7DA
dr8sP63OxgL2walMfVKdt6xhkhSI8+vUf0bmaxwXe3jvmUPnmw6CHITPOd+hpOn2XKXoXYj4vR+t
8gnxXn6ZqbkOoHVsoMf+W1t2adSrNqOU9Gf12qLXeZjQvc8b4JTqbW5XdgR4IxA3ZboJG3u9djwQ
xLXGSMHLxTv2aX4TWKcnWWaMI2PfPykp75o4L6PRLn0QhUt1ZJahwzVrSt6IeTqJBuHMqjrmm53n
lSFiVvMdqxmqD9u+5QXZT34Xk9HcTA/w9KrIi+ni8q7HPjLJNCpn9ZiyJ8xQQx0cH1dCHwTLeVEN
k9diru7yWnchmfVHm3L2sfIy5gY0UZdgKQGV0zzZ18YL6gNzv2+/b14ccyH/goWRb0hEzSVLG8KO
xoOKZ/MdyBHp9EUZ7KXjlK9i9Di4BnbSBAJUJ1G7I4GfmH1SR87AEa32rcj5Rfk9ESC0ya2/6VhU
mywf+tuRjncAdHKxS9pEHSwjQ9ZRj8h2zLbZkWvMAGAeEXlvGozJIM3M4pFjWpN67hAhws1BPKiw
zfNo6Z+mE8x6+kQe4gz6xqZgFXnHuSXJBrCXE3oCh+10Mr/oIZnBWyJeB029PiGxLLYrguX7JBDV
U0tx8TQNCyy4tGw+ID1BjE/HWZ/nErMcYHL/L06x+E1D7AeMR1PKRDpuc978tb1nvRT8qrJiiZqs
ZmqQ1gaBhla+lbf4ZkXK0bFMPetRZG52Z1c9g/I1BeASTPbwwGwg/S4m9smbrCFmzmYQidxBuOfF
7Z13kU8z59naMzWEaDuuS4BDOp8LdFsZ+wTpBN9tHDgnCpXkmyEhNQTeYfbSLZE/NOFYb7tRnvzh
/TYK+mXGqLJw45rDx4olBWOtnX2gT1vvmW3Y2ySIYaZ2gfpBLS6ewDOwOYjr4oXcxXTLWoD2voK1
YAeN94zD3tynYytDy3fTJ52wPg8bZyxOA5jzv5im9XPF9cpiBk5YG7RSop0oykM5KGdrqDg+jaVt
79qeu4bmuTKJDl6mD8Ys7pWVFWL1GjA+j7zT37MxcJ7LkQbcqJf8Oa+NLzw6/s7tuD/HIj4Retqz
zpHdfdLOAnuFZqyY885sqhr4neNlBsKgjiheGIvHPic8ivGMflqJ6mU+P0HgKCqPhL6OQUajMOM2
gSX+WsqPzyh0SMdsjLGjr43H9MGlONixjItPZc17OHUtRL2ZVp/WmWkB2yjraar7+EkFQb1NEAK8
VHH2zO1KzSPppbl+7QNSdY9dWpqf+7yYYRKm6wHxPosnoxjYWVPWRtTI+a+A4A2G0UacvmsykxVp
Lmpi7MB8e0VXwxGVGfnOM23njDNm/ayazN37Kdu7fijtELAxezxFriTbneWZadhwkBJ74LTeZu+N
OfZ/EdcsoV8n8nltxXrU5F/fcOX9hqYrwGUO61yzosetnJC55pSE+ureY66wuAaJX4zNeSzZYJfw
krPhERX8gDJu0DvcSv4ONRk1Z5IRVMHq5rnXc0PH3AOlc1rMEb0viF1e2L3/XfEHclOs1WuO6pta
sLdJoXXrY62n+K5TY3cPhCg/pYL//2RFKLjJPcfnVy5+OHCMq46XHmRSAXkAHjNh0pv/hVZMKbw6
yy4FaCdCTDs/UI7i7Szj4qMYFhyvGZLhV7dg/yFRXz3oKla/4UDqO2mzdGFOixg210bBiaSqf3hn
/68hXvuf+u6z/On/U+n+b+X7P1r3f//r/ydCeFPcJNtgvP9niMf1s8qasfuvCA/x7y/7RwkfoIR3
bNDnvkMN/Q+s4x8lfGD9C0KWh6RdOsDi/lPw/n9iC+W/XMbYyKocYaEOl8A3/rcW3rL/5dsI6PmO
NoJ72/6/onTBAvtvGA/fYWQJRMQVlK0ehmwPof5/BdVJBsuNYebBoS6IxBnymEKft8UZVhsSUmKh
MOLyyemG945m85/grnste6LAK5Fh9XM9pJnQR12IyCfLLp2PXjuIxUpaYNu/j1vgrVYZc03OtbmT
JXP8TdrFb47ll9chN44rTdsOYk9C5Fz/ZFSMdmhRNBt6DQDV0sUD4hrf52JE/LzpXeTHzMn2xNKi
dvVQlkQNMssX4o5Ry8YwF2AANNfupr6LQPfMBwBdCuNKDi6HiDN5YMk0Pxdjmb5nTfPDWrzyIjox
IpqZ6P5G6PKVp9667dPimjnOnarAmJDk85nNdbmbYHhE4LCw8zjL32mmH4mT5Bz7TH81QrrDLMGD
9tiQnlRStNcgl4cF2x5WQtqzLpPYWLpJhI7biZDwWYKwhobGd3V7bztJ+9j4RHgQQ2JsgCN6kfKA
flLJJTuaLU5VyTGwmYayecpnpzsacRyHjGAwHgJ9+JhK697vzd+lmPGW93Gl9yjrGK0HTsKWrcve
9OgVj7pwjX0xybiKiJ4yH+XE+JDdzJQCdqyENkMUnz5zKZbcpDYVDuKOHKsTvV1FYomBKGFQxuKx
PDC9I7eucewmN/nmiqkBgSS7JnXHSzelO+YMcqcX2olYTizJ0+kszepsqTxFzKPUVlmwrXJQCFFZ
JkFoVYG70aP9hIcNHlfr9hcXtNS+xaQA1mmQoaj5nd14YHZVWScbrv6PYFr52nF3b1s7xR2dk6kN
piRHxblXugY/iaAb+W2Mow/FhGIJgaTSr0OnESp/Bq0ipjN+U8TOVDpYwGdrOwduxx7KKKMgSKq3
tA0Y2Meus+lNgovrTp0JynYeRod2njl3Un0sAv5C0ZInKAHLRl690pmVbqvudTP6fxLgTXQs6rFD
jnTibamiOimVuJqOyO9KRkWkhjHvVGHBJCm7oFZzz+lsePcVgK29p1Pn2481HnYu1ocYqe2mZoP8
HbcZquc5a8ffi7yJ0n1tEQo4krxIImlUC/HlMHdjCtcj0K+JAeJ1JIyKx4mWxdoXZb0gvcREMWEz
9UZDn/2k9SN37tAa4xBhXgiMHh8rFt1LM8j3NFlnlA/wbECwbhwyQPlJgmVrEDAONEy8AONHtjHO
h865RZMWzR5F85/EFBOSOuO7tRXq3soR+yYdTjbtWSoY2DCPQCvzi7CyCD/C7a78yrChJTVdFSQD
cGfoJ9Dw/LkZ2+7y1v6pnSS45mODocEzu50/g72sxfAJArU/pT60jh6O6h+sL9NJu37/WAI1Pva9
vC30MtglN42J1v03RzFVvbT/aKe4Gcw6NwSMgQlbZNnZUcYHNUeCh9wUd1UbXAkPJBUuH61tRSEZ
2bjddrh+0V+MCMq17NbQbcYxAsodBnzYuTNBHvObiPduVzf9cIX50EULAaJ7zyHgsZyt5y6J52sh
RHa0SpjQhliYljBivwNYIx5z8L8PLMm2dqCzo8EYPUwmk2lbTGN0AvOISswyiH3u40KzIRbN3xzl
KvNveg3Cgeqo7KW1sQlK21qZTCJEnywVp1klYTFay8fM1pNSZV6sX94yQtPWXWm+ZzIb3toBUvOm
Ytv1t19tc99Tx+IzSXX6OokOmQGZytMt2w1sboGVJ3FwPmgf8POM9XjTtl0bzYTxbYrCg4WRoUoK
gksgC7FhZZwfEZ49IRt5b6u8PzSgC40sjS/VWH0la/DcGPdzOrkHK9g3libIYyF1LuxNZ3gcy/jY
zslfzlnafHbn2nxgGm6gV/UfzVsvVpPViGLF3JHiSKloNl+EWUBbplLnawQw2JLIo0cITMcGBUU0
dQwE+AqkhaDc0I3FzVfQGPGGccwDcJ8IYJU+ks7BZSWBVjD9fukLEhBag5c9z5lmTYWdHNr/IO/M
lhtHsi37K/UBjTIADsfw0g8ER1EkRVJSSHqBKUISZsAxD1/fi1m3yiKj8kbZfWmzts6HsEyLlAiS
gLufc/Ze2wkpUW0eTG9iwmLkZeNPMxAN3AdoeCoHgzSE9lngXMTvcTfRYUcTjYwLdhDAK0+US3rl
5QFXsvcS98ZJa+WM9MvuN96gimvfJWsM6OhqhdPi6PDYS9tePmSzvDCdje6AMI8LEbg7FebMHS1x
HEs+ZulcmwpOdKMNyNRt5mRtLul+ZdmaQ3ezbSqxHG2sCRkuCcvWPzJoMJDljKs0rTcRkc/Uz5a9
thr3UZt743NonRf2FPfazeHX/11z5c/eyv/9/9DB02FebgpOfP/9uXPTJe/1e/vzufNfP/WPYycI
WMyVwoNRIgRnO4Pf949jp+3+3fAkJnnT+Bci7p/HTs6qhin/K6WHZtJPx84bWA6WIMQ50yRM27D+
J/S4G/r1Z2yxzrnX9eim6WA0HFbnPx86PZO9qclIPGwlct0FQv7pW2Ta4/GnD+UvLJZYSX95Gddm
wkbst2ObvK9fXqYhIDJh6muvbCvt33pdc9fUrCFt6jbtN2Gu+n8Eu//Da/sXL2jcTst/fmOubeM+
JwxI91Bj3q7oJyiel88p5X7ASMO42T1UrmcRZBK6awuCSYDf2Xl8dVElbtvAvXSD7mmLip96KyYB
tqHykrvGjsSdUfXmypy75I4Z6XAgcmO+N8ZUHX7/ARk3r+uv18tXbkkp2eR05/ZF/XS9CdGt0zAS
LI2rIf8YGFH5jWPwZ0q4wRI3vbsYQsceFrFbftSlPn8gIBiepxD1kOxK6yskyuOpKEemxyOzh99f
nvnv9wlcY2aVjmEROgVd5c+X53i4JBNSzVdsaNYhng0UbrG8rZPNENErHB02JgM0P8SFcaVreril
ZBlXXLO7xV3nfDMxT5ymEc2moXZ6pJ0hNIA9C1Bm4F6v+vRV4GPYIL7hTMT073sXGilbfaUuv38v
1q/hVEQwUOPxCJlC0M+8OaJ//qjdeGbDxq63Ul1GFIKsXZ/ywQyXo3Ij5j9U7zfhl1xpZTN8FPaA
ACTLC/ApBVL5LeAx7dyNY/tqw9DQALcRHJFq8mUkRJMzzcGpYxMlZ9z7Dg4cBhNdv2tLIiewvr0q
ebOABPLFk604thpps8UESCzutwozyi6tM/to5EV1j91tZmiCx6cgG9kI1hEsRWb/tHm6CeGgmQ3i
UCs9+nBtIhoxcgi1l3Y1H1pURSHtK1Pfc3ZgCIs602uX5TwmL7//LP94cH+5bekESapZQxjChlT9
p88SnWyTymaSKyMQ+anU02JdJoN+c2BsHGF8ackwnkjCwI2Wj3ibt11NuA7Ss/q7paoWg9nQ54xz
TGc3lFmG2p2h2aIosDaQbKge6H+il6MmHfehyqcPj2ica6cCFCXZqL0YIg3v1Ywmx88UrRUiJsZ7
N2VPbjtb/w83Divrvz2jPJm3LQEfveRR+OXNuojyndtD0KRVf8Qa3jF6YbyAHbCsHxgseOvKMExk
2BlJXZUb7ukeg8akxEGYOlvuk2zk9FkPof7j99/DX6yvLm5nKhH+0XHT//nKsnDKaQngax7Id/dF
XX5FPZ6jFqWTM/Z3v3+xv/gYXMsjK+7WS8G//0u+Wsn+wFSm5bQyNc6LTrju7SlOTr9/lb9YEP/0
Kr88pZmbxHYjkG6mIo4/9RI0F65N4Daw4ab171/rL1YE3P/s0eyorrDMXz4+bkkSSUgCXVF6mHuh
5fPHzKTqnlwI/WKODctuUQ54gmkvgZ2DIrT8/QX8xUcKB97yHJhHdNmtXz9SbZCAMqUEb+D0z8aA
LXEEn/UfdmHzzy0mx5KuwcEBdwRLuKkDX/jzbWKy5Loofei+yvqiGlpKuY7nOO7PY/5YevFpLFBr
jMPHzfwG9Ew7MZ7APjSXmDYFREfwH9hKI6tEa6WGDcM/curGS2Oqyk8nOOkqDpkTEo6lcC/dWvtz
Tcu9+iSS2P/9R/br/SFdlwkRe6UFv4Jz1Q3p8NOGOVsz2FS7dlYV245PXLm7wP0ZLmebicnvX+rf
PjbSEG8bH258aBWQKv78UtEcmEAFNQ9LlR3eBRPtOUR1/T6si2wtmgAYBBz///CiHAVvm+rPiyvN
RdYbjkusrIQz/vp1DRibzdwYglWfDY8op8qVCGl9e8E4vAiUOvbCGGnUhfGuDodXxyuIyRom8z0J
TQPmWrTn7HNTZjrUH/ZDo6C4sLhVm7hWGzzjDPqC+DUwm9cSh3CsDwzSXcS0FP9k3mTg1J1h3JET
BgbIafQHD568X+WkIMUTnXKNPLNFrE/6GsrZzb4O1438l3tF+bt2xgHVWEAuklD5uasiDysH8kOe
pwl3Aov+LrXca+iV3Wm23y01fxT63JwKMDfkeMvwpSm17kSDC0YbkuNlMCfGIq+AhtaNk2wyBAFo
DqoseZ1uqpSxi4vI98am/zAzr95YEckuONuE9TrGprv29PxRqf6hdjfEqSE2C40fcJ7qlQzQesda
mL85UqIDazNZr2WVpqsi9uBV4EfxzanOj8AH0wdjtHFlmknVgv5A823UnfnZiNQ9MMpv1rHB2DOI
04HC2uiDFe47J6d+FOkb8s1hFTcFDq5k8lVmX4lrRTtYCcyBRYdqzp+raNrXQM/PQdRXvhNPqxGz
s4efFl3DvDEzQczkY9dDEgYez4jR+5oG4n+H7hHs0WfC6fI5Nst0jeY3X3lu/y2PUGjlY7NuuhYD
vFkZz1WSiHOf1tJdTKrM+V0Z1hdv9haeqM74u5/HsHMPPYOQbatqOA1dyKQidRGNkD/dn+pxHjcG
mLIH/Hj5B7HlzamrXfhSQRR+uXhuNgShNVsd3P0Z77LxUlQq+zbEYlMkbdmi/Rrdh7LMFZFXWYfA
iCB0iYSpmhif99NTFs7tWQRTh60w8W4V/fSoRYHa4C9Lj5qqwu081tol5aB17JLqpis19aVR5Q6v
bCtUhAjmmXXqq85yjXctQElJHB3q2xr1V8S3h1k/b89Rl31H3Dp9T27vcNCltqmD/kEPrc1cPgLH
MXyXLHeC3A6B5jSbhFxRvNRp+SMIDHCaOrdkJbqYA7hr0CtLjTvNyeZl21btcobktijHUJ6dCmVj
WpXzUldQlsqpLr5cvRnXGky9u5wx4qmQ7idetddC1wMcQEapUBKa8fjNaZySpPgBV+lE7zoSyH+6
JkIhO6CKA6bwrVbNN+WRir5opVF/z+i7PYduam+xy+cbT0yQsgMgMFQ+pC/ltVzWXm1vE4an61pz
w5UkQw/glV08W3WhHWKuaqkMXA11WlxYYcdtlVcD+nhhr/i/wo3pDPdB038KGWLPHGmyJx7e1kIX
I/bdiP9BC6MrYA2XCXuv4bJ0GT80KoXKqrlX0U3fG1eWl4xW9Ql+LxjEvABzJ+J+B97xYVa6OHdR
zndCZnexjJoBBpvRDDxUbbSOvAHEONDK0SzVvZMAv0pR2yz+cGtKWstPrYjwiQo17+k98QbLiqaP
ZHWUVjOxQTAhkEYEFb4jcockwOEYzwHKgKkcDq3UMKCpul1GWbKRVvxKbmmzxutItoeGmKXV6yUE
3X45anlyJERdLCZtNH+IIekWg1slS5RE+jJOw+rB1HJURAGlnb1mIPMsgkqyBoYwGKOooFma0k7S
u0sYTHsD5Wknmt0MWCZI04J3rNKz0GGHZVNsfuBYyS6qTzjpuwQNbZLGBNvHbDNZjrV9qk3bWhaK
oS9YhKuBE1gWlolBJkC06HSbYlbdyqvN70Vf7SND4hpPCWKy7EVc9NZmULa5qTX9WqZqSRpjfygA
mt4PXZlUC6mr5qVlELBU1VAEbyHlWb+IgtxZT8nUUl3P9b41WpAZuVgRNhYeO6x6BJYxX4kGMaM/
LUdiXSs4mF3sFQxTm8K6MYJuNubgjmMH8CSit/al0PoHzYgrAuSK4j4qS3Un7aa8WHZ1jlIMHyR8
ae+xVZfvc62nG2gL8TNqKtTmoxXfx0EtXrjqcoV6ScIcIXYQosC8QbKOltTQkrvKRR7h2OycNQna
PBcKySxME3SPCeVgNhGTEZb5TglJitckyTmtU/0AD71btxWLdxLX59r4YjYlCvqRU/MIi7dAuB4p
glOy6WKHqbtXdTbtndlJ9rolJsSybfCtmL3ppcN/Q9htZlxAglcbxFnshZGZbKy6jd/ICZnRPTTV
uq9c50WFdETjyCvvEhGy3UbTg04rfTmmInygs9OudN7tPRI9uW+Zgd8HopOrKOj1R1OP4jPKb7Gr
YZPfQ4Qjg9JLwkOfu/xb4/VHRH8fih7yYyRz3b9liGy5RVd0z7+7uYzWBdRMomvr2+riAWzA8cXc
YTU7Nt17S6yEVt+p7oTJfpU3dnEaMhLIQzW6rW8oG3hV5zoH1L/lpZ1j+SHjKn9Bfil99GXPU2DJ
ZYn0l5MBVgc59LW3aGe4dDrUe2y7dg5zqiKzQFgYpwnTWmLnQFes1dVVkz2wpZHo2n7tKJQxlUBu
oU9YozID8sNs5dz4QVtrajkWtrVDbDqThKB/c63WeUCZRNzOqGnnwkP/PMfVh90gvNTTmngOmuXF
tai7owat3Wmsr8Kt78J0Dh9k6tnkePS4YFD17xDP6o+hE0u/EhNQYsc6wN1e9WHgc1AL1nWQD1gu
jCkiU84gqRnky6ltmxANoWsbMIpiY+1ZBZNZp+nrowUY8tmpHeOS561+MNtB3SFMHQ/jODYfjYx1
ZptVFD0OBRej6Zb8FKPu/XCxwt+lMUQIM+LnjMDVljV2DAMZkNLXmD8E8vVRTO+m1zj3RC1MpJQA
x17VnlNcVOEAjqmS/hMmPuq4RGhqH+JN3zQoe9UCHIvxpAWcSQB/eS5Oc/brnvZPyVgNJJc1KMTd
blcFjwzywMsbGejmZmBUM1UCkWDD8FnBmEdhD201ey6BeL/UzpzBb2oyCLgqioJgldDFJwimTLwj
VrF+baZwQwTFEDqpQJOvpOzSz1PILGyzczae1FAPpeRH4HvNvQM8McXFwyRFpzQnYtUrrcIbBkzt
NKY0KHFqNOqkpqg5JH1yIfzwu0UaBHnDhO+RMXDH6Cfcdt380s2IhJs5v+HX03rbEYy1whpQAExn
u9FNx7l5Iubq1iKCysFwcakyt7s3RW2sI0Q9a9hd6Hk0B3xqnQfjjkzpNdaJZZIz2GJ3jZFgk1C6
aKYi2WM8VM/FOEP2/Zgt5+IO5mPt9u8G4zd3Ct9k2rwgwLG2OZ7vc9Xr7rbRC8e39NwhzQ6z/zIr
43xZ6gajw3JG/5jrqobg4M3bPNM6g1aUyTnJlQW2urq9ak1KdnHpCug0yoQJX+ASZKYv5fs4ADPw
uYSO9FQZnjOG9MGYi21pFcXrCImoXNQDiiNaS8NnnwTtdSamdjONpbYq8GDDMZqYeCEenj66zu1p
vqIkCC07YEgm1IYnGWJuW5dnN0yGba8b4SuyKsSsRueu7DIs4Fx5aPBTdbZTGi4LmAWo9nFs7xxS
D55R2rLpuC5cT2gquLvscqZmJbNrAgxsx1/8zC3fNJ/xU05Yo3yOMZGFsaHR7tLhFseDYvbkZF4c
rSxarava9PJ72GiaXMQ2Ynhk6c4GVk/LkmuVAoe/qa0LhEdXbbyZQx2ahk+E2pYIfhyExCIuNwAO
PB5uVKIaJNGFFcxnIxn8Hkn9R0vTcT2KVn/nGTZXkxiwRiMefAAA0q1Gx2M8N2L4gHTgagc9YiK/
wK2RHjKwrKeawwdhYilZYkZWbrrAxb8kLGOfh+5T1ut3UHXK73MXxjAfYNiRZFVeZ4l5pVPtdI5B
rlHUefbZ8+DdRjLzLh2WzYPpAC3gV4Y/bkvhWw5A+toNOcwEDrnGvsYcjXhN856cuW0fHRAwuIDb
+AcLS3ZE/TQ+DfoUJ8sYh9faQL/yRkYzpusiSrcRwV/3WRuHR2MOqzM5YZBlEoWsIuzaY8wgblFq
uEZR9QQnZSJLVbBt94PtxvucA9s3BvECvTqKjQ1nHpKEq97SVm5OXFfVOz1q0C7CQdSEMCIsOoOj
NuV3JfIVCFnl0JyJb3Bop8z1tEVcDSQxa+3PwajIGp+TIj7DlFDnyk0mRuDaYJo7cA46hz6qyW1a
05Rl0IqwtErcYgtoJPnWNHn9WpFOZ6yEzuBgUVaz7i05nCdPnSGBLWAaX1k5ZJmFk+cUNi42HciF
fXTUbFgBhgSA2Ac1KbnCUJSBUf3ANpmsazFnaHzyirDryZ2eNaMonlDhgUDLXImLeQ4oDov2mDrj
GVuNw83fp8DDeAuoU1xVfPGflk1iQsbREuUbnDsP/85AbeXKiwbIeonSj1NIYKaWX8FXeAKMT8NU
1znf8dfVj0wFKGJnNAtGT3zxQuPAA+9FI3EhCpLXQmoFCRaGbHu/LKwhvogoajcZQg/SuucJXG9p
NawM4YQ4GrOrr5D3U1ThdWdTnzajY+fbVGi6eM6DoPnqzQTlq0nnsLgzrZxYEwoDOey9KbZBAQeG
My0ztLTDkpO0pp105MnunmF8hmNSypcuH/Otml1xyWaBWV2LKzxiOFRdJDzAs3japSJMoMwHIgwG
gr+qee5GHE2xF63zYlTIz3sOt87sqhWsx8m8p70X6L6NEnqF8S6ZF3JAUTNWsjykwmue4l6SOK8x
Xx+qG6lBc8evWXkzKE/TGu5mrcy/S0P160ZlbJETOyy+7KEX97mTz99MgkG+ImRoB32W2gdvvXrt
ggEEtxvg+mMrZBnguyGceepytz4y3p6OTWmjCXK7OVv3stfv6YaFrOc9cStL1PrxsgpKdYp7Tz+W
ukzeKC0pF52hcr8nSY0knwyF4ltluF66csWwT9oIxc1AuCzwvMFWr03llcsM/dELIyWeqz6LKfTi
8lr0oCKCG6lnja/+e2bSgBqaiLAhi+EJ/UxEPfDC0wE5+kwLDKG/Fl7iyckeR9IS1kJX4V6h/zil
MtVofCCpx7PfF816KuZ2B2TNXCktrtsVVvj6m0jsfpuwfT2HGH1bVvjITngnRnNXz0n6XnJcWg1D
Sc6I0sN95XbGg2oSjZhBpN4ujlSs8j4MZHxl4zgFGDCciF1y7OdDYhgUBlTD301ZuTu6q+EeKP1n
Y/SfdaM96ZQAN8m3sYOHPC7dUlhra2AJLWXRPdcqDO9cjziExArjz97JQ9IQQdEf6WyxM+QcrG8B
9A5ZApZBG7SOUdOOSvtsvIHEa2ZrX40ph+bH7SVwdOLo8y5jZEVyZZsg6qGcxpT2NuNMiJ9iAg9m
QEa0At4cjH1K8PkZHg+E13RGjqPhykRgNLanMXBgcLUSBV+5BsE3B8u4HXHveKno9j36ZBRhVgtc
dnrV+S14Z4DuLClM0o3dTqjmWCJG4Knzm9vRhws3HspBh9yBE4nq4qXhrd+5bMMY1Ip2x4yrXNFd
Es/sTkiLowoJTzDJo4YVAffxTROXpfBQyOuKkB7uUW/1ftBW6mPKRtpteadtAkWtq40JYLdqaAPM
MCQ1os7mOdAMuWs40uJIYrMi8HNkSwagPm7setY20DZBGNV2iRSiM9WxMbVijd3J2ZWOGSKtjULj
qtza/kEr45aDmbjgPrQELIPRXPKgjh6MGz/Lg7RNDdiJQxCAyU64Dyd7uunz3HLa8o232G9Mi6Er
rHriP7x92Xsvgyac5wjE51061TCy3ZnUDbJflpK99w6mqDi4fWcvXY4rL71hJ/ucoBdSrEq1Msce
DEhPBpSFCuowDm5q0UvQphUxh0zrCuqrszNRFVv90O9rx4t/hPXMBgyi1ydmZjylcVg85UShPIZh
N19guzjPzOtRtJAIQyKN1SG6d0O99DM7MTClFK377GpQ3YXKzGs7Fcj64N7jbmvVzpibBku1cH2C
2hK/qdK+8K2CW8WzxjzeDJwlN2zTCVnpjj7gAyJEbelFVshxa+rfWEYJ6rRhvHlrrxw42gdz3O6Y
QrvYAptK5esmdroLNnl9C30jKFlNXWK0u9GMcQ3IQTvH2ZQcq7IM7lBttpuoBGM1DNK+H62iIqrF
KLCFzslS9g01EPqeZR0k6gH950OD2P/JGCEE1eZbXNrvBDLIhSztEeaE3VcrO5pztKEoyIBJHOwu
kNswjPSLKqXwUWC7d/k0ICxt0sci8swF1JHoqzJM4+rUlgX0uQx2MUeQlVb1V9hfKYu0PVyGfNC3
gLfS48hOWnQ5yUZh0l0IAA+vpKnnm6at7bWZ02WmoSsOA4EAG2mrdt01eLkZhryCi9H3epiRzhBA
p89qZ9NZ3EaEa3y1VCsfEx57SALENEyElo34nRY9k68Uz88ORB9OTHJiNk7U0BsKHDR+ALtCRExz
9Nh23XpmHiuqgu+YWddKn5ofFvmZ+3AYxMnt2hrnBAw6tdBYSQv6Txukpx38JV2rUBqDLzHlqYLf
hNAwVb1fS2AuyeQQn9syWlYrvSJXA/fCrLSVlxRo9LXuNffkB46KcNNpwKenAsc54jj73Om1Xzb2
vTm3Ww056oIEcByaVXSi91syO8g32ETPpSb17xHJ7CxNN6HygBrVwwSxpwH2lHoWbQXd8Rk8+GYc
0+zrO7UTdYz7MrGoJcbsQ8AL81NRv81zeG+gDg/RT5eYxDCp4KdQrsl2oIHyxO4uZxnvMNA2EEi8
Kicxo2CSxdHD2UsN/xm6QmKCCT9dlALKtmsg4g1u5YSECftWIOXe531qLQnWoGjvxjXk/WapIzYD
LRZjkIb8cLWrsADcEpng7wfNRKs1JS2JqpOy6LWUuLy0OMVvmBvyte7heb6TdQo8yq3hNC0JOXsU
GE2otXq6bemEfZDnVvnU0qvZhfu9ZkBBK4NUhnOgWcEVOA2+n84rvY3jmjviJyF+VeZdJU3iY4p+
GKYtCJz4nbAJdkUn4ZaqY6NMHrV4Thg5GiLy3kOcTHJhSOGguiV6YW/H1Cd+CMxnePW8JD17oSMF
HDiX9HkiN24LXIxsVN4cjOk4+kMFDHSyiXzqQvZDW2eEwHrq2dUCNN0lIXHp2rUWqy3rBuCCZKan
iRdcogOJbedVFVn3PpWm/ADYgA/P8joihD3OzQ11nW+WY7ae59bEwzoZ7TZBPe0TukA3Ais01WIA
ae/savULjWLCbvCb3giIzp1jS3r4moP5q5WsVtkRdOFI/VudRIKLJ1fvEFyxUtnDSbK/hyXcaS2E
+4HG3jKGCeMPZl9E2kZz4I6LXomtqaiIq8XQhDpkLeOjlmN3ixVRW7JUYqZLUODzxNsAr32DVXmR
1fiC5WRsseBzzAArUu1GHHChC4kboh1WdUGEkg0s1c9jmo2hNG8iG6O7sHcX7JApXbIkU/mKMoBK
tcXdSH4GSTGfcw8zsbZE43Ps2RXEzC9aBwuWa6EjL9CxkK7kNcPVK4v2Keyg6YyxoEkNJ/JIBueD
nqWHm9N9BXnNWEIOpEnRlEHwQr0AbwBVGkxIzHi7vhTtG6FdDS51aPH7uW3Igu5lmnDwhSkLwoRN
N0cqz6jCd+kXTEnobVHtdliQKPNYf/LyqBMZc60Gz+CgRf801jWGIzJ5bULN2Ew9Ky691fEQl7Je
wjOeXyaHqi33GWXR2bC5WU52nb8MgyHO8DeCcN20YnqDp5luO07HBwvM3ctUzaQVVYz1OBLNZAgm
k6cfRiK+AaM7fAzowTRihpowOAlaQz+oTalC5iQ4xn1I6GnL58cnqUWOsQqIOXqihIvJtqg3MJF8
3AT63vI05gVNnz6RK7qtOwXzOh+e2wbvRVOGTwyQN4qghW3GLIkcnpqo04lMoCVmOXrciXYSISNF
1pX4qS0d7ImuojIBY0T7ytbrr2KOj1i0cWMjnydoEKREhTFOwaUDBNagrMHTaqpwjSfzpkdH/WIv
LRl/NzuS2BAxqmGbU2++IFCll2pb1U4mZvUB20NH92RyQwxEliKTr7z+mknDHP3KaNMtFlyqBGxt
94QxAHoAKFZvOppznq9bN0f84FSLvrBhEVfpsXVAhTe9iu+YlDBiAAi7HWsPMk6td4Qf4/SaL/MY
F1uEZkOzNCPX3KJXzjL0Fdg2zSlJXoh4iX/MRg0eGDHN1VaEqnEOVAAOZoslC330A+4Yb9Hjclix
Tmh7wgQVJVJVWrva7K3Ct3FCHgfOLXdYHkLCyBplMT2LRjxoc1bycLe6aS2Hlo/Y18zuOW2gRLnu
7K5iu683A8mNHOOguTnwCgjZkhvZcGKCfdeaByq2chHVTBH7ZVXN50J9NEmsfZbpqPm102n36e2E
O8xmfEGfVx7RimN2y7PkIZlnwguNRDzcvKPPVmQ6K9fTJCn3c0F9J9sFkAPTlykxE1ZCwgyzu/Qe
XRPxPU7PWTmohj0rLKGCnN3WHavyxhY4SeHB3yZhVWB8y2gv3AVMfZYqxc9RxMK+dGS0HuAIyh+E
CQMipIvHZpEmxK52cEAW0aBheIiAYNAzEksd8vZCpVr7UseRvBrcj+dIGdxKoSA+1JrLi0SatSiZ
O/nsNLhnWFRpSPWEbZGldYPwTfHSTWV+jYk233SN3X6rAta2Ev8TMLACJdti0hPeca7B8fCzAn+N
Cp0W418Z/cDKZb7K3o1Pk9lUS8aHmm8iTISzJqTvEoPrmzqRPDLNSp+giIlMIpctJuTpoCFcVu67
NmivsG4+w94RB5IeH7ih6M7TPfLzrE0eIs3IO7IA6lulYEW4Db2ZUfVGUeV2m5LFkhjHuum33NYV
x8Vb7M+QuxEe+Dh8ciq9mW4bT68v8W1OI+5gx0EiMHv3RW/g/XPy+oeJiV/QYw8c0Z5wsUw7kAXk
0qcapup2wJq0iADDnOHYqCt3V/wtLZTxAjYlW9pOE65CTYbroAzmk12UmU8ePfVkMPWMmTNDf0Fl
2T6lcMGXBL5hpk9mA352bVY+MrHw04OvslSBnq48e56u+GbVfQETbc3ukK1sp27uilFX1J96bzJu
Mf6oijuffMRqrwGbRGifZXcSjw1mBw8TJXuG8OfMndaNRRohjRWSBaJUe0/D0H7WCfHbsh14p1ii
NOGrWAJWW2Xm2H1oXmXuiOIios8xBzvzIyO+h/gzPnAvZhyerfq1tPvkh/BIRapxt1wdx+yHxURl
o5YTg2K0ClhcigVKRv4EltE/TmGAr4gxBvguvW+bK46r5milZSWPuluQWzIRDko3euhWkqpqi0Gf
Wfmc6g+TiHCSa3ZugFyLspWyW9QohqJ/ByL8EVe+eYxUyZHDcGjPZObAk8xDR2oa40p3zp4i4pVl
BR2deWd50ErtySm0T4GI8zFXWnUpOytYa+UY386vNzZrHD/rWt2fgBU6j0BC+4s29eUySc4DTdW1
aSXdSwqO/EEaYnzBo9uuEiQne1EC+O+coHthQXmx00wcJu12Ehjy9ChSy9wXWaNvMjznD2Ebp34g
+/Sj7wOSxwZT9+u8jylKdNYFpFRbqsAYr4QygXIh9JC7zGn4tmp3fs3DClsWIYDmD/BHnLwapWuL
jBPxPrn5VciTowNrFfmyAdXrh2Cl/Mq6iSCKzmVRCtUuVyAsOQBuauF0dwrPN8Qww3iRXgbLy+Wq
cF7EuXGmrRrvyUIQa7qzCb/VGbHl6OkuJDHgQTlVs8o90EJaVLh7suiQvxZfA50Ze2S3yDDnbTgw
Q3qahEUERRLpftAkxbaCnEovJXx1o+gDPdKnS18VMr2zjgNjDRgw9qvGTjaqKj/JcwDjiQ2viGsc
JxANVDpZyyjv78M6vB+cEgwOC844O8sRlCbk/UlnQhyteFj9zrAIp3CMXdarK/a1Ldog34FbRJ4f
QG05AACVzH9aArYZWbkdjZ2cmMXQ1LBDVneZsLZdMt1bFX3uiZSiC00ta9sAkFhbbYjyWM0xZWPX
JW+OmmryO8Lk4DpxejWZdD3KgtqwnGOa3nlpbP7XXAJZrRnSr5y0Dd+h7FsHil19PbthStRL3Dz9
oY37/9huzO2O3s/Fc2wZHK456yCT/O8dIMv3D1K43ouPvx3fw/f6b9t3xqTx30jn+tvyPX8v/vgr
HN9/soj81Uv8l11E/B2zs2nh65BSd7iMf9pFHP3v9FAlmkDhCB0tPIrYf9pF9Ju12TAJsNK5bJtc
rn+5lPW/6xYHOuwd1h+/0v2f2EUM8ReyS5oGOmpvDB2sl7/IcoF0sWexVK+C4ambyoP3aKyxxAoc
tcjaIVlgC1jrzUU8AVtiYZ6Tp6aC95V/4yFYxvRnXaKe2SbevKBfAmVHXbPotLWDsLGHmxM0+S5y
v98EbiBgSWmNv3XDG6jOlTbVNseWK42RxWBOJxHVa6HdKferHn3A1PZjbx7Dj6jgMCnvpxa5/nAo
UZwE9hfKeSLtTDiJC6yMnH2ZH+KKOfZ5sZwGMveiaZPbuJpZWPzRQimkbbCs1OvkpmphdzqO0Vvh
gYkrhu+6Vzw1rX6GOk5QIQaHBRIqeKdOQv/sR5udbERwtLlTMFtJg9xnIBIJsBIwNMd8MJLkGmbz
TogavcIt1z6/S3V2Qzu/FyNcdnSap6aDy1iFgOQ0bUW25ENm0KhVdFc1AW4As6tfVNar/n/IO7Pd
yJEty/5KoZ6bAY5mJNBVQLnTB8ndNYemF0IKSZxn4/j1vRiZdW+EMisCBdRDNxr3Ka9C8oGkmZ1z
9l4bihqXCS5nuCnpmUIL2tptup3sad0oyksBhyJtodioKyWsC0T631IprsaS9zpMJK1XhnlPEsvX
UpvZHrxNaNvwPkCIrSLBmEn0/NUwiq+w6FDKe/SVbTe+qNFiJePvLDDG5xS25bnTpc7Z35B4psSn
eyvtEcXFJTrbcc6/krKEL9hur8be2eM73DgmmQSZFJxSgP9Vl04+7hzDPijkLP6ko3DIW5bnIPBA
3mb7VCMhoINemaTkLgXWldWX23F0bi2s26skaf3aig91cQDOs2uqgtHS1iDYqZiqFZks104WIesd
No3hXSguYTXFH3bj3Djpk8bXvBDFYnb/MEm3oRGtGxRj9WD5ZdIeXU/6mOxRw2pMqPSrBklpb9lX
E3llwiYQeOpW3pjvCBK/S3CrckvuZpz+xrNAlpLM3Xkt5gud5ggtOlz6UpJf43FXplOxrfr46JIf
UWc7sH9sLu5rrqZ9lul7QvRCnqUW13g3H+dRbVyS4acK1m7RrTBT0nzV43bZwc5ZLh6g9mKqvzOb
5tQEbDrGcFeMz3PikKpiTsup2pBPnNk7+urZIz3GDSXATiTcIgOJ48ZyELCaNx0d06pHKBlOGCJc
IuB9TzF8YOi2qsT8/MPq+jfOrr9YkZa7xJKepbuuqet/0cr/c4cTZfpOpvpDwNcXNMZzTY763Dfn
hmxu6iC9mLv+MmwboDnjRcwJzMCOjoJLHlPHS/ykrc6a2buMTLoYsbppXQ+poUqvkqj/qNBJ/Ppt
Y5P6OzX3wotwWP0N3f3sgavIcu+NJADcyBQsMS0C2HnDTrkeme2tmoxaL4vcnWJdrEKx13IWqdro
Xky5HasC+nCGFkub6d7WAxoxKblnSSsjcG4pUMwVMcYX+IhAS/c7AJhXcdLdVprxdbYgPTXmW+iM
t7lN+hSYMYRXDXTHGJNtI1S5GV2XpbE3P5iqdytk/drRygeM/3NFq6oabqK+vxpg7SLrArslilME
i34rhPeM0d5YWWl/J4zssifFbdU51QfjlwhpaXU3KO3Do9hYu7H4EFp2y8HrEV/9riFDZusYH1UW
76KRZiCywDisUasRKet62Ayce7orO8sdPDRor0MEnQuVPwPdTWusQmYSnLPWceo8FBWZMHG0txlh
54466Vp81Sp2j0o3/cT19kzUU7qQ3UPSqK+1brKO249zWn8NY+xJJurTHtnSrKm9xfmtRgfn1MUt
8Ja9Tm+yUADi9Oo2wyXf0Y4TSGkQR4Dfc69g/52VkLUGiK1m5t7mhomyLBd+p3sbzyBxJXS2zB22
XPqjbmSbgYKGIcVDNtZ0Y7uNIm3VmU56eVQBrIslL8jLgMQiEGofk/k2ENY6jV0/6g5AwolEDB6a
5ew6LafYhONsXeQ7N5030QDtqrEUwsRoPSpx1ek2uQTJE1M/etvLudgkvAfKHGflREj1kOTyugwt
iD91zaRkQDSARD4Gh1dnNioF8yN287NA8x5sxmWBVr65pDBW3UyobYkxnIMmVu/yStXp3pydbUIJ
mw9kaYXJwTanwYcKRba6M62J3+b3lY/cf9smgw+FG2pr+khzdm+N4z5nxLZCg4QfUOVfrah4DNEy
jo11nynwYY54JFnubsw7hXSnO6sD+TGb1gGhFWDDtiPnkMIVwBSzOgUbtwnhPTn2fEy/N6DLS4wD
zU42+ovdEltMR/imRAyX1hFFZKce9Qy+NMFI5Tr2pqvGBlI9k8GyTDwstI1aegah+l5IoKnKGNdm
lNwZrXjszI7xxPhKWpW30orMN1Doa8Poj7p+lYvQZ2R2nyss+cxKaWPfiE47henTzNCUcefaC6KL
tkeKks+bibvdTiqCjs3VxDc2jt7tOFkPZh2Tas4Q16iZMb32qfvhzfrzGI7UEOPW6LxviQ0XIqep
ETrOTeC9I8aigN3Y2kXjXlQG0KHLoiOTJL5qoGjgElyBhOsnc6US9yvmAHLyyDaBLlwIa9WTMmUm
7yl9xmIg5rB9lN4dmDhQezZg6Q8kU75hPnXhLRDaHeEIK9e+BtSwCtuBctfkdtFOiX7DkK+CbnbU
AwatE6NO9qgYHWYjtwheN2mcrryEwBVxCTXOQ8OVM2xW3WLi4blOzUfXu8oZKQNJ0UNg4qyVtI+W
DM/Y8UOSKZhe5t0H9Mc1At5XEiKyhV3zqlX015pwn8bGWz8kIJM9klbT0vMnSBIrxxt8VL8r5ZXu
GWpGkM+9R0ZCmN+DVg43oznZb1qDf8bVEDpC6tkO5XxwmuKOPBsSSBLjzku1pxKfdJnOdzQiruZA
yXXPyH9tFZZ9FioSo4rMLTZSFJ0P/PgbSOydO8u9wmmB7xieictxKiTHRbPBgDR6tRlo8OXJ8KII
1unwK9CtJ5AZTvws5CsJ6+feEL2TS3vnIfpZY4vZJ8kU+mXL0cQLiAoPJGRgBBB+0qu7DOlUZcBx
nu0jEs4PWqzrxABzKs4hJSP8a07pULH62idsBxfTpHauVZu+HVjhtrEn0nUGR/OH2ot95RD219JL
38Almlb/6592qMrxrlLK0BUnsDu0qY/NTFcmh9/H3RAgEDLO+W7iTeBNC48kQLwtgSRI7C4rHUgJ
/WBx+z9Vji4V7f9lYCv8OB6nhP+6trx8i9vo5cfK8c9f+aNWdOUXaj3KOxfPp+W5NrbCP9ACrvHF
1vmfY6CVxnqzJEn/Z61ofnGwMi3AK4A2OmyBf9SKhvxCvWkIfsfwOMA4/614ZykWO+FP/jUXw+HC
yLIwVeqQrX72zYEWqEHwqnlbZWWNkiZ3soIgNE0/RbLBDi1bcO1YTTZeTu7Qxszy4AjKPNsGbI4H
QMcMXMhGCJA5MepkrsdqbpoMGThkDrLZoSRvTqMRRxIIoRo3HFtcpgbx0JyTZ14/ojnPfKjn0Fot
TvNQq5Dy5r3a9IQB7mvGs5cxKiZFpaV6z3csm2l7npr00Ut6joBc7KYpzky4S4eYdDgo0yjzN0Fn
aacBaVW9Qi+OliH3Ru09oGZDl4fE+zX2sJTr+uCeGGfF52Xn6dEqJ2bw6BLH/dDqS/6doUcwatJK
gnRpYg5Dvml1oQ9qK7lPVPY0EPl7ipv4LoB2D/or7ylbRfNCEkrE7lpHN0GjxNI1zU56nJg7rDbt
RpcxSzWaRqB7mrZi8nemtAY+ZlnMG4+vbmOESUR2JzNRnYSPm6YgswFRN/69MTuY9A7XYZu+mWHl
rDpRxjeB68DmNCo2VNlPz3hBxTFyUAHTMmbPW8cihQmUuJZ1npL2MK9b3ZoZHHZVBG05c9yDRrAD
GS9krAEeB6xDVTAOCdEckXS/GiEFkmDOd+P1WUawQxGb7UpPwvoytcaJ7SU325dSRkN9xiC8O+D1
NpsVtUxwWbr0vBhZ0VFc5U0iq8NQsQXjRK0ie6VJ6JFoFELvqu1DMORCgYsgItouztuxTdYB+EiT
mAmXOIAQCHy8FQACfaQeyUXotSbzPy151vrO3AYtg+oioZPLR+qzmzr03K+Vap2No9zxmLZ5f6lI
feRSsgmByx7dZZIzNP2tu1CwV8Rvmw8dRLL7EuIQOEjavdekrItLYdp9ziAwKPcdIQj73ENOvx66
fnpgRhW+1k6cXLeEMuG2YAvaJPE00ZbkI4FDzIxy40xZE7B3i/gmkp27VzIliyENx+2iPsrWQdqX
+7qS5SkzM7UN+1sTxAGtSZwTWnRfDvUIgXzqLxjS12cGbYynUdbdlcNAae2QTM3xpbhUoJ6saSL5
pRvna8IzrVNSa3xlWgN538gBrGXkJewyRlg81YAedjB80B1MhaY4iDdmM286D2LTmmRkBy+VPrwT
KvykcFsck9oqTuw2I3kDA12OZJb1vmtzdi9k5ecFbqJ25ZpGcJm0LeFOKBOLA9FteCzwGIHSb/RY
XoNNbe9JLQdLNJINfGo9o3kczaVXbTQVDSHplguBnL7x2eCabXeGJ1Ugduwtd3pGTB9bty0SJb91
ivIt84YSoJBRC1EdXe59+sxG3cXGA/a2cTyLEukYoJd7OPCoBVMSvgTNh2NR1kRvOhNJ0UqWqbca
oPLk57HGn1/rpGR/ZeoAHZdYyAfmrLR/ojLGlKunabIQmoEXkCvDCYQlmrmNdLrsIY7HYdd5jeYw
dhX3Xe0NR8NS7YU2kCySNY5De9sUDIjdbNTfpEzkrh2D7NQsdlBifwg/Ugmn8WKaLWjb4/RatIHx
lCFjWMtmoVrwFLHCMkJ24eARxGTCA83QqTLXyuy6fAt7VV7PiPjfE62d9qns5rdmGPtNYer8YSPA
/Lrh3GGPuzG0nPYu1oAwIjMhSpFarnTHG1Rhst/Ith2JrKr5p2dhYhm+KpoAbyz9crEPzDEN/BwV
enYqclmZZ3lndTnNn3joqODD+S7pbJOMk8hWFkoOQaB569qN2C3RNfCSWi89jQ5WhEaG1rYyInpC
Mz315QBS7gj2nte6V3Ips/Aya/Ps2LiEt6KiGAlzYKRNKcsNiFmyOidLlZFvhx4Ec8OYc3Rvhq+Y
mMKjKj1ESjMj9+eu4eOsm5RHAsvLWDm+RId3CDVIz9ta5kw886yCM5OGxQCdGUjcN0ClC3g8nbzX
qGYIico+ptlTyQjW41QzpN8xW7HQbuXTNDE1cmyMLhFJJK2UrblhkiyjA5XhgtHrupBgKhb4+FKW
enMYcuBQZxTu9tlQIUs+ZXZJleUQGGO0Wn4oYfTvh4BgasIrkOsktDcRKUfqRo4dQZ0ZZVKt5hu7
l67FuTvobnW0biQLaK2m+wpsNvPToidu05xT8YLiW8/8tBrFQ9MByV7boko4gKu5jzYdnSwMouhq
ZtZsjuP6NDCQhUf01THUcKs8jst+2U/qVli6Rz8OueKomfYNQTn2g9Z6+YEF2z5vHY06MGlCBIKk
6nmZjTpORNRWpE7htT03FQ8s1tlsfsuzkhZVZ9kT+VAzppaLmC6zts65lJBvAXUzvGwQQO/szLY+
ODhN3bbS8PpeW3iRv5LkS7ARABH3kBrUcbvYKgleGxPWO6kLVZ3XpaeaTZPX6lKTAIOpIkzvocoI
tyMgmdgB9HW1tXc0XODrADbk6Avo0xzx8yZ1COiF34azJEnyy3ZEvrtxaYbQakv1yybRsLHkVodt
pemngjME6G60ZVlHJQ/ovjPnZQhKsgPscqe9bVFFvLiu5aAa6FoZb7owZKHRcxwvUWZCMTMzO7/k
U9fnQaTp7V5UOlHyadS17y0kScvPwwHDTgCcUu7LaZFSNx1RtksGCDrmSI9YsMVsaKQkq3w4SSbG
My4ABRcjRO/+ZrimQ+Rg0ZfnbVRbpK0M9TekzNm+qgk96xgU4ygasaXhCdUcWDAOJW9V1gknh0QP
n5wgbI6OnvQPyFVpL6BZTE69UX51B9Rrq6yNQ2MD+QaFQdPCqsx78trg4bwRlBuwlQXN41yUJQTM
lGuOBrdDnll58SrSlxAThBmsKQkMxEy46bQt0q6+SmJyTckng1a/yqwEkR7Et+4J+k9DbQYvi8GG
Yw6PU5STPZJSJIeQFe3woNlu+JVc8ui9g3bEI90PWbkpu3I21vFccOuNYV77s8JtzqrckRVYt7gz
JJgHzw9M8JY9vtz7HhUn/vGo2dGCQ+hLfxDV1DRv5inacSDdp3pKNQhntNjaE/HJrj4LtUpHVZ7T
FEPkgMpwo7eSJTDO0xaLPRJ/Gynimn2f9QSNgXkekgQGiymrjmUfDnc1qSxrvKi5bxn2+OTVIsvW
baPXr2GT4/uayXP+RubVegj6TZCW81MUiHfiiekSCahObWD2FMeTmLE4kX7JjAdr/Y5YIORxKUEJ
u2mKzGmjqUZ/NGx2o4eoJhiSkb3l0IMX7tkct7hUCP/L6n2oCLlH3Ndhy+m8In0F1D7W65kFAklG
yfhZuJHWIzkGxgA/yVor9gBCeMm/A1gy3AdqRCk1MJvftQmnTEbFJPFIBj01dt5pr7W5O67w82AK
LExvuHPTrKBtjil1R7Zz/sowonk04xQzKpJO7b2xl24GpB3+9ug216xAwDw73UKRlRJifKVXg3fE
BRRqPtRiKuCkaG51A132LmAwX60WE9SziJnRMjunh+5zQJueXHesvjH15+mQCnjlgQePgyHYivLF
E117Rx6jdYQPaNL3MNqvruWm1caqOkyCVigm9llMvtguNW9nmzAhuHvguuaR3r3ZakLYsIyBD7TO
AUroJSFT+C0G+qj6ZJGjlQAKXpm6GTEpyEkL1FoZPjKIFCRLDDhBsi7jAiqUfQoZv2a8eG7bnRti
CE+DmUOCn9zlCLaw79dZPpsNhwMLRDFnQiRV3tQepwCJ/qruJ+Zzsxno3i4q7PydRSJ5SYZBnoix
B80+jXWx4TtDpo64BxmTItDZRxMWBL4RlPf0NvsDDysa2ZjJXF9ZxjlpNbBdkTmAhO2GDasqrXri
jwysZ0TprJDaWxFRQlP4FUGN9xZ6FY92E4n0ldl9cmzoVBANE7sj/tm2MV6tLsYXrEfhGta5ua0m
6sbBLiqa6eOhgfBC2zJNFml+hjZ0Lq5KKRbauobgyGvxDa6qMjkbGqCspBzUiM91xvBu5zzHKVkh
Y7ZgUiqsm6cJKstrZYIxwL8f3nbAhx/NINdvYzLlMRKyh1z0VRUMO9MoWrUW0iSKgwdLN7dKd2g4
xk1zQNrnbEYa8i6Nkz30pQlB5+2Eb4yZJp/72pOGuy7tCjVgJz0JE7fAXYUJJ7tvIyvajzOHCzzB
2UzrumijN2Eh+oHZ4m5qdEq7Ag9aiGixiA6h8rorQazXkvStEbPYZ7esF/UxJElpEbBjA+/TCI3I
wIYLO7W/MwcNkC4UHsqvJ5mw2o4L5xjkxR9qA1oz4Xv5N8OfzyQe4QHaJvcRJrcOSnBpa/wI/XEt
vlirUuT5NkZyXQ2zurCRlvgzk6rzeM7kziigTf/Qc/mbF13Gjj+1MTyJJoZWH9w4aRqfSUMmEuk5
kOm4gw+fHTllqKswACxs6Ul0V81Nt6UkE2ftAOfo16/8GesFW0unbWKgiLPJf7I/jYwqxxlklrfz
DpSKxVFH0pUfS6EdiLNLwbh6QfH2P9U/+7F99u+nmPiHtvxQn/HxP/2r/4dQn4aE+/7DxfFf1Mu/
vBcKy/CCyf+3fz2+pLTi3ob39+rHftyfv/cP1CeQeH2BXFr0vRzvH/04aX7RdRgquk1L7M9O3Z/9
OMP4InXacR7X2MI4YPM2/iTMu19MZFEmP/EWScgi6/j3//3TswKg/6f//hcMJ1dlXKj23/7V+rkd
tzw4rAJSshUJkwpzaT3++PAAww6ixiKPXAz5uZe3AGzd7BjmzTNZfFDqpO6ngmMDNr1dQGALMnL9
nt1fP5Zt/wjf5KmrmgsWecycUd/tVa2ukOHJNZ8i9stOw4pYtTZ+kexRuUtekJc+ElgCLnw6B3Vq
wjniFDOQGW0Ov8PF/fyofP9wtJiQx9BrZK2zP304gpYihR/b9uGt+waxd2nwQQbOFWSv9Q/X/W+W
g8+vZHMlHfRBHAAR6cBs+/lrDLXGkH2e2z6YHgaW5OgVGnITuupV+JuVx/oMphO2gG9GESvQIdni
M5huEvGQa3hQ/UL032RQyzXu8wecXA2NJuMsQPiB2QschV6Lypc9dDZdsEjIsI52gTEgUe6qnR3L
J/7VXVHkJ80xwRc7zWOoDYdSyBczQiheCd8R5Wsz5rCpSK5bjQAoJxtAK4mNiB0s/ZyKpD2z2gj+
W092jq3Hgx8F04vo56e6jp8tat1VlurOb77uv6hC+PAumFzHhOcqHFbDn7/vADNDP1maB1na3UVQ
j4ycEyLE8m1VBjuvfKxy8aK5yIEjSkeEjXQ987dMi36zGH9/oZ/2AZuzIIA0FCq26brGpzcy0fQJ
89CJNpliIEV47cSBQD66YdsQ1pl9y7oURvm0irPs0HTzXelM1wzJ5Q7FEspCz7y2uuY2GWN/dOqd
HcqXOQmf88nYAtP6DavSXLaGH9/sIp9hEbJNFDVgHr6nTfyAxysSBvqpGqONrs/J2qFkkPpwRz/4
ttbEqVLxXdvRJfAELC2xi2v9XotGwm9saxWxg+K39XuD4AFlLGpfdNBC3A1VY69+/TD95eoumzjx
9NA3eJQwFX3a0R2GaiKOpYaKMrut3KTeDjm+dYDol4PTHdqAUT9zMaw3Qtn4h+bnvp5vp5zERsQu
v34zn08Xn97LZ4WGLji+ZDIL/AAmwFhRz3gG/WHaTK65a3/7ct/XpE/XyGN+wwCHKyUR1f18Z0sr
wCuZSc+3gCthliKzwVVovvKBu8K+NcLM3BJ/Vvp9qREqlsv4SkTTma1Hz3KyLErnoN2EtMpwjxaP
iyIpZKJCPt/dTILowYxQlXWBNwKAia8pYzqaNzR9rPnoqtbeIywemRJicWl6hs5mibk67A6QMpO1
Vjj5xrbrI/QU5OdUMCvk8O1eueSek12ANR5r6MpsQmujrPnq1xfi5yX2u/aL7UAXgr0KKdgiZ/xx
p5osPWtLxYWYERrOdkik4sWYuH6a/0aV8zePCScsi00RSRv7r/Np23BABZjEWhBHlchD3KfvhcPx
FvsN9m3P6nwsAA/JONza+KhVN91Yk/kUuEgW+zZ4bgKXsIL2LZRoRPR0j0L8TilGUmW2+/UXYv/1
1vz5fXKy+PEbgQonQ7OqGfPO4jiR39CCuF/rSf4YsEGvUByT2I40DIVjhGdoLDCoEZOJbeMxnMn0
LIdZu2C8oW3GkcaUBfPzRPWS+ygwUgzPbrALa2Gfz6JJ7zsq7zV03ou+HHr8cR1ZkIo4ec2sbG41
Xljo/eRH84QqpIYypg1kwdAryqmfFKwxu3wYVfISROhyiJ2bnienuzdnV1AEoa4C900eFC0fVHR1
eEB3MW/TKLv/9Xf215uI0w5kYo5WsDvZQX7+ylLlcdywgGeHTnChypRFsF/HlsR+bm5//VLG370W
Zw5Jkw3uivOd7v3Dajsmet21FiIDorqtcwhCD+TzWTDApvA+Gmg+Z3WN5mg6tYQkyHhYl1YL29lj
gx0UecEz0m8uitNcGd7v4LafFbsSuIDl8NRSO/E0fT72ZUlv5I5LVx300PkUbqWjHeb6N4WZ8fmk
wqu4lGSmzhgYjrlc3sUP30BjIrUh5iTcJAYS/1GO+wliqR84ajfHUelPbXczhFX1gjHsazJM105r
bRK9tNfSxiVbz5hw6yZGNNGOeFqd6JhpTGyaQNq/OVD83TsVrs2myG1hGt6nxUUlFuNlh6wUV5Ss
KnG+7RlGOhFiH2Br2UpEcgsH5OCa6jf7y+dCUoL3NYUrhHTYlZ3Piw20TDWXaPr9vJL3TLBZYpg3
A9+wCvOmn7p1jF/wN3fm370mJST0P48d1nI+XRePtpwtETz6RGjscpNeJ8Kc8byyJZPOmKN93n2L
0v4rkeEvEJdfzBlxG0IjxWB7HWlleeGOxUcirTOjxH+d3P36/X0vYX/aA2kNc77jgCslVPbvHP8f
7ptRq41SN5XGEKfz46TZBU6wDejEkh6FWbxJ5+xgcxMNo/mRONF5N4vntmzGrRLBU1NDSE+EfWMO
/UcS0Q0bdQacOA21NL4aREqwzcBWVcYo28pvgv12I7Gl9qHmnZX8mCHJcJ6kcKTQQdGa6uotOPP3
Kdfvusl+IovVB9C17Zt0a1Pzb3oLXfavvwH5c1nGZkcvkbKF9gJ9DcP7fL4t4lhRbUTSb3t5Z+bO
9eyWe3rpkH0qpnPZMmlonehUjWG2NgL+H5Akq4akqY0K2xvVDDc2PeK1rpkuakgbLmbDBi91Ruf6
o6zRoeXYfnF3N8ew/W5zZ/GuB4Q+gzBAFaVHGdoD2vzgBSwnSMPQve0t78kw45NBCFCamWdNwm4A
K8kfdEGwOrO/KOkrxBX1RdPFfs8bNfT8MsvG45gkxzRLnRXcnJdeKV+z4FskxbBTSpxAuO5o6c+b
0Uvlormbt3bBpGu0mKJqusEkCuO+goYwkTFA1la7tkahrfjROVbWb0MTXpbZo5y9Tazef3MpWKN+
vhctjss8mpR2ugWH4+c1rCPgqmAuyXkMS9O8d+R+mZxbKwOIwPdX+v/YNUOiHmeW/1rK9B9t+5L/
2Dn54xf+aJx44guOEhOlkkUCHq0Yvvk/hUzel+8LtaQ+oOr6/pP/FDLJL2iYAC5IjolLv4VN+c/G
iWl/oW3i0K/jBEBRQan2qVHyq8bJH0Klf94YYOiXbqNDvY/Dxua1Pi2iZSQHPVpgkEE0I6LXRy0y
Nh1uCliVZUdQklvO2ZUbByhvafS4xboPJ0WUvEqqfB0p2TPGwe3DRg/nbguGEhW3lZPbsR+1LkDh
Odna3gVxsCHyxX4Ha0C7T1sSpWyHzjywG3Km7CVxCgDvJlkyqOy4MK+9dsmlMkmoYmkvjqPpxWcY
2cdTZ9q37pJoxTc47XQ0J37J2eyUtHLbEoCV2CRhOcI6h1S2lktGFmF4pGVNTMvNJUFrbtxyK6cU
Lm9KvpbldNO6JHIrwJx/gdIo3Nkzlpgll2tC90xCSS/WM1TRLXyVN9JOnfVAoFexJHulS8YXYhmU
4WMwneGIVtfzkgWWxqRXMILC/DsBeSqIDJNLdhgmEaw3iK38weM1UY6/B700LlQ9vs0d6WP6yNHT
TjjS1vTdk/nVg5SosVYpgss44B6IsD/aBJqpqTvPCTiLCcwDsknomV26NDSIQcuIQ2u/56KJCaIL
fgdzsO5CL+pXi45p4yx5ajDxSkT4RKwRRodWWz7ixjkmDSlsrvSHdmjWcTfWGy8kqc1dMtvwtTcr
kxi3fMlzm2J7N2rQiRkVXqVNBVhtXvLf7DA392AzX3EffSca6dezJUx8oYxxs8bunvPWzBFMin5J
8wOdGCUjfwEV1a4wBvtb03QkB3a1e0lcnzywRk4fjafQntsx21nZQpPEhT4cmyi91I1qMa+QGYU0
ivVs4ROCDATDG2fqrUqhtZFwemPU3jly6HwNxhxjwKw11iWJ2sF+ytyrtKRQHcR840bldSp1KIeD
vJrzeDhjQhAf4loRz6ingXmFJrz2Y2f6ljnJuHW17JnmUX9qpTjTzGzWce636Y2UnQPNs04Oo472
pBbu1kqqYVOMFsNlu5gOKpWXhmY7N+xzrXHEtg4OXI8KA7X6pKGmye00B8qbE9CNxHwItQ0kRTzg
Sc+HXZBmPHeJ6IjfFV2cZxt7ZvKyS+NE8IG1xLxpXNdjBG3hHKIBAXHSz8Ss6+uur1HTViAYQ3xd
zHGoRKN4GeGWgfSDLMBMHCaGTcNEK9C5FSGph0cEbrnad4ZXqXVkIgpbJakdVw8awkOYNVrhqpka
1oWIiurPXZs9/uQLJyLnfu+ipp8OASaPYeuOSyRbWDQNfgIT+txZCmu//KjSmG0vTBJvsdhFGVQW
U0sEKcJBYeNx8qB5Tx7s4nXY6065iyyByptqHfeUMvU4gkCque1bicIxhyXpQrE2iO8gA7D2nGfU
ZtNDMfDEeGiFrpqwcScfhwFMXygfUYk4Z8j0ldlrFJTkPzOcdcosRPCSZnxZMtVWDWmhHW/ja5ro
PCEKebgZQ1Zg3pfftkmo3ocASoMfRwxL1ikstPRKlEmebGc8be6GRLg2vIB0ydW3UfHtwn401cYM
cFTT2XRn5ochMfU7DAOYbkXdqOxb3WhdvPVkWqcAqN0AjxqtqxcKVWy+YxfdeAWBb06GBZA1JfUV
qG0+aIVa7mwKRnBINcVtVs7nQjPN51TE0Yl8UvUyAKWgdIvG+tSVwMJXkTsnZ/lIKLLraGsnwqmi
i/YuUfIuUuOjWySj3xY1w15nqLczNe21ldBF6+JQbMOiULe2lOW271v3KTTxK60sZc/PBmlOA4Sq
hZJR3Ada41d4kTRg+Mgae3UQ/N1mJRR9aejv49DnRwUKztp5qBfeh554grUIBwQyGcPIy6nJjA3d
vKDbhQM8J7+UCJc2ZlFkw4FV+75X9ii3IqrVLRaQzLoJsroPthn1C0EKrTi0kAqT1dQofbxxMpJd
90jA0KZCiIluM2lEb5rIDAfPTd5GvtvY8V2DHKSHDI7q4XwGIDMTjxy32D9CnBVximBsGF/HKAGp
Rpwysk03FODIwmreQsNN1s3YgvVQU3xpawUwGVwhJ9fqrifAlmcBHMBrRNCYR1CHfNVmXR41Lxuf
2tGpritNZyCLPs+7w90xXU9Bk2dXvVeWrwUF0b4DmUerPJf4Rjs3fxFI1a5RFhGyaSrvclR5jyHA
SNzX0HS7hwwqRu03NL4pP6wuwEuvLPfDzeb6WE3d8EE6w0Ct5gFquWs1evKtxJu6Ni1BxhMSrCTD
N0Mk0zrRIv0i7XtxU5aGeMhBbOziPsbP5aHnyI603miqFNChycNt7rD6VeG6TYfi3USp+NFLbXgc
arMDXWlHni+cvCmxlCp4QTHUoUutjK1TmCHqOsEUt+9w6NX5sahGF3CLUdpiE8Zazxhbj9xHidPH
XSdE7u7wHJYknxqp/VZqTQ9k13Tv9LLIjkWsYsCvKpCICg3neaYXeQToyCIp8yl8FL2mX5ujgcw/
g+d3KicGzq4pEe4NHhHpoWMcotBUZ71tpj3MX7iuTOx1jTWipIhyG+bd+KympWnkze3XMTK0i6AA
1YtopoVfIfDGNqdci8GTzGFeDKySNca3BtctKgxaTpuIaJLzVo3ocmfLap3rJumzx//D3pntuI6c
2fqJWGAE51vNUiqV87RviNwT5zE4BPn0/VF2+VRtu8swcPqiDw7gAgxUZSolkYyI9a/1rUIhw+0q
vE/DlrxEyPEW0YzatmW0ffTDvguPRiKN9oBxnvWviXy3fBgcaUx3jhvG8sHAdUSBKy61YUf5FC4o
ZXlTvalj3jq2szzKQJVkI84tX2TjPmoDJzonpeEyCCjH4UFIqAonukwc84yLdS7grRu1v67h19Pi
UXuQZ40JVlyTOPVrWDhrXTDhT3OMK0wBzW2ZccsDAgzWo3CH24zj8n7smuAZ/rL7kLJzobEn5Lnv
6iYhOTxbB8R1vallQpA4lcUdjoCC2KqiSM2OCY1OQ5Vv4HjMZxXawD1LAE83iQWYiA6SpibGC3f8
mwacUq70BGest8yLmkYAw234iBxCcEkl4bZzUUYUAcZ3X4B6LRYASqoarOPARsHI1m70bDsRfaPs
bkq+4Qrk4uRDG2mrys/2Frni4ODSCcHXCkPeWkNrsLv7JZF25yvPumVgY73YI3Yeyl0MWFWcz3ks
F53rZhuSz8XR8EPrZRIDKGXiN160DWiifdJWOkK6m3xq3OUcfWeZ42EZtqOjV8MIWvGQJyZMK84f
n0RiAuyEZn4/29V94wm9V3htGaTX5CDL2TlXbe1vyt65IbZmYbnpnjEIZ3DUy/BmNJz5kwWD/LYn
8+91T2thkzWCkYVFREx0bchwyvaa7xHcqFVVOeExys0RFFjBAlXr2IP8mbTEGkwFxAJkvQmDx2Ih
QN5g237rxJSnKGCKmIa1nu8yG4MJbb/Vt1pN37rGyPA/CXjOQHSk0+x6CwsAqbMCx+ofDmf/Ysi5
6Ml/deJZBM8/yDKW7jHokKk42lUO5tFyFJkKqkj/nfzzL14G3ZSpN+Zkmo5+0WgHpGkAY8Z49DTQ
CszUUbpuJjgg/+bt/FkFWw5wy/eL3meZiyYc/PI6IjBkh/7SH+e+7D/TZYV3u5kTQTT5DLc0ctGP
fKBceGV3hfT/zavLP8vDf3t5RFiPLI7H6fbXt4nVJzPq1uqOdpvUu3jZCFC6DhBw2RwMo8of/MZC
eqrs6SObKnqU2E0MZvBMGfmzfd1miGiTLxuP0mXfP+t7Chero2s1uj6ZJi46LPMkSVHik/xOtS2P
qsqboYekQDVJvZ3/+vL45zfESdj0OLKbeDtdZ/m8/3B5ECGNCTuAYMTLp9JVA5qUouIqGancgRnA
Gh/lvnX8T1/UWhwUQhAqWtJLv1yTbRhG9pAFVKQk0Xy2EDCzovsw2+iUeFPz+dcvthzp/3wD8GLC
DHiD/Cbbln9+h1FgSTJ8RXcc58TYOsSndWbsClN3/+Zd/fOdZi1RK1rFEEARaJd//4ePUhaK/rIm
KY9JX8juzhbwztj7Y2E4/PU7+mVIsVyFiyWFUyTbRAlG5JcvLcowHAO+zI+dLWg0J3K7IQkRR2fU
D0ZdGb2HeEJmLHUseaO6o1cKaIEvnDULUfy9v+7+akHHWtf24QzZbdkftte94l//qf/0meB64dJi
OCr4WJxfGzojfPjUA/gJvSgxvfa133cwKzSHpf/4dbDcULm3pOFo2/3ls3ebWDWwdIElhhwGNq0n
S6JAIcCr6+v835b7/t9zVblEPOg2Rs7775XBU/zZZjEAnT+qg8x9f//Jf2Qd2crYqH3BNdC40G/+
LhFav/FYtxlucHlby+Dpd4HQ+U36tNthnLOY9+Ae+T8CofiNWZUMkNwdH3K8+x+VKHu/3Foe+Ups
R3hCmOr4NrLZL48msyCwFhrTvC+EPWON7dlNr7APWTE9RA6ZCNMJ3Td1TUqo1oVmU6sMy0o0tTTG
KUVGifANoOHRZB9NvUQHBiBnX+8vkQyxhDMqbMVU7FZs2TDPB/BIiHHE9GMxHiHaUSwhD3zU7ng7
Of6oz+6SBamvsRDnGhEJrnGR/Bodaa8xEtaG/BFKtDOt5mvQBBb+IsVfAyhE7sgoVNdgSh85OF78
NEWaCyiGOmT4Wh6H3mkO9Gt4NIno8p3MlA7wG4j+O29OgMdWZL/dyOqfPTIYbOQNhBNM6yLcjw6J
mLUx0q27AltgkQlH6KIIoeF4TD8vGWXiS8kl6QT9qVnc2MUm8mCpnGQWWtkqHDXDwZSppndI8dWb
B5tSh3IbchT1FoCrSz1xXBpfKlSRgMzelJyrsEo/G3ZiZyU5AqzYmHrJjZZUOW78nNQDpb9e69L2
1CpERdj379FY9R+5zEZ75fZd9YPkhfUzporIWBtdXQOvS6ZbzuNYQzonUFjYIdROK6fW2UEYcrw3
ZmN4SK22+GYVMYDFLMVCup2a0Xgn3jIZG2C+sORsaGT3hnTCeiPtiJDsrIY5WofVkD9XVj6AhO/M
rl3btNtV66VT7ycZDjARiLH5x+x1VrjrDTScVejNnDGJjVrruG4JeaZeNrOrB+JwIygD2okaM7hs
VXNfT0Z9Hw9te7C6qnmMU9+8NDqBBZnSjod8xpq1zRyouCaHrYs5pFa/nhqYpxVaz8loO7mlzpsu
K12rjUr8oV7NUzntO+JiqMBi2sVRRoXdFIK3iMrgoOixedV1lbxRzghlz5rJIvhwXt6LsJufRKX1
fRm56DedHqASBONdKvyM3DlNXGB6s9ueZqFdz+/aezkDOxxuJcaczt+gHpkbpltyO84tMHeIxrdG
H1EyErbhSYiuOsgiDnal5ZZ7x4yL11bYNdB568W17AIZR2rwwsyghyU+wJUfFAmnznHMCKaCO05i
3unYm/4m8RN104StuSHbPr3UUUkBTd/rk9XRBRd787BuUIUmRLM2WIvC5vPPZBjd4xuYHyxEvw2c
fH3HtW7taTj06k3MRO+nP9rdA3BHiCW9I57maJxfiSK4hxwBMtiNaeMNKwsSzGsel/IN5bp+zSC9
/uzjNn2FHHaklrc/2DA971IzxGSgMiggkyyaj4ZtxkOJEP45BiHEmUZ6wZNMerjAMcejdVr0zjIj
nfJspVMr3Y7WNG8i9hKf44w8uaoNZb9I2UR39pBnmxYN6quOUu/Oby33S8pwZBsXpHg2g6uGR8v3
EI1ryhQSogPfPQUBgLoUUwLaNpzpLvVKiDeBCe9CJnRSLhfCszV7808mLWO98Uczf5kb03uYCn3v
VagYKx13RbtmSjPyPmGyQ5f1xQejxdiAnq5LoEN5Hl7YhfeniWfEY6iT6EcRZ7oCY6Wntywo826l
eDQfLBQPRpLkF35mbTWnfPMWtdwqk9RrBqUg79En0KxzJ3psi6j8dFubu5+qEnjhfp3fm1BiJTTl
xYcpCAA7BKcFAYSl5afuYHGa7sLqBUeDE5d5qcs10LZTs4tgq3V0A9moZKYD1bLNW/zrpejR2HD9
N/Cn4p5Nl5WPK7r4cN64Di15fifVYyRzcqIVUuxqSHr1lKYgpl0OAUcTI9+N5ebhY5Tb9kcIHv5E
n2r4xRjVk1kX+pxGPcJFbU7pA/WPWXGoRmSkQc1kKYE+9MdMtxT2CmOSRwrLrLOb+d1t3mQxVkc3
iKnw0MGFsQ7wnHQ2wCZXoH4eRhcAxQE8W/cUmkn+HFOn+EWmBqPygbEEEGkTZnM6nhI7cM+5HAjC
Zn1B4LKHXpxlOrgrygkueaWdEzK50S7RZ0A2nJvZd3eqc42dnyCYrEc3aG65FeSLG6vqIWpSWKXd
4J4m+BefWjXBp5Fb/b5B7kpWI3y176LrYCdViXweROLjJCuh7TaxD9mxrb9R9jV+BnU6g6uwyHGv
M4NKYZo4xvbg0msEjqjLYamI8meI5SBbLbuNQ2+Aqxway5g20lHOsQt1dU7HzNqR+11kSIsEvoft
eYcfeTrG8ZA9EEU3yIiaflHvEp2x3vp10FwCVHCSJsIpwK3BBfo0rBxLHnmz8DFmcvXTGujLuBMZ
wGWuOxtFbSy88jZkI78re7jvbTHh6Atwcj2UlYcuoCqa16DV45rJFEtdOfSA3d3BzS7EbjH/xEV1
ih2aZlY20PPvXjGil0NAHkFnWgDRAmcag52Ug/niennyypqdJQCy6g4JMKiGLxQBOTd57td7DrrB
SxDTsCC89joExQ2+zmS/AJnDmd7CQZXPgGQpGWs6leI6orLuJi4n6w3Kp0tKxGmPiMQuUGdVVqdB
jc0N/Gv5yERInuwgzkjem8Za+GByZ0q+7udS8YEEPHTJ93fdmxM0dJ0DT34zRzLAedeURzX7OWR1
v3wMcKedvdaStNy6yn3rZAvdqhstErNOZKPPpG3t3iZxnFzysMneqkC4t2zYGnsfNmXfENwL8jM6
k//BwUhjL3bfTZvB4eQScqH6ncs5sudN0P5Nfs2OsVvkgA8tjPCAxZX3kgKVLbdEQ6FcwSr+KCNz
fJU8Ojmyy7a+CWIRbPGum9hNZ6kPErD8ifYdZhMTODrZ0YCIREIm3CKKb6QplZnJOHyZwNgQH8sI
FuYE2T58amU7GFeWf2hD0yes38dy0whz+BE6Ktj2GpGdjdHWrBNGgJb6LJPaP4wjl3/fZc6N6Pxn
G+18P4IAx+Jev7V2DpTRbrto5Q1UIM7p4JiMM1GouPuj/CnhMnlrtKlBPw7zgbjQUGyZnyePcg4G
feoNSGtrdIIu2mLysN8D1U1faxwxCbzqxICKSmS2ZfkJVX+YVR2S4orZ6FCO4ak1XzOyML5WygT7
Ov9IGnfkQwzAPUz0WOPkS6UgsdgDbZtwbkABmcJNBfiCoVLynJuRdx8ldgibJvXgj1iVdeztsd+I
tKI5pDYr40ft4PXpstQ6pPnE0lvhSiQDbK/zZLCeR2YPfOS72eY/L5RzqwrTPBfmaG/HorVWOqCR
0Svj4ggGvlx7k47uld/VG8MVF69IxAURM8TYZo4PDL6SM3Ymscvo9ooR8lhj6T2QNEV5zehtBlT5
XV8E6UVojVenKcZsa6jYKUCXRN1tO7NZRAh33FcH1D8lWV0VI3MT13NvQO53r33Uuv7G0nb0CqEX
Ou88OY+1N8p0Y/XsEneiKXNi/gbI8ZWDxPMCjyG4QIKM7yOvo2vIiaYJCNSk55PfDs27coX74ufu
dHZzD/C0XQ4uEb3KeeBhh6+xaMz4gxvY3FGAWbKFNshZcs+UT96so9s6cwjT8nfKTTDX/knyxn8G
7lCAyx8j+gQy9ptHcvEQ2ZnsBApeQKfMQ110kmZ14gbUF9ZWyVNzEsamV04IO/caap6vAeduyTrb
19gzaXVm5+2ShqZeVD2V14h0x559Uy+56XlJUJPjQ9Fvllw13aTrxvbdbk2FFFucCXM8UrSbf6hM
c0KL/xbPLslprvqGAoGNc41wM3Qjzi0GjUaNqQBXiK4FkW+KaYtDuOTAw2skfPDCAPKUx6VK8rxR
FVB820DLLie6V4hTv4GysKM90rp/E0wjkexURslLdQ2iF9dQup1W9k/V2lEFq3iJrYdm5xHv9KiL
2OQE8uO77hpzz6+Rdz8WM4veEoSnjO6Re4ZSUobbGgAD5SUtT/+bLh5oKCjKGw20543HkvPoViwH
SRoGN+USxNdTpjJ2U/PbOEcMzYI40WQ8l/R+ew3y80gi1P//JZJrfOx5qomPfX4vknKT0P2TfOv+
KHRIooyYzv97eeS+L9PPr//iR/6eOXN/I9gFCYTxoi9cNpa/6yKe9ZsPTyjwyVagUEDK/IcyYsGA
EkTBAgypwrnGin53TgW/OTaBQ34QNyIGfPmfOKdQZv4ko2Ldx+rqIBwGgKv43xJu+6O6GUX0xmBU
Kvd9P6hDy1aGZYf1fkml31s0z9NlYFL0Z9gVFx9IMCKo0bHVfnoTmCUENA6hr345Od+DlgcskwFQ
wUCvNiTI9I2RlTG7Op5bEFDCk10AY4r0/On29j3KBQ89trSuLm4Mbj28RD4tZlXYk51KWB+ZrcAl
eKUe73to9+tls3XKVN3sqa1Alwe+onc0ynrrSfoJfBJPvOROYvjI3XF+Al9S8nyb5juyp8U3+qJo
DsT7+5Wy7vjA6413dTAZIN2NaOGg8kyW5uCsW2OAjzBhmmyDMPvCBi/fRDOvSjtsxPOCZPv3wbSG
I6fo6M0u1Hg0yooOGFfQNlEWD3WSVZ/ZBIsyFVNBCNnXd71BNqrComStlALvAvBO9/dxDlrRyNzy
porG/nFiAdNrt5TxKu5SySitWEWt1k9JakUXFds8NUiU7Y3Cu0eQGl66wIx+NHnSvifuaD+w9LHu
m4D5EsYVa91Sa0b/b/KEf1oeAzm9pt7Q3MdOIp6srHGOPZ81eN4wOQ+xX76OwLzA3PA4ZdiFzhox
W2ya9HNs6uQSxz4wjybBhLeqRm94QiIoLhAYf4TUsK1nTg1r1bvNu5tMIbiWqf7mzuFP+sf9eeMF
+i2mcyeLHcz3MtsmtRAPA80i28RP2R14Y/Buu7o+C8qXbiyWborK5vw71B5ahTgDsmilsXOZSsu4
UJXug6AirvStZiu4r6EDHpWOFwRLO54K0w4vY05BmQdXg2XcF0dRGvK2mbwfYXsj5LuV8sokMIMn
ZvPVKXeUgoVZes5K4kDZztEUMcilxG9e8SVA7Adly2lgRn6nSvNFskm4owSpXUd21bwJNU+XnFPO
JjLpf5wkh182B7TCeQN1HYIviCOaDG6LkUatVVzV6mDGDMD7cgDearg/CXT4l44dwLaRTbBz8dGt
40rqY8dM5EKe9SWyadgNMqfbEcbyd2pqvYVzOIBuK/JPNzbwAKnEStaOa1Djm4HjSFt2Iw1nnN1c
IogBNaaHbILR7PaVidWKPsUomZrbgrq4g2yg3+epyUZp9u5K3e4Li8O058/1beiH9sZJ/bXTubAi
db2fo6U0GGR2Gq4n1ur1KKuvDoxugBJUfjnaX9W9mT3AnGGualBJkwHZsDE07FzBMYA5fIl/3/Q/
MjYOjFPMkul80oyPbll/2G7xlf7srTOrsyq9byn9NUAcM/9QG629A2YV8vBZfmPR+haj+DFf1/Pj
qOxHXyAKFfnCeqbJ5ykKEmajY4Z4i3V/rZPiu+VUlzaZ9RakR7kWvWs8Vm7dv8VMdVemyOZ9m7km
pB5W02oqxQ3KcXeqmAdv+672fnRomju3cq1bECzcTMCytyEjmSeL7MXW1rbk4RFoWnao464ckjNc
x0tDGdsvDua1fouK0D9SsUJOMQOSSWKjOmnPSNZeNqj9QP/RMascSqOEUqTWKd/ah4xz7v0IhCt8
igUQHHmYyibmkC3f9pQ58dphd4Y6QOVrFjT51gi9CgkadLbsUdhX+Pu/1kQ/Gv7rasKeZIp1YXb6
ZNKj98YOdV4PyBnnLhiHk9nokmny6AN/D8qvo1N2N2NMSwUVpeYjNzlRDKB+4SofGzfBzz6i0iWc
C9dU+aEalLpnE2vH/oWqKN/fxolv7dIBmIwO3ei7DkDIjk2zBdm9hzw7EUtVOJgqb8OC4bwPpfHQ
qxFWMu88TNcYlUoicJODN9N30/c2Ak5T5KDs06nrdlVF8ixscySsVDo067Ux55Gg5/7vAHKoRCT7
rnTMe+Xl28zErRtHAQE6xnhp4J371OnXnN0iuunsm3SmNIcx8VM5D/rGqVi7Vw6li08xJtGFe/U9
g3NxGCvGAmE40KGZoB9TXZ6lhqbEgdKYRJn2riPQtcecVO8thye4IwDv6RAPfV/MA60v3UM8LGdP
xKgVwi1H9Kye3uuUx8YqCovUOQxuaFNxbrOJ7eizoGVy35lqofqF05eEMsVHoPTDDb99nfsDG9vo
o8N+oPPkGY3tIguQ8wYc+CKPii1wEXPl5ND9Y63ic2uY6UlXmX30UreBQMdO0ykC60Nh1tgkjc85
2UkOZRfWsPCNlpp4+hnXYhhGjKlxWb/r2aPg1Z26O3xH9U3FYf8HZDwDN6NelsGJ80JWlDvlgNTx
ZhU8KjchKar7LTYxyLzDJUyLm35M54soInoAOAxH3CmI6iVE3qBJKgTclIeqFuYJAHKEZKQg8E/r
QoNwlnEncBhb+ypP9y15gVXXpBYD9qxg3EF5bbu0K2u/PktwQGz+0x9CTRgz3RK4E8Qi2T5Z0Yhl
zP/haWv8yYw6RF/PfI58jrxxutYv98NI+ANn9th9zixDP9IZgbnWGFRERpwP1UI3LG/U7D4XuEef
Mya1xiaYsoLmsTxpHqbB7DYQ3ttbutLijYNGSoW5nMxXHj0pefwQi0tTqqUxYdybEhoN6gh6+dL5
OYnYfTKyWB8Lf5qh+UYTFZ9WrJ5r+Dkoav6dbzhIfYVvvNKNCHS8YosSmfWPvNb6ucY8uAYk4+56
O2f1tqwieID4+aq94b4q0QIoobsAMNm5PRXGndW/Y5J5aWfyk3htrQfhBNWO7Oq0Y9kLbsuwiJMt
NDHvPUWigvQtj5GTfcMptLeqCIEguekS7zB2nOFHeC3Ycu0iKrizqmIbcdDOgUNVKdqbMJtD5fT3
k2E+Zmb8jQXtFRrjd+XY+0aPzoVCX9RYYeOlSkn6OtMsWHfZhYVgy0vXozthnm5RcZZKGcL+VPI2
F4KiuxyVO96M2lNLGWp/iUyI59iYRwFTJ8VZT9bnmcevf55mFLhVNxg2IJmgRFZl12nHgP2z5MbQ
ytgkw2gdmlmZD+zipqcqzUnDDKNzL3y8tUX63cbbz0Vt9zc9X/S6yftbN11OkjHmbeVgJHaUpHiy
toJTiAq7QXzRB8ug8K9qjc90cuvD1OT5GWQMS/RSHQmTsEXWQn2r5tg5KzjD92y/mxOIQ3moqzE6
UfJxUxi6+ehT7b0y6gNtPkCgpITSGImEd/5jC5HkLgiF2I9p9ennKLYOIhgBYopoqfo+woacKJXt
3huYpc1AJ0AiCXBT+UztcJZSQySMNycp/PcSX+Q2oWrypbTbTeEulFdnglCZ89H90EYI/S8R7gMq
RbTWgINgTkEBO7lNlsOggBNJ8PBgjZ3Lh1pEZxIK9b3ns0hFeN8YyvRvwAKas5P49EslFQhL4O4g
ztzG4MEDOIgIrMKF2rRcO3SYxFMRrseIXmeAigGEftvZ10MfviDNN9CoJfXGcQPfuK2ti4vz5cge
DPi1zMs3TNMElgoGhobjTI/SKHC7IyN/rwrh7RvA+T8DaD97jfef/kp20AxC7TPWJQYis1EWn4lM
4rMz0MKwEkAqbypzSp6iiF0eAK4meVVmzpKRM3KTfRhdRG6a+8gqzIvwJu7rIaJFOlbqGM7UWple
GX0p7Rn6OoSRzWiMxXe76YOL4dfO6ySEgfY3UqUI3OGDAWb0mMFke6pI251G36dRPRXJwEcPJwo+
WbLljqGhRC2Laxk/qNTezWQ12bAp9drHoX0wlB4vngX2zh2b8mKrTt0UmFG2cxj+GMuxFfj/YndX
MpLFEsfgMptd/0PoFmYik+DHEc/TVneiuYlU6rL/dJ3D1DnOF46szXYuouBH3YXoSRwAj9Q6VXdu
lCSXQcTJwcG9te7oDj5VVmCyatjBDpIFcCeZ3GfGWMLGY2fuJ4GAxynwXkrUNjm3d4UZw0PXKI2D
1xUnf86oL61lcOyYLp+dsc1+8kYbUNa1d5N5Mc5/XKhMs/PppxPO37qCyjtGPRFkVz/aiFbjGQzE
wqLAGVXk2AfDOLoMWcbOUQS3sp6yjes7A0M6J3lLjHTajHP+USFlUxmQerd1D4XSmRH6gUCuK6nw
bnPIp1W3/NGM9d7x8TJWXTAx9MbJU6MGv8axNHAP4M/dxNxzm3xw6cGCcr/p+1acbbZgjP5k+UK/
uqAm0hxeI+REotvmU0qR2o62Mn8M9wIr/SksGF2P7saLRh4uE1ty09wZkZguUzhTpAF+fmVNzBpt
9ZXLU69S0CsXyinhi0wt9SodvPQR69++nYUFjc5kUOpgLxU5/V9dm7p3PR2qMx5pRvvNNjeluewN
EgYptN4MtSG3nPPCg09weUOQon0Y6IqgmlDRnKACmpmdtDiwUqQnMYA7a4bCv+vnyd4r8LEk86Pb
gcIkZvOtiUdM94IiHnyImzhLpST5EKpwNQfyTUo2TwurtCHHMORI2+uqNqBwZTTPVOfM9ylOiYbx
XPAohJpl6OFJOWn5UZCIcEGRivAb3s/ZWGEjolHdjNHEKadIH4pWGI/adqjyOLb2sEQiYuZ/M1/8
pSqy8pJ2qfjCCtheaiPnmBu3/OFp1virORGUYggjeO+tOXyVore3zcC5ZcXUmfNpUWq6BNuMQpYi
6PYelSGPbamz09S5/dGZKucRIdje94Nsv7lUHJogKPvkowJd+U0XGK5VXXMzYk8/8NEEZE9EhTVs
8A+BHKfVwGx/nVSq2/AL7HfO0uPrQIrmqWtG+5J5knyJKCsqkcz2zuI7fZCF5I+Z/e41kuOPOk/l
lpNQcorNQdxNgv9H/As8qLU4tF1n4aUCmrtjtRXbAmcfRw4MmEw9zkZqZqssB/zgsbFYBaKhgS4X
AcCJxEHjmVNuW7MOvCdsAHRQF5J+8rIqbjHibAENQ9+OHJ5YQ5QwyRuyU9Ba9Pp21bN2s8+2Hm/n
KcHnMCbfs8xOj16D5XxooWZCp6sZsr8pDj8+97Bniem2D6YvVVMap4SM8cP/iO75vwml9Xfr1l/G
Qddx/Nl1iaIxLf6jtvm774sf/rvvy4Zkjx3HgWDq+QE+jN/1Td/8jePWHzj2/JvfnV/kP01UTNyb
AWsLKdB/OL9g3Hs2MAQOVgLTn+dZ/4nASTL4F4GTZ7SHYBrQPLoAtsxfBE4zTIeMfzRXahXLHeRG
JtgqRfOH/DfLlVXP7Em5TdlxDFE4pSuPuCWpSi21serczl7zjJTncsHqwRDlOdYvsD3covlTxkQN
LiQovkhXw7274PnawjNxSi3QPqWzYAtQEs7kgvQbLB+6X0BYL950C/Qv1G7+SiUDJMAwp0ExEqUN
JgREwVqM4fTganbYq3Z+inprwrN/yIuCBg6G9M62X7CDsU/oApQ5LMKJnCtJGB3Bh/Ry9oH7Uo7N
JakmKIY9ob6nkDDhuwUj6alacIdIy+nX5opABNoHP9IY5q9RRc5M46CiD6RvP0cI6etAZEsZMRGe
1iKjVaUik2QiwvJeK5Xf1QuIkecEdW5S30RmV29FEUtIHq1km8+zmvLJmmCtK776V8Ijqa2QxdxP
snOzICAxDkCDzK5gyMqIXqS70CLTKzkS8hAUyUgClOwcc2SjDmTSXHCTaRrJE+43Y420S8X8gqXU
Vcs5aCFVelJDt5hVyen4yrKcF6xlbM+ZtcFY7N32C/YyWQCY5pWFib4AF7MpcVyszAWXOQeUO9eO
YsHmYQxPM7iyNcn3dpCWLYibIEij285n9dWUfnzEsJA6JkkLp5MCISAHSEK4Cowqfi+uTE+GBPHB
UrwOBg5sXqS+4H8yOiTcMVFhwjE1bNk0xEGYHAD/YtS7MkThOuoDNHVcVb2HpCEjcKPySh71rhTS
fAGSdtA07slO2ufQ7dVzvIBLoyvD1L3yTDu0I9imC+a0KZzpQwUxe23nykENmLN/EX2H5DdfSakw
bVuGzOBTbVtQWjLXQFXTBa9axA3wB7+MceEEC4CVmI5+VVcqK+lN40dfpw59yUK075Atiq/ugnL1
NUioVbUAXtWV9RpRCwcC9MqAHa882GFBwxLIXrnjQos1FnBshAPjFbtg/eh0FZ18olzu2wxp50qd
tWuXkCNCrrlpUB1RMkyZfY24uZYfDQlp2leKLaVqEG3tAbjtQGyM85QD8VZe6bdRM5nvLpfctDUB
Yu4xq/AF+ldqrrUAdH2rYY+izJYTpNf4yzEXgSmCuhvmcv4YI7oiaFDlUGF9q/DWJ9TjpO1Xx9PA
/YHH6Q9NacSm6WONH1CNz3rs63O8YH8zZj2n8soCdogUrEHP5Ntm0uptVgs1GMOcjUMJEybh4oUQ
tvCFLQ6Na1rwSurmLCRe7ePlgkjM3z1vqwVSPHA8WIGJowl8QRjP0gtfgwVrXHYAvjZuFrhrQ/QI
qNOVgcyhsIEWtGQKkYUXZXCEMLykOtHPZdwkP1DF45fZi+MbMwPyvm06C+ayYcvx3eBGoeRKWgyS
s6bpP4orqzkyOlgmBGK5tefCWeyMkNVxxSyU5wIddCMMqss6z+HB0i9A6ObKhp4WTHRXKPWuTI/q
PRjS2ZUmXS5gaSoocMYHGfF+wtyQp+egeTE7md7OvoRLHcR6eLMhF50tsv4fYvAQHUFlUW1w5VoH
V8Z14RUm0dMFfa1KPz9ERffNbBL8hv6CyGYpgZYdpXnzndmQR9C/7ZuZD28cbxOsuh2F2qB+N4qq
SIW+0vsxQG3SX5wHGtc79EEek01LI0ECwgzAldiqopRbezTBEsMgJVEc2mLBfTN7uyv4pMxVUjsz
AuOYZ91eXgfr1TJjtxNipYfiOnpPI4sxvODABemYaBGD+8C0sXaabfNTj5N/MpdBPrKxooFlGe/T
VFY+ldeR/0xFwQa9tvlIPATKVc1c8qGj9uF1YuTGTddk8mwydHiBctCQRkz9k5/mnFbjq/HAryPr
ru788o5JhvfCLAVVnYaomjpdNeTWbqpFRucw3KrJ69x5jRQevQaiN4uNrjzx02wIE9zwF2KJcK/2
iNif/I9O+xSs9LlUt9y3WClCW5IMa0fHfebZ1J6HxXBBRTF+A19Q8Xv1Y2iD0hVGJ4tPI18sG8Zi
3kin0HubUqZgeaWLu4w99RovQr2iKSK5lz6tnPEsxH3KE2lN7UeDIcPMXmrcQBsx9R+16VnPXT3Y
99niNekX10mz+E+axYkir6YUGcl+Uy9OlfRqWokX/0qxOFmwQT5XlWnch4vLhSpIDC9DzHSL4B/e
Q7v+L/bOZDlyJN3Or9KmhXZeBjjgcMBk0iLmiTOT0wZGZpKY5xlPrw9Zw63qe7ulXuiaSaZNVaWx
mMGIYLj/wznfKbo1GnFyR7jv5nAbGbioVy0vW7ieGDKg80vdcflNSK3yPXJzH2kcyu5dr5fdGmCL
A1IkfWwDSoc+HebvKQHdGzFXcb3OuyK8KZy0uQDv0ttycKK3qK1fMyQ6+7HDVOpHSMA06VbvPugc
YI0oZ12NPldUCpZKH+a7SgyusybWUWzzAV4CCiWLFhz5e32lVZa9pWHPGISMotHd4jYhEDuvDfuY
BiWHS4PI/9iFUftYzUNxyEUdXrEvqBEJTnqdkYscsfYkJd5obGtvcwDRNWf9o+JqubORBuKtRW8H
SSFxnW1hDM37bMbDldtYfrzlRCAzpyCRjSWbfDDsrrw1ySvpV22g9MUIeufBYgVVkYZBzzU0ltzH
7uheTzP2qzNpGgYCWiNMGdDp9L1kXffaTUlyzwDB+6rJS4F2M1FKrIuwxFpoVgljaHOqBU1x0OXp
LQFrhBQqi7cYBR/UhbppSa1s7WJ6Jl0PxT/whtukJE9lZTe6ilZWY1rvTk/RDNgvCJ/gu5GJy5q7
ENdI68KzHcTzpgGP7++tEHLoOo66aTh6vm6KQzvFznMv+ETmWdTfgwyt9m2SmTeDDGW1blXTEpwq
OB6cXAd0mWn7GrDduQNqBo1TBh0NXWVUZydM+Kxi1o0vYAmnC4O1oV8LwsPvKGAHRHReH76EjH4D
Njp9O67sJLQejXisni0Zl7dkEybbEbDstds5zBm4tuxxo6qad5QMGdiIU6Z/FLZdMjcALn8tiH85
eWVuMFrwkIrXQwv6gUH095n201wc6dN7G7YQ8HCjii3b4v4jlmns7jyr6XZDEnqHuJuHO0J6ze7X
Z4m2IF+XdtW/eoCYrBgk/zAP6pkPp2Wzmc7LWxf55Sqssm8I+e7TMIPkmQbNxSNqgc+sT75RYvcA
OjLloXCdynaD6o03Hkaf9wyDhRvELzEDrvFDZhH2c9d6gsJYXTyzWCzChXPfMwC9onlJL7hFCF11
fQVuL2vc70gNGLQlQtVrgg7VNaZdhHBN2o5vbjQZ06kYrR6fvWfS8KIQJzGYrKTp0GI+++6nAWit
nJXOKhcDxWVQanCTsna9a0Jw5oPJzfUpzMb5DAK/7rZ9nKCL7thH1Bsn471eKVK45F5C3f9GZJ4k
1j6NX2Yh5nvDy3w0sVPhcbeFPRE8XniP7im9Rn46386R1X5aSzDDVPsxRI5uhv0+BP79FE7Nx1i4
zZXO8/KxHsCnYMhykMD2zvsSizNuWV2TfbQAEMEFOCTn9rO0btxEDxtjCKALhCyZeZ9T5ZEql9tJ
wkA4JiKgrxoOjarISH3opHoxAhO7fYcSlfioiOjKyjDK77aoWtZtdXRVdHVxF2VD9Vx7c/ijqZR3
SPPEfOpNY2JAhLbv6PVds/hx0BQTgdIGR+HZszgmeWUcpI7Gc1Jbk8n4OmzfQpxRbCTrtrswO8/K
feIAxFglZhNfaAmYTNQDA/fRqJJVyyZqa8Kgu1dTT/xYiNK83FhlNldkfKrZXBsahiykxAauzBLk
04/UcljczeK2ScUMwAYS/2qyuhh7QxMfXEUC62oQprwP+M08YCjPP8AUZW9Ll/1TKMpUrbMt8WB0
dXeL5KV+TsaK5bBpYVxnSTIxrfPZ+ZiN4ivL/mEQsjg3xkSWhBcwmImssMConWKsQedfhwfZRsGN
LDKeQpKUGmArIrq7zsu+6tZyLD4uGbFQaXwrAKIEqylFM1DPSp1JVDJ7mALCeIyV7xEfCYHHdmeJ
EHPqnOQcVz0FSdFbzamJlCvJI7EJxQkaNhxNWxnrXuWRoDUN4+VSjjJ1qNuGt4bwCCPzpnPPEPfU
ciO9R4lDYk8eLeO/UUrdYKtCyrEJW6J3V1K1LFqHFtBw0jjAgGpULfRsibMdhR2eG2nFYOl6YmbQ
Y+1mgoHapYzMyq3GieHCY06io4dP9XMMkuIqqBNOEhH43l1lauNbppaeogUCQzIttzhZkGZ9Y3eM
mTOn9Q+IhPJDn+jmmHfsG8CGZOMT9mlp7LPYKY5YH/w3locRHAVnJiXJsyt5tGqyF591N+IE7vWA
++T/yJjq/z0HI+RMFHX/WJ53eK+n9xxz8a+w+OOP//5fzF+/5zd9nv5FYZVeIMwmHO8/ZTRqJls4
BReauOvAolyUe7/NryzjF9eTkJF/Dqjsn6bG3wV6+heH3QVM02W+tXzlXyCbqZ945X+zOQMzW/Dy
JjZIy0a4pS1maH/W5yUmd32ShPk+7oV7ow096B3dQLbL5zh+CdCuvyoML8fcSbEqwJCUKzXanMdJ
hYy0Z0ESl3X74HGj5xu6Ie+p6FzrRQ65vp5nw/4WKb8hQcSwjhON2weib+u6q4OR325SWp0MxjwW
MI9lYWW29o9knGW3AgTSXjssBB5heIEfIjst/5qmUl7VrpM+ytQcNpxi9LahZd42lZVsOshlTL2c
7Big11o5pR8/QVpqTjVX6JNRhvEVDAmSGlqab+H16zyrQAj2kMniGAGEo0PSYRNXri0yyY5F6pIr
FODQWQ7d4NoDDrWPmqhgcJewVay6ZGsRJ/JAEaw5jMEjdrjWN54PBixU5WqK4OZjWi2vrDAUpzFF
tKGysL+2ZW8vJXfy0CPZviraYN7GJMVeV9Ju4EU0BB01VX+f5iEYFSR4KzsFE5F06trvatRa1Qh2
gpL71axt2Nwi70/wKOytkFUCgNGqDyqZjTWdN8KXrp3fvYx7yIricsdJ3W1kWNMWoIZmcdSqU20b
8pufkNidt4SX5W1dIbnJkuEV+U7w1BIaRASS3zx6qIQ+zdme9YqDGXECzi1Kysng4jsiusiaHfeB
8Zp5GJaIdo0JfXRnPb7F+B1tePx2dJu7vX8hVHo8ewCKtkziQUzZFG1LfoBHRm+dTgS/UDu6aPzS
Co0RadMXt++yL3MaFTIUU4IbKUyO96bICSm3BSGhqnpIJ94Xu8oMFDn6a2JRfDeHDDXEiJYqSQMo
mCJvn8fYAenlet2z7uPoiWIbxGcl7hkKlue4H+SXwAO5wtDLeivuqo7ZSDCNd1LGP9Aoviml/auy
nuvlBvbPMrXUphvYNZGmXJjmwgrqCBrUpbrq+y6+DwuXlJq5mU4oOfQNWcV7EJhwb3I4uYMO+ksP
gfq9bjCATdIeDkHkIqCZiPpWMVHVwegf0Nl4AW5JiyU4xf0N+odpNznOeIKupF5Dq3Zwas69eNGs
R56CMk2OeTJAEcdh/06QE56iMLMIC3bd82BVzSYiBjlx1F00Eitt9WO29rq0f4+tqnpCRBru66Kz
Xsu+DCBm9NZSWPjahIsHcMjOcDht+F/La0K6PQcjEaFYVAL9etZ1eaPGqEEhWpbPvqeYH4WAx9H/
QSrjIi6TXYwr2O8xoq19DIn3gchMtFGcDjfSUuMBZj0pm6EB/27VS3N4oqXUp64oJnQ+orjydYsW
Ef3qTTRTOJZ5Z24p9esT+FSWy66OMYs6JbaeJAwiMqzS1vyEH2Z+usiJPjumG1fShDeyGbKKwkrJ
Pt32lJ9A5ZqmHvGZGcO3qA7zam86LsHJueoSjejG9DbYrcDLwX0EEGPBHFwklupK5rrbFqll7DoA
bjm8LZJ7NiVAM/jgMT43xmJ9tJu1QIXpmsDTa47iV/YKBKUypAerik+Cjdw0B8xC6b1p4uuI1cOp
hoJ7aaOxeEE5gtJlwsd3N4o+/9FkMyZnPw/km12rUa3ysglfKaaXZsVKSGrWOZVLwsqz068TGrMB
OLjlfmNzoq6TyhxeMGTO+SnyRsuhUiymI2mSKt8zObVQXnuRYF4/ymLVqlK/dAxP3K2XuvWtUXbu
lVVMy6HNHoGDccxTCHxtPu46Cch4j/aSSQN5W+LVCUesKuiRxYjYtQHrBQE0Mw5RJEskrIaoENPG
Vbgdx9Yiw1eaFNuNGEABT7mbJCiXVPGA3xJ30+DO6F7wKDUfBp0f/UnnOCHcdiXbhzI0xFkjLtp1
WQkzl2osQL9QZdODESRlvAZJ1b1GdeCoNdTCnOoYXWxExPkUrpNOMPo08JdgLk/NGEegpSgGGUKc
pjh1EO+0mDEbNgNftXDyZ5qFZk/nMqVrdO/I1qid0/so0f5zN3jNVerZX3jj63cVefeESzKEmrGc
6dWYFuilKElP+MzGt8ntcdbZSFje7M5o3HWAkuBoOAHyx0inzj5gyHiPOHV2b4PEF0zy7cxkQKfr
YefFHk8AWweqTDjBGP305BDvxuH7DRjYSHwCAHIDVCjW9JRRXmkuGu6BzuPTdLlVLA8j/RocjrEN
w0FdCSSi7GZstlgweDt1RDjP577mg/BSQtB7ZLmcnOmCpVhlwHtJjg2ZT+wRd/TkjQTmt45o5ask
U0gQElSA0TaHXvdCdDA/swaocmJIYROGNS9BHU3oNSfMJ9UzusvMPkY6nsq1jylRrS3PSpt1DSnp
kpDX94o30sT0ZzT8gKoP0h+V6GlBxgqFXy56PjGtb6bPpIh2Z85Q890w2+l5wF1+TPMlCfKnNb4Q
RLSvB/5qnAJo5AnAi+e7prcIdw4Tb9hrpcRrlXJDycmlWkej+InXRzHfyr2nYB7FNxbP6Z1twStD
BqZYqLVWdmUh8WABAXfqk0O3vYl9m4bGi8P2qe/tqd3QBRdvIilKlPKIaPiMltaDivAurjgVxUde
tdjBgNzVBrayXNhr6buUCl7Xpu9RWM7lXvQ9awbs2B7sg6ioq30sQTyj+eseitzIP9GluITKDj4D
2Hoa9D1W7pAl+jDxSvbxjPeRCdktlkOYjK3vSPxWgRrOfptZC94hvBvakCigBhEIHu8Io9ycfvBe
4R2c0To+DQ2qyKJHG8PaZr4naleUq0V9h6q0MvmAMJ4q7iBCYK+WlTCeSuDa3XrubI0HYHYyFLpa
Bwc0gV4HdlrW0zZh5tNu/FC1N7TCPPqgZROtZRL6L74zpkfitekno5RXFXBp+dQ1o3PXEnYI4TPi
fY8JNLs1CaW7mkeDE5Wsh+YeSVZ5P7g+Q4HWYH/p4NPmEx9EGVb+ybkwu7Wqtc0Nx2+GmjT4tM7c
mYXZlThBkmiLFBPpA+AbfOFxHd84pvKBcrq5ZGyoiydwC7gGTKcxiEQaeUW8NKlA6SBdWpV2GTFR
Cdx37BzWd3pMfqzAi1sG1uPA6xtO4UbbOviOeSc9OGnnPUVGhKICiyyHXyuvk9mKr9JJYTUTKp33
8YBml5u2TPaZYzI8ymJj0vsCoN+FiA/3PNotUbPsYtp4E0Vh88aoH6N4CvHtKy297NPvYuukfBF8
zK2cJrJCZu8iR+uaVZFxnGYGCP+/afy1y3v8554u+EpLysI/bhpP7yzS//Zf37Pyv/3t/N4wKKz/
0kD++v1/GLxIVrDImSKQ01aWSYv2K/gGgxedIJ4qUFj8y1mQOL83kOoXk8gLUmUsXF6/YrN/ayDx
fkntSBOWjs0mGhnEv9JB2s5fQVlsx23MZewRkVj8uXPMZReYXUc2XQYKYyWEz/oyXLSwiIz669JO
nGLr+aAOcQ0MJEp1jZ1sue2r8zT2/hFQY7WbQuaYrHfDDcIbvUnDbjyki5ZXtD7FTonarNgBw+g3
2MCpBPzFSV600zGT2kLsG07Po5c2e42qattgRT1wElU3Jhag56D2OSt1EcLkGRhddSTieIHnHfN5
ILYyyrMtcor6xOybbGjTi97hbztnDZ4zQhhewsZtCop7N7YZ3WUJMRETQfcFqw/U1IEVPyAJalHb
QSu7zF1AeUvh2n4G2sVvqUQvH9tcFPftVEXTuar66DzVrryU6D52PsmL+ym0f9jxDHXbdcYOEGgb
g3yANrP2ZWlj53J8CMpJz2Vpy3O18PbHJp9fuaTj7Ti31sH0E6gJOpweu4QhxLkJGt9asx5sii0N
Gd5kkw77Kq/tbhXKZX4GWPGs8J5/2AsWpkUrsHGByJDrW1mE3Rj1ZxHnybNWU/kcRF53MOxSvmgo
GhqGUUi1mFlc9ym30rrkFP/eYUI4WR3+o32oEYmxIgWKgBGcgkfGkXgU2MnGq9nWPt/Xpd4XSjBY
F/T5AWe6qM+kypbvAlcb7ii7xzmRtS3LqxR5/kxACPuqECxqZ9XtlvJcHPKFUcRdgpIdX/IGR6qx
AVRCZmcQdfLekfSK1cC7sJG1BSIlomNfuV5VBt8aawC6lPWSEnx2Gm0SYppxd9mJG9xkDiEXXlaF
twol29osaz/k7S7w7UBJLah1u3C69aGrr5qa1szmr5S3NT/iOzppuhDFrgQwdaUAy6IuQLQyFDuf
RpvgOx7lGNpiIq/VxLVWOvxMDZ0yrYcZehAO+FUJtz6013vtNP67Z3Q4BTit+cdoSnSvkYo3oTd5
zs6qzPziRy26b7TcdwUMTRAjXmlGeIGoc5EzRveRnQZfjC+AG/qojCcZUVmpwswht9bMpFeEZzZQ
bty06w6xK4wfvhLT+8wC85vFw6pNIUzryyAjkI90oCB6Q2skRgJFCAsqK8KsvyLHp+1RzuWutUkT
u0TfmMqi2Iy9siGTZkCFpdCufRtGcxlt7L4O8u0UE528quDP4VBya/VgRTrBPFCKjLkoIAhJhkzl
on8ZO+NzmCpmnlBpMWBkc1AjxMjBaArDVycTCCi0i9Tz7nE6fmdyah8ns1DfbfAyB+Cl7f0YqPIy
ovrdzGZl3/KieDY4iXJ8GkUcvAMOi46ZUyfHcvLbfS077OupAxUY5bd8QGWd8VzncLFwDz3v00g7
eaYqIv4TkWu0ODQ8HH1DPXcHLxTBg4duBrV86X3WsjAJtm0Ft76Owo9ojoePAK3YzsE7dj2XwXAb
5Y044SLKbmF6U8rgt4KtYJuT/SbqyRrRL1gZmauzUVxgO5OJnBXBG38JutfQMG6b2KSatb03SuRy
m+alc5l7TC5uVyuGW256aScL6bQd6Jj0Rdb7uokrQmX9LtqWmrOHyjLpcQdhbFv36O2wgljFiRa/
TDeuXt61Vkv/EsdLoo8DRCWsM6PcjqXrXxRp6xoBkoGUs6p1Uy7NtvGuStuDqtSxRWgw5hCNcDfl
gHyDcWQ4bbv5TgkXmNmIteTRUb13zsoUcYptR98LGdo0RjNimb4z9pZN/Yd/KdoqAFNray4SYDNC
AacKh62qqmHDRx3d/nKm5xNtetXaZNEGo/3KZg5ucIRUe68GSqMEYNq14Ny7yiA/3ngNnO1Q+f3G
KOrmXnHO31Z4SDZ5XbjEEncJToUhtG8xEyePZkOeoKlz9NdTlPTbDjngec7G+IACMTp0uUIQZwfi
VHohddog82INoWqsNuWQxVeBWlgOpjUggRNec4iTLLrPRBgf6b/uvLnw2OXEfGbpGDz5yr2NTKtO
8MDgInDuZoPSGsoYzHToNsjTWXnnNzbZ10/xWIRfcZwE95R3/qMEPYZwxhi8jwAZIuqR2r42qbPf
hyxznrsoJqvQQCDLxDU72DZzwBXAI7HD8mIjWe8HfZeNlr6k9exsUmseLn0tbKaOocZhGZv+CUYr
vawRsEeWUbQLwMQdW9EHjE9N7HJaxOm90mQcRORh/FT715+GYmZ0LVmkkNRoIXxrGVHih8SIuKZP
HS9hFAfQ8Hy6e8r3y+xm/atsgniHNJT+gVts33tZsZzxbliCGwHLbZp2fqoSq7zGtgdOBa2O/LT6
Iqei5filry8A77kIOarObb775OqszDmXu36oxGl25+4TY9O0K8ymf6gDrqGVtknxtnTgnoIqSN5l
5CH0zz0Z3AQJIymysutoVynwxZA2Fg8xi2p01Lo768E0z31mDBtPGN2+JGFtP9kFJ53ge46RGSSX
ovLH29gNnT24l/jUOG7Fq9lW3/whJwiK62Qd5Ajek7Fo7gdVzztm1/qxib0eUBtWISh93NdgB86u
cK5DwwR2s9iLxp9OI7x2+uJxr378rE3/0+iVywN9L0qOQ9gtBK/89sBLxO5f/rD9yUu46z7r6f6z
IRDj983G8n/+737xtz3M/6JC13R3bMz+WY2+L/6y1PnjO36ryu1fqKqVYZpMOB3t/VtiDVW5oyzq
YVMyObe4Qf6oyk31i8sSiN2NRsPEvpMm4beq3LQXWIPH+IX8OP46avnfn/1vtOZ/mljz96JkfjCU
0i4WdQd/irGIlv/MlNVDn6t0GLYAlYvVSPlNpFZLTWPSEYosHn/lm/7DaOG/9gBL/b88Hg+oFLBP
9lZ/fTxUXE3CumaAxQANmMDGr55CZDUNzPz+9B789kz/HGJMnPK/f24YipemxgZRof5ecM38Vlqs
VMgzMA1UdJlS5ZoxuHnE01FeJX7QX3X0zvtUtjk2+dr74aRop1HqJkwSbHavYLTNkzGRQ8xWha6E
mM+gfrYBYw6Q3R06EicwT50hm49pmJW/bkzNxj0eXVZE2Zyisxus4lP4HVYrNzEfM7cGGW9pFiLn
1q6N2wi5GWqjaPYR5mj7s3XCgqXDEPdrcpEh9hEg9AlYHBlXDsa48NP5lsPLsTCZTsG+YnHARLLF
f+PM4lxxxfSHyu5Q2SBc4UfptO8/QyNlqoB8kiM8gpfEQMudNMazQOh9OVugALI0FhWTXDSkq8am
IEEy3NdfWSzqk8b8rQN+H8yefB+h80s+OY+kHiQlZmPLPzGLns+RVOiwx/QyhuRw2L4BszQqX0QW
xqzt5F1sz/k+RyBFdlqN4wm2RFXiYbE8UV+mELa2gT0P3SxNEwaONISM5OZgqxTXocCtgm31hT4D
zeZoJxt6JWh9zMlXY6+v2xz0Utp4mAmAL+JsbKmxvS3in2mfBPLOrBkhSnE/AURQJnt8xxzDvQsA
fJNm3lFWJhTJ0uLh6zpGxht85XEE+auL+Q9wDtpAR4aAxlv3KTVlETbsAW0eXDqZseldbJkdd1VX
1Hx08uA9kMkVeJJkI53gA25ajIUeL62diz3k67siqWmmeEUTa0Er2+EDoRLB2hjlD9X5FzPRxwqL
5zo1s71BSMMKLniJ/M26A1fIJDUzf8ROtrMSo0Lm3e7Jl/8ypJNsE79+UfwBJCl8w/gr8aJL1gan
oFwwq72/6ACrB26kvVDNyp36c+gn+9YSl5C7Z1uSArBGqia5CH2MzpfYsgdjE9t+c1O16joSxUve
x+AtKbfAGaRnwxs/HXTWm2SsnV2S8eaBZAFrFnj5qm8HaGJWlGBjAngZMUFddfAl5ITBzfLHD5aF
z2Mgna2SAxNBC36c44tHqAKXKWbdCz0c75lo/LXUBEMmUPNHJzgHflLsnVq+oGnlCRAUguiHbmWI
Pnxcu6RsA7NwLL3GwbpC7UgjZ/DQziDFEf1rv6lRui37ljvyGjx83piYRJqCM8j4oCaVnB9b0QAO
aPTjYPBMc51d+pz3wTbKD2Jziu1/7r3552vzf/zfZACyjeXU/sfjr0OUvX8P39O/3dbvPz6bvxqA
fv3m325Z7xdjQRFxXeKiN7g6/5h9KWQVqCn+uDD5yu+zL2vxBXHrLZGkUiKj+OOWRVfBPIy4SYtp
LfxnvvQv3LIQlv7uLjI0gyGT2Rv+HwZzjNL+7p5N8S0g6tpjCYH+pJupggxBDk8ppuo7A1kmUEbo
PQ2VcvcO5ttVRtG+0UPsH6VTyR9ssfIDOxcyemC/d5mX7e2sjd/SOtG7Atov+bltUn2vWpBh+HOb
dTpMwbXwm/Hepd/cFV3+M2CnrX94OROWMWz0fSkIbd+GRmmj+ysyQIS2E+6IbdpNXneFg4NITcMz
2Vs77bGag6PjIDSdzNzYRaV3Y3RRdSi9oHtxgsr7kQiHz08YTv4eGki3s3KTIJk0TscfC1zvrVN+
d8LkJImQH0l7bYoQI65H9pk0oPOOVYe/Jr3ypsi9gW85MIuIi0NB9bqpkHathspmG8gk8ZbAznDr
xSNdQ0Z01R7TUsygxo/Kb/1cFJ8R/umr1hDWqXK7R2zzHsLYxr21dEXvIhXxeNIpyOt2o4J43bSt
a731w4a9ypTF/d6dJkhohUxemm4yTug32lOeSLybWX/lJ1GEUM9BxcDsiNa/DI8wovRagLJUqyDR
0QfuTvEMytc9V1FjXwK38T/KkR0CsAQlvvrJaa8yNnovBYuZK95wnqcik82n5Q6UYV8PqGHyDVSu
Yj2x99oCavzi3sMttXgzV2kPH7VKljAS1gZDBhdvNaduh7BCwukgP4AXSuQPdia5GGff24RuZ7z0
sFDJT0srZi64fssuMRfVSXMgF6ba0Pvy1AOpETK0atX3ClBzMFjxWQn/yWXDjEnHzB6JRWlpMuk0
2zm0XkckCIdOukg1bZ3dEGof0+svkCYHo9KqlkO20eSPD1hBN5KV4jZT4afkJWFxmZfq2jT7+EhA
3Yo33biUrZFdhmL2fjAeCL6NvYnNf7Cyp2mU6ckNfecRfmDF7mv0KgQfAjF7SYGBuAful/CEvXEK
uyago+7KH43d3NCaMTcjNX3HTSWvZ2vKdvHgjNcsnLtwxRyQywlI9jcS1mW1GQn82ImM18yLTWMj
6rx7m1VYnCHIlPesjPWZzGZ3Nw0Ae60x/lHZS0EBW6ictH5KypGLPWMnXIvgrOop3gwqCfdQyvNv
JoDm65Bn1y6D3xm16oC6owrjgOBpI7i1ZtNeLHkW0wNzRsuBD97YM43sGfEZ07qbYnOtyQL6jvGc
esdTojoItcCIRhigY53czl3xvTHHE3ggunraTDjCYlcXA+M3qzy4FdZzhOCPYSU2+PzkscyXlDsy
4MXmT2f1f1CCW8up9mfNGKeeNGzOaVOBsMJM+ddTz9cUykXDccAunXqvB0JkrMoS1ge/jjnjtrSA
TpIRGtnkL+mYAsEvqrq+BkMAeTTwc6BgQHa/oH10mzzM07PXW4z7CWeiRw6s/AWXUb1r9BBZW6D1
drZt29rwVyxIoXH//DwnPz/boEos+5jzuQBktJwLg5rIqRx6y8bqD2zx7Z8/dW3DzPvLczct+o4l
RQPXp8Pl83cn/iRadHRJYOxNxawvBf6ZJdaDcMc3BhXUgwVWCoWUHupsp9GA8x7v3H4EaFTVZa4p
zlXNpHiGvI/aAzgLSKFhwzi5/2RRGjyGGa5uXQ2HZfBVWTOgLtnVby6q4wJv+J7kz5OEfL1Okuh7
VY34wmYzux07tz6iF6w2xHKR32c24UlWWQbhJ+mrbVIn1jHH4OzgHTPaLa+jXPtDEm96p4/2yhuz
204P3htRTfkbTJl+Nzhp/iHJbbzGi1RdIx8Pd+FA5Vq0g35hIO4fnQyG37R4B/ij3jECjV5i0wpP
Yz+AxPVaiMv4vPfY0eZ94QzWBavZdAyYzpDEZrf+Lmhl8DARKwTYGITEmh97QH+XhLvE9sz9YtLZ
JTqdt6lFO8QdxNSybvz6qZUK16bllU9suL1NxYb/CzhCsInaJFmoP9jWShWf0SwEzhonmnoSrZI3
3uyKB6tBd40eF7jsjDnos8J48+SIAqyqLvLbEBDIrZsoOFULQoOtXHjxK6M+INw7QgTbtNDsNkze
4bGw6mlXujPRhw3DcDcOWXLdDws4OEzBQoU2okT0y+MGDVz90Emiu9DcsOctTPlhYxl4LHybKZWf
fgPJN5DuNCsCq9sGnTZjVnzqlmwvc92Ge7AH4zkntOySucCm2RtHF9Y0CDVqDf6qNnEnrYIMr5hR
9+VFl4N/g4ymvHPQdFZ7mBDTQWVOulG2lW/reui2Xj8nt90QFlcO66RN2ORoEQKrPOEv8O5w98tj
WuF1HfSRvL81EX83kyQAkJ16NaDkFsF0NTaOwAijiaXgmlhPHFXNcmYFINN3rBSqgxWY4V2GUeDL
XU64fjnrUsj4xVAzUQSOssoR7+/nnwcjjiAOSU4Ke9MtJ2e9nKFuHXLOpBGp0S2bvnYN3NSDQsHJ
Oy5ncC3t8ZQPBWduKavpBfSWu4NhwIlukmzQ66o4z4bZvSm0XZuCnEO0KbiHs58XQ7zcEXq5LczU
bBGuL3cI079IHDT6qGjNaowryPBK2n9PTC3SObPSj5NRqJumTG0QUsu9hmTMalcuQ3+1b7BNnERP
3kKz3JNdjQ8n/nmD5mXgfgxYWLkq+J1mgiCj8gxlr+cMbTOoRT7Rcn7ogq+sf17ps4FOPZhgvW7o
zvudmVWafU/DW6R/Vg3TUkAIKol5KSkYM1FcJNiPMW1pxYibugOnw8r3wgonSdhiQkmhpvmiG8/I
/stN6onx6CsYPi2Lqn1J6UP3m8XHuOtku+pc7C1mz+IkxzBGF5gmyZWSTXwkOKK9ioNMPoeFY1+3
jXLv88kE71HjYd2hNPU+q5kt2Yik7TsC/v42aqbom+hiePFoqRqQht1iOQvFRvi1GDfQFSO0Fqyd
VqgY4OsIqzvUguwHaroJrjtS+CW4UapbwGDhqfTLDLRhj8uzZBPwMdb9i+FgnvAY7aLrsgy1A4hn
4hDuw0cmu+42pms44rsKEMTFTk/kLzKuVdngysL9LW7VjPtOO6P9kMWFc0tmnVrjYub3I4uKR2x2
rFEIV0mPlvif1J1Zc9vWum1/EVLAQv9KEiRIiRJFNZb1grIiGz2w0De//o6l5O5jZzep83Bu3fOS
SspWJIEksL75zTlmmvW7kqIRqkFHL+PBK8EW+XPWnR1JUbMzTn7IwVJ/n/11+N2sK5VgWmnL4kAa
m3vg2zZhbsxe5IkNLuOCgfNASymfYtq+0pPrSOxWraed/GacQpS7+QTK2vnskQP6Qrn7QxprOvwc
77IS8X0yC8pA51orDuTUYW+sWO64aJ7zkCwif8tMh7C1jh6/Mduyf4+xUr3Joe8CHdRG4Nc5UTEn
eicgQ2deKeygLyvnRrDWiDdA2Aoe5Xr6oDVFs6nMAphdjSGWhfjiWJeUXyOi6nVrO6hDtXRUNTP5
dw0ZsIe8hAKUgi+TelbD9O+bQPVUvdZdbp3GpRvOLAkmrgNmyokOTr7YXY+uYPdMR4zXBB4H9gB3
srMpfOdENPVHyZpjmWuKUMlCMyDBdju6re3xaZ84lFcZQCOMr8uBOw8H6yjX2ZekBJTr8oX6D/Fq
NcYQjkMhv0y2nX3BZdB+zz9X4XQmhmO/wmbRXyhWIDeVZbZztK36TC7/HrKfwpjOoP3m2QlytDiV
r/xcvI+zbyK61Y5+0+IEOnpOz3NXreqxtCHi9zILjJaEfKrxPtXVcn+eNFKfauEv2tQ6xI6XTVu3
Vsf6FdrhZpoHEkj4BQYgSwcSH7CpjEXcpm2Z3siF4t6bQZkNHGU7YA+PAyFVZoQxxwe/NfPOu60+
3QrgobLH6tPDsE6slzJlbCAcKnH8YnbwP30PWmQDI3SVHQJ/a/oNFLqFfU628LuxTWQkJtHniug4
DXB6qaPutx6/KMu2TGMvzjhynztdElatuwaTMmjIaJ0ZnExTia/LcfZ9cUgV4g3UnUv7i+K+RQoB
Bw9y2dvkX/emMbhvZMONA+yxbBN5Wj4gaC58attFZwteJVm/kXV3zArYVdFwXl39h1oxsFKPjG/9
qLn3BBZ4PMqnLnctHGmsJ64ibhdCSGm6fmRYqqH3eC8lSiONFDzbV0XIm8Z2Onh6022WxJwPuiLp
pTj4X/p4bujYUaS9ph1bbkljv4stIR+kG+EZ4FHC+xvURv+EPLE+OXREym2ue8OWWsJb/ZPpVyu8
X1HV4pwxsm+0KHbOOKjFw/AJA7TI9lQH0m7aI2q7eTGNavph5e9Rt+6qCeLpRsRr4tzTOmqFbZpz
LNKqc4m5zdIbBxGsiNxNBbTQSQfCqoplaCvWXGl/LGQ4s73/CUDUFtbEk+8aO4klv1ecRA6ENz3g
RFsfwP281esVRQ93K4a2phLZj8yO73IFXfRaqT+4dtR85f3Fw0thGicFbKSYRr7qnxRHMMaavdV4
zh5YhwxfV7ubniEVmV8jPbe/OPiot/AmrWOnWJE8CRII8/AjvSQzIKAUsAMVXRIKxxFUFO46N3U3
wzwkDwQZnOuiKJXk5daNpui8UN+prM8ca+tWdGWHHr6CleepO7+yFoUEVNWGuaU0MwmpfSiPBZnB
wGKPT37Cnx8hqQHU0qAzLIVr7WfS6aFFfSfbY06ySxEtwZgC1uMMiQ2JBnmona2pRxeblfsRoNq8
jwv4TLkwkudWAUFH0YN6VpBQz2r9MC6KhHR+SjYwjagx5megm0FxRkfZZ6/w6FWAYIYKXKXlNaYH
ttrQz77uR/XA9ahqPhhG/lyQKT1RCjoc8khyIMtZ7AzQIUmlONaTjw8yWAdZn7JPQmqnYKn2H9zU
gq6tbdnlfALzSueGvRK23Drsgzf8KPW298thRNoly7ZElfmyVCnoAbIev1O1YYYJ5o5DZJbAAHra
bjU4UGElcPD0FRU4hpdnNE3V3M2mqWHRn9tku3PSEUYUnStsu+zN322EGbjIxxj+oJFEgGzwWot8
NgOy5ZhYPWubuBRIFmz/Tyh81Y7jw5W5fCv8YuLalnhmoA+X5yQXgFCm0d2hE6xBOtugL0TqMpt7
eQG1xna5BJFxnNra+CDAAHRHdNWPhNow9GIsH54JDrHRIgPYU0RIpIK59SGKOv9apSA9NsAKoqul
jTApOWhfmFX6GyulP1RfHJQlYg0EdzVr3PZsQ76WjgnHQhb1DY3PGfOfzEKJ8zgEJFMccL00t5VZ
dWFHJ5OcOUrORMQxO/krmYDMOPAJM597xrVLr2WUsRNkCNIS7SMh/WPoMWuhLL+phX2au3DxuJ5D
5X/tmmGLb967imr08Ye62QslvdYRLGJx66adh8dHs4/RlF1i05mGv9vE/atRmCC2R1hC94Xu/4V8
NGWViCLWnwdtWbrAtjLn95aUfLpp7MpTpTTMv2YxxzToVgTbW9zV9S5JpPZAlGx5dzCXtEFh2UlA
1w6EwljplWg6JrA17E/G1khWgK/Vp8KpO4Ndb7wZgXCpHe+U2rUl8WFNtrb9H1Ht/zfp8Y7x2aXI
C/TvNfnnvv/Wfvu3PYx87R+SvGf8pls0HfJ/dByH7CKa+J92VJKOeFQFO3F6qQkm/kOQNwg6ciL3
PcvElUoI8h+CvPB+4w+IP3quibyvvuq/Iciz2/4neYZlN9I+hCV0Kahhv0pTSbTI1mbzf4gzuywo
iXOmdavbtQZ2x7W/IVqxNWRwY0mZ69ynOFyhiCwO8A8LiWWy3enWJ+TBVo2cRET+ixq9ZyJou2oE
zOi63NkSpymOLhiP9yQdeqq3UuIzWR9D2PbXinDw6NnrUVsY07eem+pX8iTmvuqblYAT6mrRWH2Y
VfSQbcDiJpvMGWbylFOoVbL9HrfjwoYrHyLVQIfF3Te8O72nyinmk6i0c5Ac7tDsS4GuZvVlGnR9
5t0QWkQ3TCifbIxMOySZ6X9kyim+sZtF3xvUfx/qZdDpZUnT+1w6zYFXxt2V5pwT6Oun9aQZqdjB
k2FwW92KIGQR1ym+0fYbhYP8oFPMqaL06GLcxOOCTRV5Q2woqvUeSPDEO6eR9WX0LPmul0VzB1v/
1lqdNyKM57XmQZNbRUh/++04Mpjby0PCGLi1reHCMxt8scSZZLn93mzTw+rE7XHyoBLta6QHVXRY
yrP05gmZIkcr7qG+zVCXx0jfGVb6IOrsps3Z5UkPWG8EBQWGVI1yrnaBzFy0R4zcSkRNx5a2nBeq
Ed/YNNjHbPXkZe2MocY7rzlPhZU1pzZbunB2NP08J0nRQMg2493i9dhbhcKVOeXshmPXuGERD+Pz
aNoOpn9QxeQb1hG4sWbc6q6nHWtCEL93Zh8BEbPpleadxj65mtwvU+GIG0zUE4pLQozT4YoEEQ0W
H3QttIHOuxJDYa3W0thuD2gN1RsxJ+ferT2dQUrP3ltZf+1Z+X/1/dU9gPfIryX8iQs4FOeFjqhi
I9NEv63Sxr3NiiHeNYaTcECcb6N6jm9Hfa72bWNqoa9P+YFyZfEAZACMyUxrH1U/1BShUXSYiKPh
DiBXfi5mC9pbkYuZ82xpQDjGF4vtK3NfcAkCZev8KTnSZrw8Ur4HVnrqjAsgCo5G+DDHbwSnp1OU
c0wzWRgdxnzt36Yymm4jqn9CHMzmE8qJlmxAUk33ppa1bwV4jJbezLVrtuOs2bSm6Tmw0Wgq8e/h
pek2ZGm1IMfaC5518iSntHw+QOPk21S2M11GxylfLDRKghcYy7cNZmZ6WdmIsBkbTbShGHi/2bF7
cTMRBVqqe/fcLqg3yqHx3lEM4ZNktYrL1K/97UijywVaAftwgQD3iHvPOFl534FlAaH5Ow/L+F7v
MT9gK89wm7VNxxnFVWsFw9VuOPbw5J4M9Cq+aZXdi9Wk001pcTzPhoBCuSroC6PY4eGfQ/dTvuuV
kucpTc9zLeheSufj6EiLVafUP+9TCPSVJiiySOzdmoiLoRRD/VM7VCpipfTEBFLcm00vECIj9aLm
VizP8lOCZOiKnoy2FO+GUiixIivLJKqlXQHTSpWSmSpN000NPluLUjqjuJgePKV+LrY9Ke0LTRQq
J/La4gSG24eAZdvQrcfkNmfREfpKVe1drblQKVheUvw9L43mTC+60mEnU/V9rXMtQrx62qO7DOKe
3aj9ApuZYcKQU3bDpNJt0t5le6X03qYyzR9VTuq6Nib5YtdsFTU5ty+p0orxHiAbF0pBhuPp7DOl
KgulL+tKaaZjtaNSpkV+1jqUaATMaE/IF3naVEp1nVfmbVxSE7AoHdtTirZBYxY6T4bfqB38VyhE
7r7pxHBt/Da68J/RUSqFPFVaealUc3ogmjvhdMPdqDT1xcUrZBmifBND6r/5Hse+Qanw5ALgyShl
Ps+cPig/5XpPc9GqlIZvfMr5NqGeE07W4QRGit2e0v1RS8uLVLuAjKWAwKlByUt3kmpf4PJUK6P6
TX6uEpbBvcbEu2O1ZfASN36C9jx+rzr2SU7LqNu3U0XP34B1JnBAwrsbvUhYXrTWNO21xXRicuWm
vJUY3Ler2ni0Qx1vsXHziYQuH9oZgXq86oSCX9ulPdlgBc9GPYYlyamNm8Zn0FptyK06oLyGvrAM
ydOXJRSn1mi3xsxAhTgN4paDr20Wp9ykD2zDa1Ii1g2Vx0aLaSvvs+KYDPRfbmMDT3k7Q+NP2vYN
cAJ35qGG/+tNJn5jdrfTY0uDCqwT9GPRTDbE+XK8mlprl/Cgaz+cDbkEJVEsZLnZ30zZlaQx75ty
6C6MqPJdDnQyRFi73wFalqdZcnnoJLIBc5Um71hpnZNOmrsF0tnO6KrlxpgEBhyCDlSProdqEsUr
hJ2PnIdWUUbfEvDx4VSCKPcqLexrdq5WvG3sOjpCiqi3s6WZ1w6B+EQDmP5oLWMHsFyj2TVxq6Wn
3ctGr7YTipCIzxh7Wo1RyIWu/Zij1jkZAlAlnw/WUJ4cQnOlLBmGT/0Bh3gMPSHdUy/kCpvVzqEV
V5coNwBaFwD+4rGMHnkBSq6pgELf5K33zRML5q+uSbASz9mOv2jCDpyNg9TX+lKYlX7bpWn5OrE5
CsYkltCPCSvKPc1zXSicnjAwqUj/B/Vw5jbSNOpsAe9S8EJ0HfOaN6WB4VWgop0qpY0dR9XVhVGd
BslsjWE1kwRglwaE4qD5VX3lfJFWZ/rPNPxkZUFEj9vANjnqnbHCqqdUaLr357k9TX5bPBDJT7+X
3HGWTWKpeOzMUroznfTZhKUTZBx3t9j4jKfOHYv9LCrWuPCFzLCMknRvZmzOtTrVA8JYUP3oLgz1
MhUBCzN5hSh2r5EDrCSS2Nx2x7ae690wk7v2dObVnqPFtmvyeNt20/wxpfP8Y5Lio0vt9s0lcu/I
EUnBpuHt3tdiJxzWoQ9XN023lD5Nt66pplGpjzfIhC1OQVBnLoEy2h94PHX6YJ7MxnsS61RCpsFj
LgZNtZVUHesckrskGOKdXdjVPqGM4IaO7Om+NyLtgD1KewT31R8m23DIRlcO5LIl+gBHae75jMaH
Cmc3L8NQPjFt0ZJpevGF0j0KJdax32tZaWydpHAeYzeGh1jx6NxmYs1YMPWIsWL04xPl4COLXEBJ
7ew270Y2zoGnyehCIm4IsN9hKeAWtam7zAYdnuZbrYjMIG6gMkSUuabbyaN3JgEuaAckFJGMc5Bl
DPuTGySRnuyz3o1IB+WThruztm5cagtRV2crLGfHeIx6PwEzodvnQRNRaLMrOeTLZLwAI8Omg/ku
zFHpj2kR1RcXmjvik7MK4qy6lr7aaduHzZTLq26a/W4W0I0IU7tQBlaLVIeiBjnIdTs6zURgTV5+
So3SC92oH7i1yOqHV+Xe2ens4nnMKxo2+koPGhbs4Zpb9tFvFgv1NdJZzkpjZ+WRz6OGsASQK0Cy
EPzm207vH2y9o/tF6rc59d6BV7RftKgm+UCZxLhoX6txSjZmXNvPZlUA8/fadpfWDC3SoUVTksU/
STvpAxjlhJ1mC3PQoIiRzlDiVeKNgbpd9lQYoMw5T2T4kG/iPuI3wOragkn6G7uwsFQ48GcLgWH+
OqcpY9VPBmUsF4Rh9DQJYZUSVzDtfIfY4gK6Bf8u7KzeZdWkPTe+mJ88KsFeMdXIe5Gs8Y1H/9VX
2q0zhGYO+PQsiPiQDIt8mk0EFZ2V4y53c1iXra9dWHqLhA9tSgUsazLoIL6ldMlIpK/YzTQ6OIoK
gyhm4YMcXSuAwXfjean2O51c8c7U5vqeQEMXUsT9QomjQRZJ2kHU+MarGAb3pjfY5GVkgdHLQbOi
Ptp3FgsyekLM1t6Vjbce28R13zipxwdgE5gEsulbPdqXoR8eLU4oVCZV9C36YtlhDFgeqJkm3pWv
tykYKE7gHjF33WhByuVjQnVCMbd0tupxa3+IvmGXRIskcNel5FAYjJpRf1lFWYidTL2cW2zijLeE
rqkihj6MlIQz86Guu/G+K9ZM25NXjs4Lktp3e9DTD5T6EXSF5gZEwQXhnXzxN1rSYMNyTD2ol9G5
sfpBC22RR7uOPqOGdSxt2egy+vx97ObXjhQzIFY73ePXKfY2YIT9SO/CxpGfa6c1PUeT7VHjU7Y9
oq5NQoPagA5Bdk3vVyqa9rhCxImUk3NJ9ZbAnTmP6ZUPus/qYJ6OVPaNxxXY4obYUveDeg+OguU0
zfgnlCI0cF6gWZ4GX3frGVp9i/qX3Y+fR+7i8/iNqKXd8BTmUJ7JqQu4kGKvM8tD75+S5N5UJ3nz
81APc8I4Id9z0qdmG4KcOv9PmteTtWAmoHPOV7vp9A6CikAXjgEpddlk7GXtd0+4c+obfDLMGsTE
eYFaNYKYn9PIoAYTeGDThfU400qkBpepTXhY42pFCl/8JjCHRgvYj3ZQRtXI432OPzQuV5L2E3fe
eq1jnObW9oPFouAJoY03rq+AFzGm6G9QEgUxPwRldML+Ys1tdli8BQy1p+attVkfZWuR9dHkVSPQ
E0qNC2Zqsr6WA+myGg0cliFLffp40vXkUqhxMyYMaVYbUdg2ZCTmE49j2MbjddgmsW58EWRktoCg
zIvvTe5Lw2uw0FrKyJir4TH/nCOhGOdouT1KAUOmhdl7O31Ons7nFOqrgVQaZn5o1JA6qHGVnGl8
2zDBSjXKpmqoLdV4yw+pBl1G3lYNv2QRR0VLh0CqRmNbi72vldV8nQFNvjtqgB7UKL2qobpS47X3
OWmvauhO1Pjtq0F8+ZzJCzWel2pQH9XI3qvhfVZjPJ3JTPStGu4rNeavauDPuEmXUc+fjkAkNsOn
MpArkWBQcoGthAPRD/7feLIMkiP/4obK2VAo1QaH+683VBrA48WaF++AI+lxfTVfm2/aa3Od7roH
PPLVvVbc/aQOXv64V/8cxLCUy+svt3B6NlkQWTS3s836y3ec0Avg1aXRAep19M4mOKUe1sqWu3xO
V7HlYChv2qVh9Un0KXk37LUPpBXRo2JAGKLmIY32FMMvdDq4HBDphzF5JIlauvqB0IX2peul84QR
hTu3U9UTTneLgHHQ50sbzk3dwH5q85NTrfORBzMfN9SBDZbg6zCvHmkxLWZ2LvFJWgZJ825qbrza
Xt8wRkRHWo/IFSpXLo1y2jM4mPYWOnmOdXykVb4YjPVm5Hz3mPjO+s2a0iwHbjxPO9bH7YsVm+rj
WIriy99cVLL8v15UCyHdMhyySQSFMCr/+jJ2Pvz5sVG9RL1n4U1Njz0UkMBeiD1gyuNa+aZ90S3F
viayLrZ2OpCMI4z0tfOShBq72o0/lnGYTmVhLXgbje7iIcq+cr6rX0zqygYyp8GgU8fMGXi6YgJI
2atqMuejmZkEWt0lD/Ue7WAT9RlEZIc8yanz4qoO+oWfyvTFyAE5WqFWEehuODo4mAPI5tof5AV4
NGWfj6n185FFtJrHV6KeZL56pv2PiPX/Fkv4/2E0zSBKpeJhP71zVP7tz1zb3beSNuGnNpXUI/zC
jPjHl/2h0/viN9MUjmHoHhXAlgIF/qnT+8ZvBrOfQG7nz5HqkeP/tM4L6zfbdhwibXyJ55jiJ6Ve
/EbkSrdw4wNv8rDl/3eUerySv77TPR30ocXExLtc2Dwx/2KklFWuaYuF+8KKLAywn4zMyQvLkaoI
w59f2RnEINaSYmt3OeSAuv8+C/El87xXWucQ1RvkPruZPvqFxXAOrCjoZ2fYaZpBdR2NB4+51Lsb
d4wxkpA23q2jwdazyR4cqn12kxjxJ3RkfeJY3rkyF5suXdRyyX6tfdnQWLdca0v/TjT5Yiycz4rY
7raVn1kbGLwf3ALusNpAQ6y15i2pqQ+0GfWBKi/OhmsY8V3j8S3tilBb61uQpyBseoUPLp34AuXL
pw/N1uCsLhRxmllFT6BrUk9grSepEeNOqsidN9K1EDb0YnnBrvikp/m3KWkJyPQUdo/YYc8aidUA
VxBBs3pot5yDh00mrOEKqeyQt7l1KwlFHUVuD/s1WmoScb6WbxojpRjSHZZ52mS2Mfww6ATrlhjV
rjXdB7bJHJRlEiRNlx+WzgbtrzXV2c3wKmozrnezibXQsVr3lHSCZnHCDBj6oIcDWpMnWjmcdxbF
b+3sJzQXQLGV09ipRS7/VpnynUOUdo6cUT/6Ez6hFFkPnINtnde8HQAl1t8zo6ekwW/c+5Zj114R
NzhrGCwc9Br7q8tZHeYk1hi/aU8NnY1Xr1s/6FZLtzUsrvupGPJXIGWvlgcEgY0jz0E/0zdlx1qi
yYdA1jQgrAs9T/lY/EhhjaFUIsj1Bc1cI3997Ysl2U/omAHB3lPtOrwBWDCHuoStDZzrKXWcJ7en
f8rjhonCMqdPuFM75g86iNXUf8aBVFw5SdO4Uo75ds19E3NT0m17aT27ZhYFbqwxnGbNF96v/vdZ
r3ooKVV5t6Lh7Mo+KbEIdE+RFj0lC62ygOc3+tq9ZCtxOeQW/9BBtNqApv1aVLMeZlhcDFsSf+6J
RFM70SEO1f0LAPOKt6h3HRf/aZ2zC03HvGf5vG9HVJEN6rfJ0nbU/cM8d3F0zkzRtIdy7TFYRynP
iHhp5UWVKAMqZm5K2rwgRC9whFlkwcvUkPTWDu193HfjidNBGvLcB0GZJNzO/O6A7+k86FmUbBlg
zRu7qrMrBXLeQUhKDkmuvRhoSo9kYOLTBHgvNPoYUoHlQKzLxCFPx/KlQOHc8lKNwQQoud/kGTRx
f9Cir20tYf3lorkFjBGf1mVyMKMx0WHbs1tg+xFoE+pOdnFdEQ6YV//OKa35gREXHx0ZjIBRFP9t
55w4Q5j3jB3dDvg2/Vb+lD5MBk+xRXrDvZ6tJVOnQ+fb4odpv0IjnNw69PQMlU2uxkOU9/Nu0JTJ
L5nrfY9zdIuH092ODs2RYN9hkDjSS0OR2FVB0yyEB8DHDpV22vBl6XzneYgHN0RrjL4UqqVC091s
b496dkgtNzlmbgNRxrXTZz+VzW1cNyRHE3sV12I1tDu/bKHy+EX2ha7vL3rSskRzFCo5rkLZzRfZ
j+I7esN4TSdn2mlpxzBgjg4xUoysZDG0jet38h2/w/Qd4HJ570pzOvmg5cK+9ygdiSQjtFvkewPo
sGcV8k5rvZtIw9TiOkyYOqtINWuXi1lvPa25gfgj+OSmZrbDxRHt5Ji4N1ZRZpdpjeRtZPTZfUIk
CYvOcDs46Xgorb75UhEe3QiYPnfkYodtsrT6bkjBoZQK+Q/QLHsecaPuCUWt1yhZH2ZMrDvh4eGq
lyk9ymx44DmkHWkib/a2bsfvbV0COy+0J6xcesDmhS2iqPr7Ogd5gixBaXzlEUsQ6S3TWn5tqOB+
sOliQNWGotMyN2LwgIVg0ouyozV0QR0k2H2k8mXY9ZQd7CIApwe9zdvbWetV3rqBAF9CqaGNjrtw
an8nh13t2NYYW8v3H5AWfk+xNG+jDIqF5bNim2n0DMD84IYnGBVQPsnthbqUXV0Bs7VqnorqZxCI
DEGcTpipe3rsPDbP24LJJoij1T/D9RXQYGCxqBRmPL1raHnZBmWlfRLS+2F3maoM5+5rhN6kKk+E
dz+aeDeQL/GxQSqYrmJKhv3o5drG1tDFkcrPbN+zF/o9HNrEbSqT1uQFjyhT1lSQY7Laauto/teV
lea+8eVHPfOGcrriaWw4BGbzMu2qQr9bR0AcCGBbnnbZc9e34jggDG9b9UoDxo725hiLjVdy6+n9
6qMS6/vg1m8jOBIu6sr2u6DXJ6DKAA9TXqWnOYovadK0Zw84BQBH8UBtKH0+uMG3tNGKnUfam7or
5DUrQ97txrx9ovMENl8XA/vo+zI05/qbrnEXcqj5jVgGOr39vlQinCz7owTzwZBuVNvUtD/+355k
/7eGRU3ynf/xrPuYEmUpfz7q/vklf/pRPM6lwLIt2yGH+ekg+fOc63m/KSrBP/tRMJ0YAquJT2GI
Ydugwv7Lj+L+ptACnJnd/wtv+G/4UYxfZ2THx5/JT0VGFEMg2BL7L4fcCBxyNeGTCy0EkxOWO4AF
dXq24Huho0wuXRKr3FnKNYxfeX5Opzw+4ZfzNw0Hip2BFWVTitGjAbmjD7yX7rUqh/lYU210BquV
/I2ni+P9T+PnP/+8SmX4SZYFAMVE7y1G6KfFFHI8L5HIdTIKVbTTJRkCAX7m7Jd6dPhpfPkXagI4
u7/51n+RE6RjlbKV5hKmccfRa+4zvKaNtycBVQfZoNW71S9oq2VDvcmFfT+PrBydxi93WGXjbSbt
NlzWyiZYTsy25ty4cdvknmDxcBSSq+eY831hRvEZbX7Bz18T52srPeyAZUmAam2RPueZbmMWaTTZ
biSt56+EQBYMoM3UXOqkJLfDnPE4mnp8m7N3p6JyToNCivJU+np9tmHmnlv4cl+TAaOKgYZ2mxqF
CBZOwPtWcrKrfl/GRD8WVXzQ+gx3m5+Mu3gy9GdrquejO1bToTALDyxwnO4zd/g9a30WJH4thldo
l/ohoddhv9YsITJWuQErvPpQi+zZdqJ7yl0emky26Bu7qdBecWv4N32RlTBs/S8dBheyXkqWsfTd
ktA6mK3xuSyhScoYDoW3ZC10hPRgTkRQR8/9xrpw3VFIjXjoZydafTX2Osv9rCf2nvNtj5AAcE4j
+MI+ep73IMIFi5v0ro5Wcz+3esiaBU/NfMLdHe3iVu5G2raFRsMqPhvHiEjWmnqzz3IaX2SsGOKr
GMFaehSTTZKQwUxRLo1pdcAvljCkyf5ot47+NsUtAYuYszUGlB7druSUNvjmiU8NwPjhJkI9hVQu
xr1M5qd51MaHuZzZ4pQWURtn2MfWJEM90Z6Map4Cwow+XGZek6Sm68gfYjMYTbO49ROLrVNmAPBw
oiNbSv3Qp0l0hO3O3lCAbWtqGtOyFK4wLLB0N87m+kR9NkneONDqceSEXR5XswWSllDAlva8m2fb
1PYgSOim8nzoZ/mw3Exxom/ntE8P+li+U0fz1OeIar6wkUA9yHrek677u84Z8LIXXEubp9LGycfQ
MdG78wY4QuXCKiMgSJhpwI7rU+Ez+nZo82qq8PnBsV+qqsu3Ld1znBmhfJnFkO00kG+k0LId6i71
4K6XHRoWQkal6zdaDCzBUeoXMR4YgrJ3b5Za5o94zrQd4djDPFmPoJzmXe7NGqe+RIeskt05Hj1x
MB6FGk77bZ/p827RxEGbQHKRCgksB2yVwLVl02WMferYlN41ZZuwoaTuqZ/TG1uSv+pZczWGJEu9
7iZ3DObuZS2ae7cxuq2rD1dMpd4z9Pt0D1on4NAIdpVlJB6yc5uLHT6Dp05rAzH7+yYpfwebFPQr
9Y2gjcdtI7pkS4z0jvNtcjBWuPZZ88CZ6qS1xv3sxqcsqsS5dBpNYP1f3D3VfFW9qc26wypj2Fz3
Sn+cu4WsVyGuWkc9J/sp8Nf+OP8+QnCnlqYFfStYUH1LCroldX6tI9Amm5fKR/6YBrb5USOLPVZ6
7BTJUGznxqzCVqYVwzu0ZTmwyG3L3H7wOJaQFIdjlunNEBZanJwAMLZUJMMrBqu95e433Sz6NDy1
CP97RjgMLaSEDhzyurAoXNwVFDTot4Y7M4A3Q3ttgGRcGIBkmNbsuzEN8xezGpMRB61tX7T6LdS6
e7ksp1ZQZWg7+dNSZf0pZ7vOW9B6GagnYtPq5lsyGiCjBTKjBuL7ThDW3+peRCkpizEqhybOoDk7
H5yG6TFWhcmZRhxai9M0cPUR42Pd2a/0Np3caOV+l1nbcvWysMIQuEMsXsN2cjH+G/UPl5FGJ/Jx
sBGzthr12mHnp19NrWWTl0YPpLYqfMQRa64OqYP9GZOjhnmnlFl1t7b29W+eY78KuJ9PUA+2BPlg
A3SR76on7E9PUK+u8EV3K83rY+ky9llCU0d4zIgqdYhZiIVjY+SP/Sr7MEdUwUTFpysZqStnNm5u
/KkHI93Vrw6otod8giSTJy13PkLd1Z3truDBDD3dZWMRh2nUV6FgXg9awjO7rtJPbYPv3JWgbsDo
bLS+q7dlWz7wc7BFgiT9n39f5af9ryXAP/+6f9GrIUnAe8xtg7B6F13Bc3Lcppx6B1dt/cOX/W8Z
U7+yNv78Vq4O8YN/IE7+ZWVsTDj/2Y8ZEBDcH72L7rzY1hs+rWrX2vL1P/9ef8m4//N344j68+uo
pSAhZigOIYlLsve2+cUkrX7MpvjDSOEbNU7eXwb4RrD4xBr22mzuRC5p8wRmffYzmJq8ktQV9ofC
aeZ91g39aYj4wMfzUAJo5iXMbSg8xH7tnVjIHetZUtHxRgMBdav832pSLx0Mn1k9qDEK6DuLZ/d/
/j3/1evn2YI9INZDDr0KtvXT29Wg0MjQ8s4Ia79+qNPSIWLIMjZN7L/5Rsav2K4/LujP3+kvR2Ek
kSrRRWz+H/bOo8ltJIvWvwgdMJkwy0dPFsuyrDYIlQy8SZiE+fXvg7pnRtKoRzGbF/EiZjObnqoS
SRC4ee453znoqAeQGAZUiQDjoeOlYmnuvrs2BckjpJVVsEwKNYiBzX9+rctH9tO1ysRPuyy1aqw2
xfLV/e61ZgXhX4PnyMFVklW6G6JPOHbG6OYad4k2KBztVZ795rL91Qv/4c/+NFPbHatesxqcgyEk
twGWJF5G5nZoSL8kjWmcymm8CeE03lHsW229oct+88J/+U/gQ4YqRwUNULifbkq5aY1tjUB3II7S
QASwN2Tvrv3ADTnNSqrVa/cW5hrzpuN+4K6vdv/5nf/FVzf4/u//dJfo6UMAPBuJQ5f3H5w2GSF7
hc6pUEh0kxH9uRP62xvFclL4+XNGHpR8xpaNpvPTq42HxGg6drwH6dC0Zg2wZZM27Lb/+TX94pvD
+/mvv/LTa2od09E5IZRD0Y3WauAFsmYVpGXd+jcf36/+0vJSTEx9nFb/7cZXB32JmGIe5nAAju9b
L7kbHPne/uYV/fIy+f4P/XTP4/zRd2HeCL6dtfclGSgxwLawD3qfINzUOxeapIn3AMqKb9UyKNs1
ku5/flt/cWQWJvsvvqKmTZ269dN9IozHQXlJ6BzItdWHeWj0Yw146YgDzDnUzvhU1UG2iXSEWgmQ
e0H/0RCrchMSh/HR8JIMYd/g6cB0UV5lUfGCsZUVTmI/p41b/ebA7Pz7xSZM6rMCEPnLv1j+dBkY
dC2GxdzwT4v6Kyyh4PRiM9nDvDVRwebrMXDHbd2bh76NR6g7dCJxCDV2yQhmj4wb/Gdwq5tGl/Rj
leE2pTKb9hIOOoaFKD6qr3U9REdTLRxiR1xZnqYOiw3YSk90qdYGcdd6rpit6gUDl3+xE9PCna2K
telqcaar988R5/8ZDfT/V6GKvSzOCocP+O9DVNdfIrBmHyemqC/fYKbf6uD++YP/3Mx60gQmJilf
W1JP/Mo/E1R+AB+U/St4gz/zUPyXf2xm3T/INDkB9mX2sh7P039pVvIP0zZB8bBHRWj2WB3/F5qV
7fz4nKRrwGXL67Ahdn3BL1vSWt8/J5GaKScsPPfQBI2IDpyrMC37zjw2LGaT+DOA4fzUucCcj0St
sLBZk89JfCBNu4uC0HlSFK0dy851MwyIGeVTRQJ2fk1CYFR7oMfOU9B6Dh6wwaSc2pDdnSNLhFoP
919PsYhIg0NbgaLZm5Ov6rNpoIxMFLmupYziaOuHXfTYgh0wV9rIu3XfW8ZjYPUYPHoPlQR0DtF/
n0JNOoTXqvQfzLnhWO6YN9NUUcqS1Wopd9TNJzAGNSFjdhwK80oUnU36NDrs7tZ8lli68w0eS76M
fe7vxZwXB69viltlJ0QUpD9uIjk7B3qQ2OUI8hKlQUnompA6RV2xEzz6VeDvBysbiC6BfkmnQlO5
g40O9gI3gj6g/Th2keiFXT9rKpP7B6I5tbdSbfVgBQYCw1ADat5WNMWaZ9sOE3Zj5aDvacMkh4sn
Q+CHSkDH7CmLwd03DnlET1+pRmrNrHCsN5HBQmM1VSmxg8iaIF3keGOse2w4wXTbAJQp7y1hsgyc
TRU2h4zDWHjkRG3Nx97s3PQU6iEAUpqGFtxr+Kszynycv2qqrzmN4uGz2QP5vs+qzxYgp2hfmICm
t7rfhW6r97RhxZ/NColpXdRFsC+b3nqWId5s6B9RtKPD5GsQjFe9gczGGGifqwb42MoxjYMxosJ5
OOdWMXHrYSyxt6oB/lg3FsG10wxoQyq5t5LM3JF+RfnLw3RcKWkOe3qG2s9Oob1DZRtxsk/0nFib
vDIxiLJ/e5Q4b+FNeyzHcJF1/iW3jOk8hMlSLp7ITdJ2ORbpSW16J4DMzeIQ7KhTnUyPLdPSybY1
E//UNxPWO/A1j2GJDUmrSp5cFq/kFeCClpZ5G3EAzqq2vUwiTdYxnTG3NFuEeOCHCLnR6QUdfw0F
BjxZPSz3lO9FtMQN+XmZZTf8rgYRIy/ODZy7DP+oSB65WvurynQsWtVsll2rKUjS4xRlQ00LUb/B
uwcng6fSMdJDdhv4oX7r+GxByVQhuklkjzgPpoFmqtVsDDCoaDxbFYX3POLkv1cTquJAywGC7/wM
PC/5jGIzbBvfqy9FH9G5QfyC9z2d9i5C5JtH/dSRItr+uu6mL1XfQzoBTFFs/THkpGtAcnU5/Wav
tTG4l6GaLADeceZ9qKfOgj5SuOI45JqDOmZ/vBHsv1zD7rdSq35nKqIscwBkqBllvi4wBeKCpehV
NFF+AF9zMjEhcYcpxmtXgi8IzZZVWhvld1HgqFPLaf+kpji4jRwV4ufSYffnnP+/x+JvSNp/PRYZ
+f/+sXjzMeKpWH7+xVORn/vrqSj/gNlD4alYpj9XuhzP/nwqBtTc4GQSIDZNikq5pL9/KvLU40AT
uPa3fQ3j2T96UmnACcDk++7ypOVX/ldPRVSGH04VuKHwX+Oi4vdBgMb1+NMxLsNOUTktrEw/inLq
bZpKH9NWtzfIdCXuAqTN2mI+n2yr33DoQKnUfrGVoxFt8Us/ubo1dlQsUaPhpWw4utaiQiJKuG1R
gkaUNoneaGXA65xUkbxzS5Osm1ncQJ4WNG0G8x1GHhaXoZ9fT1EOgFHFT7RDVTys0HfbURdrHE5y
FU/yke9yvOr7obhFKkY0G6Y+fKwHSLn7QE6Kfj1vVvAViIYGKza8GBRcr54ITcZhD7eaxsi9SS41
hbUsqjfDgsOyUTqqINdZ5ZPjxf4bgblTmy9MRRvLpUfredLRBuq4m5o5eK06j8CgSYEd3chnw+H0
NxUWMKneeajH7hzXzSWEXLauK9qoKVg7GSij6xmvyTbjdk6GFuQNpNSJ2wTZllnoq7CpABvUvEXJ
JHf0IeyGErkz5Q4MfLIg1T240adYy+FEJELsjGjZsHgQvaspxfQUWAisiRm8hY1WV2nOdu4w+tV0
k8DRuYnFRDdp3svNCMaVZNcZjdvdEMIy9soc84+jkN418BsL8I+/hwZULnQebkc2SUkjvWCIJa/d
BPi2enhRQLgW35HQ97phqzTY3MWHus8vvqJmWjnZS0+Wb7T4b7C06oPtVKwyRPHe6fC+B5nkloVD
21v4lYw23MSqCO4izUokjb3qjRhmToA22LaVjeViTrnz4c/e2rmrCwrcZjwBQW7d5v1S/GnrQ93j
SZsKFlbD3OwGIzsIyKqglIZjSWhShuWxwSm07mXKz6NuQdBYZ4l8H4anrtV6b8Qh2tCAGx751jbx
kEWP4RzNt+hG1a5y7AjcH8eyFpe5H9v9Juhq55wSXWNdnt2IstvHIdg+qiLMbQ3qcz2mDYwKewI9
8wx2O76OVX9yjEzE63gozM9Ewr52gg1U4KY7y7E2o++uyil9zIibn/qe/Y6u6xWaYbQx5vRgTP29
AQZ2G7Xt+EQmQR5tDUe3d8R2qmGMk0GKDjSoxBeCMA+xoyFL49+IWkHuC/f0Gm8OpNoh3jHrfABE
AqQxhOAzRUa69zsR4q7w+aVIVI9OUT04mRIx9j3Rb9IipmcyDynWa3Eu7yF5RLejy5Q7PSsfCg50
mvJuaAxj3Wl9DbUbFPzA++C/ZYZYR/l0k6c10f9+hHWNHdmYzYdpjB+HaGiu+NRSM852VVg9Z+XF
VDmLNC9wDrBGcpIfU7rt8G8kKStlLZsbEI4kbsGLznq6rih1H1vzCSSLz2YUv0Nh0wrfpEdFk0+T
1+aTnTTJGnC4XLFTttslf9GuC3+w9oopu5TWRxEayZWZt/M69s5FfFtn+Yku4GOB1s2OlRtap9w3
DabT5A6WbEUf+JfALRcwjjL4xrqQv4Fz9uBPwobsNO1zkq86lvZ25wdZvgB8vXTYcfgnYqgAHRU4
x51mOhQCV/ZN6aU+KAcl89WMPWne2MEog4PFiis9lTg46hdctWyHbZnVRHJK0huHKmp0dLZzkyUM
DnXKPPqOMuEtbY2MTLDEAIybkUGUDvf0RGxiGlW0LWY5c7FISY0y0QicIMBUq72vOodQurav/WiU
tLB61i4PHMT3VFgPLduEjFx7WJh7RS4u37I/8unywjNJrVeNZ1Izum78AEEYKNUcG9u+yIm4LcWM
+drT2nyd8zwBBkA5MM+JKU2D9dhYyjqTMrAfAJPxvpTqniotwEVpOmzNdqrXBIwPkPdM1sXdU6fP
7kxOLgrNa88P6mtBNGJld0a4nqhnZuedLCThfkn1k+wB8wxzr6rZQAoPp6lOP9SAWnZTOnyyShoS
/cZZ+8Fk34WmGm6qjvut2zbvifeeKyM4TRxJeHZM9kZ3wXB2KiVWMN6ZDqt7wtYPaYW9bsz9Oysc
Qna0nkv4uDG3vRJkp9zRPeRVCPo1cU4Qvh7Ap2bUkVrO2eCK3Jpz/SmHg7R8RtEqnQhZNvFwx0X2
NFt18lUKcAM0J4MPzav5KsVbxwkItyPlptMmtdT0NaishQAaVbWzbpvOTNm4JXQlfJtn/jf9/Wb6
o5JiUej+fvS76z/3n+IvTTN9P/z99WN/OXgoJISpK0xwLQgsEIP+Mfl58g82aSaVq6zUfqpScf/w
hI0ewoKVIc9e1Px/VKmYf2BU4/TK1AiAwQn+q4JDJJfv1GQgv6gtvnBNtBeIx+xIflRDJOUJZl/3
aksl2lsI769l44RpnGRZTssKvQIL/CvwztiaP333Tt39KVl/H7H5UTb/9z+9aI/fLSxswhdZZraK
NBIhwShuM46U86HOwvdBWf6fl/Dfyub28kr+pZt7wrNNxlp/kX5cIVBgf/xzaajBDgjwexozxilS
HJGC1KNz0Lcz8jOA3aI03fNJq22e91RBe9qjXoOma+32r9Qu4baYo2eIgndT513LdGTzmctVZ4Yv
SoV0QCtaUhNALRYwrN+J17/459OrA9zUw9MFa+ibwej7d6spWs/VavFqdNXBoycDNmVnYGbQYqJQ
cpZoKROEv8wZ7ygcSS4ilLc2LtCNhlq+Mnv1msGdWae++WaI8hw7Ys9y8z3yeCziLjl2ioLGceD/
axfssMulWSoaAPtXccmNclLHSNnmo1GaPGcQ0g/o0JtJRytvviccuU6BHGoZPwiZHqJpeG8zCWyW
yCYLwTEkUxMl2T1Viw91Pl2E+jw1AqPxuPowJjAEvAmZonMK77pqAiyPFg3x6GX9EQUJzH67kH19
XswIvU00lrPHjBA9upl5XzJZM+fxlx1kozOGhOljWnSUx0LA2Y90p1/Z0PxXAh+Dt0KcXLgqfXI7
NTwRRD6og+ll0Q7BbdxIkgsngZx39v1sxqyatnecpgXVVG15Ytvsf3BM20OZSqpbnzI/WF6IEKvS
dT9g/A22cojt91rO+kvdd+ZJW1eDHQ83gznTY2D6wIdSJ6t2nA/nU9nzJ0wXOUaX1s4ovfpzkqSf
k6hyjwOHwrUNzmFH9uTeaHFsVVMMXCZ/S/z4pKigi7RrU4KuSJAQGbNafqBOwwTuQgjDoGjVteXb
27GvHslxl7/ZQtncgH74OvlwdZe7Bw56zwZ/tax1vrse6ROxFFKIte1z3F5s3PBsrWvVxdm69KN6
73LresStMZ7nuDc+LKOxWtW+oi0gUdUZgfhptPV6pu3mCn+I/2Us/elCOUy+p6W8XbtBazLCVtkL
ILj+2htD8+v/HmrfVPnfPNSQNEyL8N13d+t/S2D9n6Yv/77D5J+/4C9tw/tjuSkF2EpZtQdyUTD+
0jYsnnDcqwJ2AT9C0+zgDzjzfNm4mREJ9JZ+3X9IG+4fqCGwkjz+F+kDhf6/EPzxTvx4pVIuzFZB
cs/necnF+vPKrS/dVDvx2B8TKa1rmVfdx9qIgl03entc/P6xmnXTbvMuDM4EGuD4guwZT24XcYbL
OcyLbROoqtwIQCOvTaFrvXJnkFIsvh/QVDe0Ha5LYQtQBHh5wpmaRrTvkKFtWAyug6XPlk/rK2Qp
YNpSjWqnZqRoOY7ik9Mab7MOsBw15FjViCCNnZJzvR3eEcmxzl4GiIKTen8JVQW4XpuqQlSBn5sA
A0ADVda8ixMlNTwscDhzos9x13Nmzyy9y9AgD4GjH3LZRuSFLC0ItMjoMfey8kUJgxrZvizudAkF
eGUMbf/cqMrBWTTjTi8ZZYNGV9c8+cQmiyBDd95yeICV7ux7rSCM4vJ6TgZxLjwqIplnLuRXZnuL
HoThoaF+XPEgWpVdiYfSH6n04qHZ3dmBbp954pVP3Jr7GTufF761sqpPkaMlocw4uWl9a9zCvyD9
UpbJnvcU4khg22TjaZVdpy2NDFJ6UD/q69bNYNb4kqpOGCgco0UpMLAu74oZ34CPre84RzTPEWDW
Y46tk0OMip6V11OCFg0YU7zkamwDei8gwpFY8fAVHrqkOEcARYlBOxyaNZhP4jdUV80sNIWdh/uR
QuN9WITRrml6KoYt8Ka5TUFXu+CwzPieDuJP9lhDFnWrGny1JW4amjp5oAAyISLI8aOS/gZK3i5R
s3GTJalPI6+s1RN69rzO2GOtNDZQzBXESgju9eHam6XeTZ7q3rRtJY8GIbVnlRblITRnM15XWgES
Gof0fm67xVYnyCN5frgWHmEv3Jw0ukaxd+fFVvpUmm0WLMVrdrLyg1CcEpZ6xHY6NzzPUV6toRXl
BI/Jr6zSIHXOdVFdAmJtO50LiwfolBWbEm6N5u0mkLTwH8jPKEMhAzp+YX6NE7OatyoCMLURwhAP
ZRyKHGRhEb0qkdv93vfD6RNBlu6uTnOwC2NREpKAXNCvnEboj3HajkekiaJdFbWbvAnDbQ9NKHxA
MZVp3o+Di/hU2O7RsuC/OyWPrhVMAKQjxxrCx861p1driHxg/LMdAhgyK3Zavgehz5mbzF2JKS3k
tl4WdzaF2tfDSDOdU+TeXs0imW+chI3DxW4qB++fmFS0w63kBC+6K9VxUvjXt3mAXxGFL7LVfhpB
AuSrPOoox1RtK81bf3lfsq2anTbYpTka42MbT2a+6pb2tpAP5dVuHXJ1Ew0rrP2PfUfguQNmveXX
iCsGeGi7mV9Mt9Y4luzhvFhbt/RxR/C9PAyy6ZCqjRUugyo0gYcuMb/SyzBtS6AE66G1aSU3ek0g
hWG1UZaNnbmlFXcK5xtYLyRwHMBW0yy6XZKRCV1FcpT4IdxBbJyg9y46GI9Yeq167S1jkoH2thVp
eGlTn2a0XL+w1aDYzy3PjUBV8gP52SpYlWpYh2NU7sEeFHvZBvZ6pKhuy920vI5spzy5XDYPhVMb
R5doDvtKimJzLMGkpAoMU9wUeled4wghiaUuxWyhf43EjcdHoNaVulDnPCZuYJsi/ix0m+99URYv
SSfLG+1k8tBrkkJRAKTBCOJ+JdFWbzO/9hBK+urBa0R105RjuxaZnLcsYohDjSzknqJ8vGQdmuTU
ZdFx6sHKKc9rTrUbU74TVJRHjI4BMTl9r6zUuSjaEXZRGem1F9nhzg3zhbgysNNCLFjpMFhDl+uv
Ve4SqwtjU23TSfaPMMjudN3sNdW10GElu6MmjbvbMM7bNbjgriEI72wk6aZK2nsNMTCa9APWDXAe
nnEpy/pL3yd32YACLUMr42HWdesybb1bUj/Ra+QT3qIMGNL1mJWvwgrqI0W1j0Jz/U94L2QRfs4t
/MGQd++MeTa/AKXmSgdyAGSnX1mD263MpfoLtNlXr+yu+gIztxoMPvkaPLBRZDy0QigZcw6TLgpl
A1CZRIMDzG43T1V7TmMDcndbLIpyNa4Hz2Nsn+T8avDv3qVpOG/jXKg9R5vhmmyabZKtGy6ZrC5u
hwiWs7VfB2aud/ZA8RXwQCKyzljeN23Sbi2PpUHtFvPN3GW9YKE4ygNl5AChscb3bBnZv6yFYFad
kHZ4LIT29EzBQbWanHC4CVibb13IOtsglvJTp5qvtXKcjdnTYju6obOL0eKQIQWCUKaLO9bL7oow
qH0aqW95rygIgs6TAlaLCBTcic6MNrnGrcqVsCxEDLOFq4O5E1MLT5QwVMPdNHoJ3P55PnLSj27q
rvugShWvJRPcVZga8zN2oWtZUjwQy+I6L70lJsBxowQFwhzx8t2M96sTufzpkIzhy+R0zBHZM23c
Ed/8QN9N9VXF2oXm7fjo2+jcm9AaCnfTJdV026LWP6E9CW6SgKyo3VIzXDCcPY+lMiaCGrn1uSd+
nZ4naBYWAV05HwwbHyKpQi6fdcXjnDyzOWAcjr2QfDu6aoH86lvxUfbIsbcje2IOOtk8PLeukz1M
nkkLAwWmrpZXdTL71/PcZ3exz9NQqBrOt5lCrkIi7Np3wwFwCjTOfVmqkde6zCZn5XmGlCv8RT68
W88droMwa4/D4E174P4lbExj3OUxHfazQ75dEpclCaqHlW8zldAAQW1zEHbP+MHqjYu3egUWMeHf
qLEadkzFK8uQ6c4befB1EFlXlZjZNg1I6Affpe68WMHl0bB6LRtz2ehTddqYNKKfPUHbOB0EEUdz
bXzxPW86ta3NlpnA64wwaxoPGYv87Vh18raYWueudeLoooZpS9gi2yUJflyrnBH+dWpVtySLJc3o
4Hlk58qX0oDYR9wRDj0ukB29KC3UL0B3tRlDoY38Syz9kvHtQ5lOVzroPladte/jGgpHa4qbOn3X
unnAS+GfqZ6xqP6awfOkafsQmxkgnIo3jkoxalhMihyqQRgHsgnJR0tJEqyEYla9Bw7TKAlZ9slN
TAvCauktvtOAsTyGwiPPpWyNByN/psSggvUpHXWcvYXXNdWt3tYRBgbivuVrOtGlYgIopOwX8Dw7
wZWcg5IMNedw5Smmzkh+8ioxPlREJL86HClv2o6Zd8fipYW7D3NlPvoQf0igaXo+P+fghF5zQaZ7
BQ0vwAgotLyp55okpYc4Pr4E88iyM6Co6ONETyn7y0LMF9gtNoHmmpAyh1SsAZYTxTd+3Tk3NKW4
7/BXADbUuie6SgjmXcdZm6wLKGzr0urknv5syidiT6/tInUvjmN0n5zcZgSzg+Jig7Yn9Am6eS9J
aK1z1UsOv3Fz3Vd9AMkrKaMPsvCjB1N04prSOkYKNTAo9AOIYowdW9c1/EeVLbMZ6OaPJArIpXrR
GFmHgc3KKRmIevBp4uRbtbmRPQylGsBJ+TU99OR6E3Od5bQ0rikQAB3F3RJeBG9lCkthhky1qh3Z
ntqQokZaWgPeTjtlbvDmeZsJP7wH8zy/8mwSX/rK7Q/Mbh0xGacSa6emi4pQuw1H2O9Ja0/UeZ9G
P6H4ZOit8tmVaXY9R5nganH7hygNgte+dazHpBDGTjVh9DAbSAR4Z5ryMvcqe7TmmU9XJTzbwFWZ
J9cf6IdVgpYg6bfeOc5yDTcmUHLrd0wdcVN1K6sY1NGgRQ0hS4vukneJ9zqFFFGEsaKs0ku5vTZ5
+TEW/kAWP6W1JpvGD40zNTHZtV6xBiv94mNrxvpiUZL0Go4eKSm70CHtg63tIwVSB39gSe58mDOE
Kx5rxhv5w/QhscLgY92q8dESY3lOXcfJVmNpI4DOpYV7PDU1PSMmAte3xjXqEWf3U+8KsPtGT6+M
M872uJV9RnzcqpJowNDTTR8oZTJQmmqYnWWYgjuwyzC7MiA+X4veG6hisfVnk/R8wpeu9V9IPzUd
M71tOFdVZkfdKrHN6BUWFFVbHHyTAgNm07B+5WnxBnWvuEgYgMchJBQnaJBnxdcLY9OKsAzWMmCW
Ww06aE/c9dp+Y056zEE6qgKG8jjYHyA2wN4ZWWq8T2lFgqkIc31dp3O3UnYIui/PvHYGT8eogfwX
XU0cF+udM3TeZ6rXLahxbn+KU7vJ9p5jz0AOYxtcAwabg4xG46lsZXzXuaX/Xo1Wd9EWj8rRIoXC
J5qNFEoEmIXWBckDvvOKi2TdRKV7nnWNARfAuLvKAK1ivuoiMC2+ENFdJ4P5sTMT43YCp43eZmJl
gIKdG1+7HqbXqmU9nrMTNeXNHADM4Jnh6GsW53SCxI7zHhnt1O645tUXsk/Z0VJumEEdU9FrCUQ6
4ITuRceeE8tXO9F6ExdRrjh94azaqMQb6bHSGc0PaaaeLdILwMrKsdjmFGJVK56iBNQzfwK+YrRj
RpZm7q7aJg1uUz8MHnh/ypuhs5hb2Wq9FWpgixoujg52THZNGE9R70DLFYYAvwOwwhZUbq1oGI8N
KujeKbgFbFJ0k3SdehXXY0pP5C3RwOQWJGt0UIYDuXUAF3NoSlz3a2DEOCLpuKOOPYbmUG3Kpgue
c6xjoNor78nC+PvOScipaBxPhKB7BeWXSyFpOBiPk7UG3TLeTc3wapvmRRudAjKniIL2Y1nd9rlp
QmHPxvigZ1t+pEDc4z9NeXeT4Pk6KgkktB7t9rVXTvt1jEwfL9tQ+RfwfcVlFmn0PFHuxqZQg5og
OxQjQnp+fBURTM52jNLGNdBcW1K7aZTHGI/FGrADvSfIraepdLrmlCU5rAq4HJpeq8Yfboi5Nrce
FVx4BNX84CbFuELJb49I9v6bZ5njhRI3b9xYowEClw7faGeNTn4smVibHfSHYjP3XJ1IvlPl3SqL
Vr2NiQ63nn097dlNOh/1VDbHXpnVjWktnVGBNy11oWIg1ylqRrC4BZO2CpQx3gEDL1ZJLodPHgCA
z1FNtQp4GdyMm6TXy8zLfeIjB2INmrDs6CCRLivZ0gBVMsoBgH2UTs8RDjkLrcsIKKgJoE2snDoe
iD/pjAFa8cXGo0mCDmK/r0DN992jkHkK6RPjDrMZ5NxoHxkUVVuWUNe+IcZ9roB59H4/vtaVE2Y4
ZIEBLiIT9806MSHvckN3rlQ3dlCfs4YxQHOWTvajEhMDhlfNSz9WjeMhtqutk9R4+8w8oA5HddGn
uZmdqxbx3tz6apyhpxSAdoFl+s1Vm+YUsDoDKcfT4sXD7EQJVAyWvpo+1BDD1mafFk+jCtQXmQ3+
0UTVeJFU8D2jbvTTStvYLgfTsI6VJbq96yIqTiXwm9ko+6+ZNUycqR0B6A9TUD6uVQsFkr64Fq1R
GnueSQpyIQxWbXKcK2wPoSCasgVe7MlPwovafuUGtXycsfJsywWIFlEF5tFPtZvy3NmWbTBf9DiZ
N/mAIEehaEUrWDsS+B7T6qF1g/BTNdf2CvyuuuQmJbeAjNt+ByLH4MQJKfhhRiPdtZCnXkRg6Bs0
yfERKl155PC5VL4blXmbeIO/Cco6vG5zU540X/jHqVuEUCOfDmQacf8kY/m18r3yVtqNfOSyZxRO
xclKWuc4WmH3GnVaXFHRMF95M+VCsXT6Yx8tLszOKfc27M7WkxeG8uZ+8EYMS1EkznHvVCBrE/fN
5JN7Dx0a5jlFYYfC3bAJZys7132Z3LXeBG4pEOBdC1qEBxulog3t6Ksv4qdwNPKDkPW2aHJnz3A3
AG/CqDY5sjl3dfdGM2S5V1k77IM4aLbwrbKN7wbMp7P/EnDDui7jejjKNvlkeQBq0DsyTM1pjZtV
rgZp9yc7ZtVCGC6/Cn26obsyXljdY/4hdYbyehYIkdShNQsTqj1UGZ0YXZoSkexIrPJ6WowgAudS
sMd3G6z/8zmOY8bPmjdkI8fEfC8sYVlgQH7czhjcf8uBOwkGocRm8FzmtKQMKAXqNR6NiO1YT3av
CMfk1A9xcYcvrPiYY3rfjJ3s7U0UAfBJ+nx8CmKHl5Z/mwitb9Nh8G1SJEnN1AjDdfokF52Yk41/
m36bLa2ucg4haXRsgDBu9863ERQJw/2YzIiJMgv8I4zap0hO/RGcPf6mEPktmye5MtKggjmzzLn6
28jrL9NvsczB7jIR+8tsTI6mi7f+zC09rfB5pNbAFL3M02Df9TomJbVp6kLugTwhjC0y3JoL0HjP
vw3m4zKjk0d034NlbreXCX6iouNNmTFjPQICI34dxPZ8ceGzvUk7rz8STjUh50ydMxJRUrxJssrl
TTdzJtkPZL1dfkTVr01Yu+VnI6Z9ahvLPvqKA7pSPNHcfarb7j0OnGG+h28ftLc+LB/3LjPBcW/z
uRge9FRxAqYfD7/TpLnBxUI/DyPW0hc92U20K9IACdJBDlAf8ap7YiNaQ76ozs7vgiDk0nOd/NVX
BFSdb5omRVLWu1eOJWZ8zs0vKEgLFbdzLrYejE9NHHL06P3oCWtqvyA7ouS1SxzKIQwtrmGCo6v4
2nzxm4hvShKP9/AAUrRrknj4ws3sSrBi3ThT5TBJOdHtUDUUbvlN9wCfcroyxtG57vOIeaCU+c4Z
81esgOY93bgnb7AQqhfdF3V6+lR/E4P12PGIMIzMjrcD95YHKkVRjvGSoiJ70jZRUBZt2RbK+0yc
xL+jJbV5wKpnvZijTr/kskb6Lyx5igIb3HpkmocIpvcWKnFJ6QONnAPdvuNvvnU/ZqUIlkgJatL0
iIH6PnGVn75zcaxA+8bTcLQoY6UOxppSEoki+E3UdFmsfudj+PPPCMG+zcLL4AQ/L14rVVt9ag5H
Di3wQWetcL81VBvOv3FM/PIPeQQbwM/gNfZ/+kNRAlhjqv8ve2fW2zaT9fmvEvTFXA0N7gtmuoHR
anmJ18RJbgh5Cfd956efHyUnkWTFfhK9L8YXIwTozmOHFItVp06d81+0euEWyD6M00ig3tLoWnIX
GUDRJ6/HrBe0HI1mlqoNPUH+RzF3qLoZRZBQMvJq4bYmlfniwsaIjLLlCG48uVHwhr7ry4fjdjrN
RYpc6IPuvixgOr1DKKgW+lBcK7G9RJRgkZTO59cf6+WkMOh0G4OROAmfqe0MIuLPcuwmdbWIqN2Z
XT7Vou4NTuG+RxluAoYHxBtitduxPgqLSlQoeCwUjqzlBG15a+ZpQQv/NxMfXn+cHcwOk8+AZSsj
By0CpQE0tH0vmYIlhsAGqAyAzC2EJaGaJbUQnDt4SYEUVHNz8fodXzydwboSgbgPjC0Z463tO0KW
7iQty/VFnCGzWBjBHeh13piB6MPrd3rxqoY7ISVr4WLJhLB2ZiAOtCEWs5GOmhpg7gztfWbGX9xC
EXVZt4ZIodMo3wRNdDFIp8xy9AWidfm00zGJ9AvzDfn5vc+h8hCkAKpm6jvPEdiQIukSY+YqJXRh
PBm0EzYjb6zXfXeh3w9CDZ94gFU7MyFzOUoFBIJFWcoSUBupnKJfbP9pTOWdmNDsBnUpBfDczl0a
xZeENNM0koRanTSi89ANHc3X38q+KQbr0CJNYvsgsm6/FbC5vWsakrZwPT+aJX1TntPTKM/joY36
x7cykPPiadAk4M/OBLBEB/loIUagQ2jlRSrJczr+xURjC3zjTnveDzUQ5hjyYfS9doF9ZqolhZQ5
8kINQcma63a+p8Ci/fMnUsAnAm5k/zNfaIDpXut2yEIussS47StqGwpN0hntQPGNje/FDmEQ4XC9
I+6ADUHzd/s12a4k4UAc9Qs9KaL0qulLJKqkOixnZSNTlgRAKELXwMj7rcjwAkEy3JnACkyS7ohm
7MxCR0UqVYgScSGpZjGNMxML0s66qfp27vkUhfwou81EKZq+PrT7HhgQKOScQYdcU3bmJY1xonhW
iQuwDGgeKr71EZUiuTtuKFDd+nmH7xhyWcLd67cdnmYrweBpwewQC4HuABHbAUq2ZIk4/NFwFzor
R0kiotyk6SAJwLrl9RkiSaBa0hr7WOzvUMfJXNyWXv8K+54c0I4OMFZmT9tNBuRU8yg06iifF3oP
xq3ysc6o9TtS3a8lOPeHdMDPvH7PPVEAqBDZjjEIhoMZ2p5eTd8bKaIV3SJrLEcY9QMIJ/CkEm3m
yL95/V4vtlEDiWlercyObfDZmcqJ3iRFGjTdQlfy4sRzO7oCnT6OW9osPY3f1++298k4vsI1UBlT
dRjtjaZegdh2xJkOwy+/6LR5otVpMosUt57Vpf/G5NkTdkygzCxU0FbE0+HJN+5l2DRku8xvF6Lr
ndOJH6eS/Ua43jM5tm4xPO7GLYBs22qBVM6ixVQ4R4hAgjgW18kbAXTfqG0+yc6omVaNjR5VjkVt
nQsVpxzVPEPB6fVXsyeyrHjoHBdMiSRuZ4lTtjTZyDOiNCZhqFDoykc9o85SDPiqukYGu4U+O618
O3zjznseb+vOO1PQ9wQlGZodCwmPpVpQjr38jfe0ZyqAlNCUQSuKrd8YvsHGe8pJ6MoaechF0IFT
azjiQlnIgzf2n313MTUQhuBfDBUK4/ZdQCRmmY6q96IoEf4WRPuqr9kXXn9Nb91kJyRaip9h/VAr
i9io1W8d7n2LXrGLNxK3PVHBIvyouDoi5EPc334Up4m7PI50eVGbiTAGEUSprRWE07zyURln1v/N
U23cb+cFaTo632LO/QoHLe0GVzPDbdw3ltHL3QQbDcBlksJRlYLUzvsROBEnOa2WRTmA++QB5oes
JL11LUrjT40qxzeeagJkwQUt/+Q2qvrG8ejlu8NJb+C1DhFJQWJme1QpanRBpqTqohqQhOWAKfRs
3OXfGMyXUWlQ7qL6wHSX5BensBRzLregy7jQo0uhqmZyq74xki9XLHfgGMkeBXKQdbX9IHhXRRH9
MBUWfB7O5CyaOYgpjDy1y9+408uotH2nnYmYpoJZYfulLmztjrYN+g9vDNb+RzEG9Q1SUw6t24+i
4tRe009Cel3IYLTTbgi7BU6AV68v233PQf5CAgGJRpV3kb8FqkIeZQxtgXZndRynSXkTiK4/KRzF
hAMKujIecJZRXrlv5Kp7Jh1l16EYpRhk+bvlhcCmO1/Sx1j0iHmi15AV7iR2lPjh9QfcexsyJFJ8
i9k9gKg3Q6xRutASDG5D5WzMkQJMS/rGGO69xRCOOHyzre/Oui6Psj7JHXVh5h9BO923sArfmA1v
3WL4+cZG4WM6jxexpy6KpIlRvq2SE81xrl8fqj1zAbkskyDEmVV8MRdUtNkgHhCHNGs2K52vlHj/
4jFkFJpF3gTLU9oJNDjySnWp5+qiHwDFOchiFxfu6euPsWflcJYjNVdxGIF5K2+PlQi6LgCVZCws
R/voWBf4V56l9Rvv/K2b7EQaWCpAbaE24syan0W+98kV2zEk5fCNEXv5TlD9UhVoJKYpyyvewOaL
N9pCMh0z4HTfVdXcsxxzjD/RPDLF+8r2ZtSfxKlronf7+hi+DNXclnLCEH3IUJWdF1WI8FLF4ba1
7eH3oWPxBkBsxuEACU1JvgEQaU5ev+XLEWVK6HAQTJhn1ot40OhRXVjoGy8637bOW1FPP8krKPgA
Cn/9Vi+zCG5lDUA+algc/3dia2Y0jpcFvrZQU0vE/aACdpjr2DBqTErdrmev3+7l4pWZiZqkr2qP
6m59zmk69HRKV1vQU8cMJgD7bgKC/4ubUDWDKQlCDBOw7VlfiS7oo7xSsR8tF7Ke4obqOUAT3tj3
Vkt0++g7kASBvxIkeJ5dbSjAwWkLQ5ktNk1jB8ddD2K/EwCC7aJgjppxfQLIrptaA+C/GaD/ykAC
8Js4ppAc0lDTKve+GMgCdZ0ZfzHUZIYk05TI2Vt25q3aC4Lp4H6zADZ5VgjyvWb62RtDsG9tbL7O
YXZtxGIbhrhBE4wlaU88+qGPqxf5R0Ti37pVbUmn3SYRf/73cOWHJO1yD4TPf7b/Wqz/7jwlA39p
6y/TFRHqqnrKu+sn5Kv4p2um6PCb//SHzyJnb9Op2HhVKnm/pwlPltEy/oBEzAfgFZtMYXC8z/94
TaUysKGivC5KxrPgP6t3TaUyoP0aCpKMw7uHsGuxEH+Ip4lH/IS6InFURvofRvBPLpV4pAAf43hE
+KFNDKD3x0g844EZxN9yaK1hd9lYH1STKSlT8OUPlSHthatVLmDKGksqNuHe98rQPxq5Nk9169a3
EbQSEREPO+RBatx8QONcpb3+1cBpt7K+uYMRqiQ4p9iYfA4qfU4wnEmI9vpnvZ+flI02prUArb8+
dxvxcybTty+dWdprc7/PsSQaJ649xYrlFBttvTJnYHGnfhafhX5+TLN9EejKlZ5rH1FKnjeZeqXa
0kc1Gcm6c9867qxLLYxlsxvceW/61p7aCLKpbkJ1SxyF5X0f3nQOaPwI2GVLsFSbcyM1gStEZ1Kq
fozV9nOqQPAq40sEmKboRM/DSB/5eTlBIuC270ITNx31ttAd1Jv9i8hWoRC5FlIjCPejbFkjZx9e
lY5xrKQF+BCt/lbm1i2QvS++ypA5ojpXbH2RCcEUrtiDUCqIIURnKhpVGzPv+aVu0q5XWe+LlzjU
+GiyScyaIaJvLPEuypEEFwV1CsViAv5tFBmwnJrsQuu6CyPH+s+FxBn0xlSocE/izbz+BVb1pq0v
gHARhWmaOoMcEhaR218AUR6E42TPngrxqE9T74zTxqwVgRrVnQYKwJUvMFLU55XdX/pZ/7mOPeVM
w5VpEemKNzJGTx0orFmv5/oYJxdvZkh2NLWTntpkfgwoFI0F0xEW4mAL3heg/rUwmuBSDlAgyLFJ
M5tw2ij4ZbfYCSeJrWF+DuQI69ARwHTUGwr5oQMmNIIFdFWhd9kXnoQWvnRHqebUNtpz00cOEwTh
Cd1YZ312+G+Ikb+NpFtR892EyaFBSSr5Wph8zJerMDlIauUfjpf1U+jtxMvnqzzHS+UI/atfQXFD
XGGIpCqFc3o6HDEpr23GS4pSFqdC8haY1uyjP6in4hHZuw5wBjVauicwWXfC42vhcpjHu/McKB/H
Db4JpbCdRpzvl0ji26E9bcDU+3DRddWdSYU8CdDA2RinfYt6Z99mQyA1kiRTN4ZeHH/dXlMODpdJ
ikj5FN+xWW3U112UHReBMYsTbdZb2ddI1JD/ubMwPzf6CydC+8VVvgDLGMlee9qG6Qw3reM3vtWQ
kWyOwOpb0R3ixMLXW3GON0ONnXqJpUeZPU3dDmdTmJd6U44b2ZhJgEl6ANOGEI1ZxzMziEfgHyed
rUYjG/44ttOoRr5xsAEh+vIbUTxGPkNhC2NXHI4kG8Evco1UoAtnT4u+cufwdRdOrKnX0LPsi9YF
EZ9qQniRhnWFk7jen3hJHI0RV8B2MKg52rnxNyGPtSu7lMJTBelg6sIYcRkx/qwVKJi4+Wa0DyGG
jDWEXz2Jz3UcF9BoRuhx1OHfImNugSL3VCEuya41KnDVzpJ+ksFriGXtXMyECVDLWarGEz8EgBOA
3nO9E124buTkGv2diQz0T81q8O0IPwBJwhZkhAvyiaPb8wpufaHLxwAQR1n+haPMAndraPb3QnwK
kwt6bKOcpKhkyupxYH2uq/quroJ0lHf4RKStsVDLzzZgAtSSAN4lc4UtLiqQTyidqx5yqOF/DLHh
6sV+bJIJR4Z9gvc65gz4GtjhWac1N1EdnyiKgSeBcqwjUTyuonKW+WY3G7xryIcm9MdxVYHqpubn
NZbfhfK9BaBuqtwzRDUKnrOSJeydd3jInsDMHBsx0GnUNqoQyLuH1GcZjn0tOc6LBnGpguHhNpY6
SbPmOsm1K94ntgvILJd6NOqbemJo7Uj284mU3bvGhRxnZzG4c89DghTKlihaJ6nKyqzNqehDZ/Nu
giY5FpCaSo0ZyMBljZehqt5j1/OtKB7gPY0cMxsFHMELlNat7tLL42MTw43INGbgf8eOXVQfUfxL
b7zS/uYYkXAObVSdGFVwIaR+cy33MHswscYCDur5JeSS5MFBvxG3GpxiOAmnvgstIHwqwJheyb2T
LC3FM0CYa8OisQdjM9tdGI16Y0iV/EkPYEYXjVN9RbgF3xXFcuYQnUCn6whEfY7SIMa7QrFRRoqh
H8oBVLaRDfHqBjuyaoZspzEpc4pWo7hpOxyCUr1dapCVj2MtQsOzRSHv3K3Zr5VKuYCurl/l1Nqv
Szl6VlT/oy1w/wFg6zjw2/1v67fmT8lgK1tsHx7e81ni1U1y7HKO8Nge3Z2NcThI8C+fN0b9aCUx
Dr6J9qlKgeXnQQJpIbq68PyIyha74899UeEcYUkihwUC9uCqS2b4vDHyIypb6DbrdOAlHf2IP9kY
pSHKbu4LgOTYFQ3KFIMaM5XZ7ShcubqBAOGgrdrk1F+BDnzJDMk5N2XUmWGk5O1X+JL3diDlTyh0
xd+aCqayju9yNVWLBhuBOsnBAgrWl1yqk5M6Sp2JZHrhoxY61d1qF/v/k/GNgy1nWrRsOGmSYfF/
ZEL2xvb/QjLkbPm4DLbm5N4LrKenybmU8yqbMIX5IRljqj2fc+UjCoEiucLQ6qBk+2t6DuZ1oCsp
AKECznT8lbcpMhqqQEIkgG4WuQZHjj/I28yVh8Kv+SkMlW6VRrm8k0WpYZkEUlC6x2FjRDMkhqEE
oULgWGMzjZCuUawYNLsQm/NqaNyLpWacoF0NpbzWcXRr0p69BB0bLZrg+5N/Rk4IGqJldp9TP7LU
ceyZcTrLgygIR9DwrGt8eoorIxDVdmz41D1HitHDDcKvzBHycVpLJCqKiCFk4Weyc1+btZAu6iRR
zwsqnCc4qTTL2u7i+9QNtAF/56fzJIqRCew16qns4AXOCg0F9m8IMDvJSEmstpt3YimimheGgEfR
n7PBhXeu6k+qVMK2zDd17wqZbmxEOHtntxpyejeVCX1FDyqEHdkc9K8ysg+XbSt1writ5aCGsY66
30wGODfsUK74NfO7QAEEL4C9ttCXvW5jr05GGi7sD74mtCeWH8EXqCj1a4IWTzOgajey5ld3KChq
lyipR9dGxDlQKFXrmKN/P6/FNoYQpRv2Wc1Bf4KdNWw4R2/JKBrBnJG1YV7ryJX7YDUgxI+FsHAt
jDT1GiBp0PSnqaAr3xsEYBGZdHpcICI0y8k3s6+9HKjYonUUMag22vk4giv0yVAHPlNFBnPpUk/9
iGhh24yslsLEqIKEPw9CD/FF36mbT4akC58zNOTZcRtD/ATbFINgS8+6YOohfnBp6ohDAVXP5nkP
L1eSURXAC9UpLjEYhVsPhzwyplFqW6e+EpRnfuzmGVKqZBaGn3nFQo0yK6dGHZffIjUQ8ommVsWT
A4z/VquTphkVagkR0iwFc2zYlXmOJTCuzngCh+GkpEU2DzK/sC40C2P7adn5MRhOq0bksxNCnBub
HmrHCMnxRJ36sIGUGYxX4yn2FVuduGGm2UhMxWk/1TPK12PBokswKrU8/Qb30v0CQTcZ6RHMkIsI
7YgaxRJ4ywxGGDXHsNgxSWNgEZnz1AipiaqGrDxWuFGLflTnXmsI8YIxp4jyJSoU+7vnp5Ci81C2
nwJbL48pd1bSA8m5GFGb1aUagprdM6VarUxmRq64UMNCWTqrLPzF0SgLzYXbNAXcSbdFrxLmyET0
Iv5eyIVwJgleEiBPRnlKTfrevyxdpN5Gags12W+66BOEIvURhQLva+sEtol9no1gXOwhYYBLtzbz
RcRcocnGzSJ1kYREvw4ZUNz56ARMSDFDFD2ToJTGteVUs84Su3Tk9p35ZNW03SdBYUHHM0INAndb
GldiZReLWq8H3yBsMG+E0CrurVwr7nw4+R/Vtu9nWlWUySRyW1Rh0tyqrwRBLe6aHJJ7rjXJad9L
GcIs4NimLQIq5Ii1XU/hKKJNJyRY/ckpzKQpaDa0fHq/Tu86mrGnsRRo7lT3daBdPnwo/A0czO2Q
T6BRz6xscDJq0O91NcTiaN3qU71I6gerD9sM2k9lWGPs2svzMAi7ax3LXHPQck3taah17RwzdW0O
S1Zc4ESPvKDMa/yaW0H/CGsRU3a5FLtzJM6F88pwnXOrgHKFL7JqXDdR6t3UtYCeZ1jr0kJssEdT
MSHHRq+pLwpH1hFzaWIB3+sq/jIIzE/rHoHbwraRfYEy6I2VyOkxYGxCaKj0YNDKE1Fp7VXT/xZ7
TXLhh7k2LTLsEX2rbRc4afePFXxlc9y5biLB/E0UdOPqjnfPSQnlD7Vx0q+ctwOofY6MdTSdOujG
rZFDoxTLT7wdqIAiPnEXStQUYzCKWXciQIIFQG8WijVPTD/BSBlcEdbZCpr2eBMm99gd67elWjEJ
wcNbMkoSmf9NSiCqa5BtsE3NclRl5EotNXThehmpn8Dn5FwakHrnMhamnwtf8oNr2UwiZBE6haBD
aTGbKMj2yaeuj23epGb4YVLg04gIc9oheyCHDU2PXERk4CLN0vzc6T3OIU1sdcEEKRPrY54Z4X3r
Ou53V8iTSVqI3q0j5wUspxC3hxFu2WhGZzZIFfQLjCmobSRgnNjwjlVUASD4JFl7otYZArxKZ4ew
jmqU77QaoboxklyQGn25LiZ4pDuT2rTbS9wxlR6FJCGY12iNLCTkwxEFrkJ13MLtaGeoc/hnSo7+
wlhOSoUaseIioXKRV21P7waTOU61Rd2fdT6CR1UUcfoWM1XEM0OP/HsDusYUiuJp03oNx/uw4l9B
b8+u0sQo7jApbRAvIONAa6XU4HsHqMcicwB730Es/YRlM1Ah8E/wR2pZHAOcn5dF2OujTgq/hmaO
Nak+1IiDbKCpxVZ44ioNAimSn0M3w7NJE0eEnZg4BDkwl64Vs72SJeR0oVL1jyG7ARu1V96GcWie
On3SooRsm2NsH8rr2K7q7yqbzxx+p3ICenVp5I0+sEhDbIUUjE3KoviktJqCaJCGug+SvWgNmdDy
kQW263GCT8ZlJUnKLMD2Emlyw0xP4O1FU73zKiqiEodEBelwlJU8Hxk/JSvPYicRJ1ZtB+ehRiCf
0vnK0pHUOkk3BsUDXaPE9DQYu7UgzQtAsv6opxu56D0cP6i2hIilNAriiqV/Cl1aPa3cimM0CMXi
C/xxPP602HzQOxv+lR6r2YUahSamwKJx7JdljKF4ats4TQryo8WEmdiFFGMJa6F+jhaFOo0ChNhF
rUw/iTF126bi9WMX6X6J0EEbRMqDHvdU3RFHkuEbH2OURR4kdILEaW41CZWoMh3q8tQ3UMO8zWSO
+ugmpJc6Wr7nce6jod0EvvOx0ArEgxID4pcmesVICAGMk3PJxreoVxB1TwbqnK4OksxwZZwnoHYu
XQEBxfAqNaJxCKcZMZS0lNhAk6r6ioqnwbEmM28EVamRHxdt56shBiidOF7dfhN0V/iGsE3ujfzS
px1h+frcRcPogmq7cmK1TfCd75tfwiLt7q2+QseuTzukL1ovD9NRnZvlrdU1EQLrBYoGE8XxEBrT
KfpfmZCYZwalm889vfqZkcXREtw/qUZa4NUxKgu7KUd2XsbwGTPFmfOqmjPJcfByQ886v/JyRc9I
X/TAR6s9JFLJSVuG07SihXpi+EKVzCt0ruxFmg+6OKbV6uEMwSHpY5Gm6p1sNOiIIjsSdDOvjmok
6HPTQWJJzs1TzzH6aIy0R1FOalxVXMQ8xF4ZV3JGGcnumvxrU3q5P8mRgk7GXh/a5x62CfgPlDr6
yfhN9+NE9solmmdsag00rmvY34x/YVYqVuoRfoZyG4WfVdXNrtMsRIkh5zx07XeqNaml2hkLNI5P
vUIzEd+qxCdPykxY/wiAylP23ZgAKFch8AEz1246VK/dqdeREoyavHBjPOz71JtI0KTVS6AVNd4o
taYeG7hLJpMgwGmX7S024YOyVdTnslekNsT4yHHGLWzIuS6V5jVelGmGTXRj9sich+p3PxIsbQKr
U/pkaUK39ExBfDTNsKqOk6ZnJw/yvKxIVn0s4bMqa9Nx6PvpNCxKFOjV0PkuY9d9XfapP+6sVPJm
5JiI+qimN+2NJL+qzLiY5EZOiIoLU591ZG3+RG0lGZEkDHFMcZBc1/XCXlpNJl+LMSnGlKwXomke
WVo4bakhBeTXyCWgFtaTo1X5wup5cKTb0TEU7Lid5hA/8pHKvjxhZlcSGkdislTgUsqXfu2EU7se
MFSp3F4mYoiIPEiuRh6JwLXRPchzeWxHmXtpQ2VeKIGJtJcYoSbRUdCSOAHJWT/KlQbqqMElnU++
p/KdgIymn9PGwM0zo3D5PQk9+RorNWxqQhFfhBCtpomABBMFu5aXnLfCcUkxdIoUVOqMbbj5sOid
XKSFVpbTqheZi6mH5q0mOik+uEJ+GqDTQYKPRMmxUErW905F2nxuC1ibn9NBFW5RpuIqCNRoGMXC
WWdrl3R5DmHUPkGLPH/oQoukuccB4JqdO3VGiuxZp6adxIu0FCnbtm2izEWhqMbgDdAhYg+ZOrmc
TXXZRSQg9o1+ofquDzLWqKZWAm+/6orqnC+tnqCYKX4hD0CCObDiGb4UisCiCRGWaOyegm6dUWU1
HG/S+kF1nagVzcEI+FGBmy8edJgceFcGmKSpBFnWGWlIvp2KkUw6pQX2FO2ne/JUay6yJqdYJBdT
pEKdb+grlvedCIYKmi/wcKeTg29OkRhXUDgL7C/UyD9pUBee90IU4U5Q4m/d2pcdGiBfMb1yrzQv
Z13KrREjnKe1J8jKNsdqGjqnup4GjLvunZhuaLk0lT0Q74Eo32V5D58LeU99yNAj9LxE0IEj4Lgg
r0vHJ5tF+uZeI8Qce6Sl04CFU5w3cVgxiRQOx3lNUV0W0AybOEoPWzCpSKLFyEtu8VwwZ6Rw+iWi
AOqN2ifKwtAL4RKrX2XawFjpRkhP1reZkAIOI/LKC90xzanR1u4tS8/+ig1qT2izsbU2LVCLo6Kq
0V0IY1xSYsQOThTbRTtJlXU0n00TTCZ8leBcExQ0djwX9SEKyhirx75/kYeZ0000MRImrgjdFaXF
rpjYlV/edDJG8FTR60tLcLQH1q50Kbm59QREsZhhEG5HI13uXMx1G1W6w9+TrF4K/IWW6f45Ta4S
f2c4NuOoJF55VSXDCzEjH8/3yp0gJRph1ZVhYm8J7UJOsYtEBK89FUIeNjC4yMgWYvzJSlSOp1qo
VHc5W53L3bJwhuIF1xTxpbLl0LwtUQ4ORl2VysUI4Ql9Bq4J7TBFbs+TRJAkdIoaWtSq4ca3ElIl
Mx1Bu8tElb8bHAbZlaH4F5O2EsqzTm0NcAdqPsVE2Yyvw1ZtPutsyrzLPkvMWVUn5SNaCN34f3I4
D1Mb4bFjBXW+URnmbTsRdR+lqL5ztYueLaWahJYvFuvW+H91qfG/oaL9/BX3wmN+9jyHn14mXlze
Ji8wNP/ol34U5fZf6E/wNi+MClffawX4ee0y4RK37Orx6d//khHfVzRKnDC71p9/fQiT2Hn+sSUd
yfRuQXPSv119NovG+7//S6TR7wbrD8bhgXNrOaCYHFqNWxX/waNpq5f+myHYucLGEFA1BUUGs3vv
EBjWgB2ioUwDYfWhv839NmbK3z3ePxmm197h0wrbNVhPygbo0X82CMvHyMOQqUDo4aHkTf+aB/qR
BpeQnjCdkucXvTEPDOVowDkN7Jz1IFB0fl+DgCzVALr8JzPh94OgsBh4RBic66ekIbM5CObRgKIH
SAaPffisB/0dzQQDWCh0ukOHQT6CLguO4sdUAH23OQyomQPjAIH5/zgm7LzHXwtioGuuV+kvtONv
osLONX4tCGlQZpfRch+6c8NnZy7oR5JowjYgVVt93t2CAE8+AHcPWxD6EW0vIJPSegx2BoH2FWhu
gid8gtXn3S0IOmsDuvmwQRhiH8r+dN221oFpHFl4PtC4Wz/8IEHyzmIiaKMDH17SjgiHGo7yNMRX
n60xYHO06BBiw/O8Dt7fDEAJ/8AxIEfS2f0ByaElNXy2Q4HJjxHlwKxhfaN3tB8A4tMPnf6SdATO
gQAwYCc2twHzCBPPwZN6ve2+o8d+Np46aNXz2IPgDwUyMCIvXzoTn7R4yLzWPx3mxDtb/DDVDk2I
JBWQDAx9sCl7B4FNkJXBuniv8f8XseCgySCLR88jsD8xlI8GmTkRJar3NwtQrzgw/kk8PeEdJudz
3ruTD+oEAhIuFUDU6vPuwiBiNs+5+t/ng0wBDSAQ1Hog0y83QlNlhpAmYF68HoT3lwzoTE/QMOsp
+vcDIRlHLAJdQ3dtez+wjoCHotGC1dHqs04+39G28BwMDh2AAR8Izxh04PN8304HDICFCIRxinw+
Pq2X3zsahwHXdWBIkHVqJng4MgnWL3s7JFgERKwaVhJiq5+/v7hIsefgiUC5gO0PXbb9cRFvcvg9
OjDR9Ri9u8IRaZ0Kj1I89JAgK0eQmJB7+HEO3I4MJMgauwPJ6PNkeX8rYuDTHrgkCAuwmjkJDbTc
zTxZwxYObg5A3/U0eH9r4XkaHBwUKBYDWGUH2JstmvIRHt2EBfHdJQiSgkDgge8fKz+A4RJw3e3X
T6SERqWKsOxXn/cXBdbkW0C+h+XIJn6FHATALK8fdGdbNI4oxSCApL3baAgJ89BBUKR1wYyj4W8G
ARS5jIrIu50Mz7Fgnbz9fZZINCTgg5vXn4vE21sCx2cKB+hm/kgf3l+6DHIB0uShuwLHBvZFGS0F
Nr3NXUEhOeBkjWvseqK8uz1xnS0rB4dF/Ujk5MF62JskWZybkNKF0LAeBnG9Cb2jbPl5HA7eHCml
UJIfOCR7M2aKzNQYBzHUnz9+Z/WkYUGgB3LoNqFg6Y7mHaosWwuCTjNW74O0w/OCeHcRYWiu6QMX
5qBtkoI6c4CnR6Bi/dkaBkM9Qj0NQo2MPtPweXfDwHqgHvzCN/lP+2uyQRdR4QSJid/qQ1K4ER+t
ob9G/KWyvv68x7RpWA8Hx0flCAlsBmHg7G8OwFBT1EXspN9rZ4XCLyIsh26QEs1m3r8MO/Pl86Ow
QmH1eQasFt472hgUECMHR0NWAYgKeIW/nnJjEpj0WAwmGa2l9SJ5f6tgoCAeGhIHkBF9VFQ/t6bA
EAtVVtiK4vhPN8N/MEF+YrSw3gofVxAu76nYUEl68xd+AJdeXuAZsTPAcuAM/KRfrn5xIJquL72G
Kgx//88WAGGFKtr44Q+U0eY/f37Al7fe+6V+/Mdj7ylf5g/oS6xgQ89fcyCE//tf/yd+dBEcucyX
j0+FuwWuWjWQf32hf/9r6+tuvPdXr18Uy2jzsusC5KGXHXnuMt+8LHsqm8ihlz1e5t0yXv640OpN
rssDB1/Zi5YP7jLcO9Lrw+ehtzhZRlH14X8so/R/fThdFm7kbY0Qnbqh6nnoXU6XeQwGMtgepHW/
8eBrM0/DnQuvWliHXvhsGRTu8rF5ekp/jMDq3a4D2KFXP18+ut3+NbQGph16g4tHj6+/+c2fu1qH
Xviyeqwe3Kc877Yujqym9OM/7GXI/8yCX1v6l1XsL+9/XGcFVlyXWg/91tdLfwk/Y7mFBX0GQh56
7RsvCLytgPW81R964dtl5IUfPi4fq80ReQZpHHrxT2WJVtSeIP4MBDv0+ndPRflh9BQ7y3Dr268R
Vode/XxJMCdglfnWHH9G8h169Xnlc/Vy83v/hEoefO1k6xv/PCUeel125Z9yiR+9h+Set7soQlRP
iu3neM7CD75fXsW/355+HvoOvc25h07ydjownCjXJ6lDL36bQ5HcnkHPFydRP/Tik+UfyLKtsqy/
j5uD8Nvwqn9869VOtarTDwW5Q5/kfBkP4/TjQhsX/y8YpvMnhxxn2W2tCt4CujxDyefQ7z55Cl3v
x2V+fXOVuszBl/653n4vT3rge31Ttejg67vLsvSKF7pIv1p8h47Sap9B4mZ3dv5qHBx6hxO2gt9e
/79gCt0+sbSc3Rz/Fzzm0O//TyWADnzX++PRB/aND78V2qX0SoMO6zo6EsjgYknyZpK377z5k/7y
8hT6g9ay759tH7GH33gIn5b5f/4vAAAA//8=</cx:binary>
              </cx:geoCache>
            </cx:geography>
          </cx:layoutPr>
        </cx:series>
      </cx:plotAreaRegion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12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213360</xdr:colOff>
      <xdr:row>8</xdr:row>
      <xdr:rowOff>118110</xdr:rowOff>
    </xdr:from>
    <xdr:to>
      <xdr:col>15</xdr:col>
      <xdr:colOff>518160</xdr:colOff>
      <xdr:row>23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27EB7F-9A86-7C0F-AAD3-D0E27659A0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22860</xdr:colOff>
      <xdr:row>23</xdr:row>
      <xdr:rowOff>148590</xdr:rowOff>
    </xdr:from>
    <xdr:to>
      <xdr:col>20</xdr:col>
      <xdr:colOff>7620</xdr:colOff>
      <xdr:row>65</xdr:row>
      <xdr:rowOff>175260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51814D86-ABD0-14C2-F9F5-A781333E7D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46420" y="4438650"/>
              <a:ext cx="7909560" cy="77076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E5DD6D-4149-4E59-A971-1C6CB23D633A}" name="Table7" displayName="Table7" ref="A2:E31" totalsRowShown="0" headerRowDxfId="8" dataDxfId="9">
  <tableColumns count="5">
    <tableColumn id="1" xr3:uid="{B44B3E25-AA3B-42F4-A44A-464EFDF83818}" name="S.No." dataDxfId="7"/>
    <tableColumn id="2" xr3:uid="{C9F35CF6-1F9A-4E12-8EA5-F0E218FE5819}" name="INDICATORS" dataDxfId="5"/>
    <tableColumn id="3" xr3:uid="{6950FA2C-2D46-44A9-9AFE-9C5B61FE5145}" name="COMPONENT" dataDxfId="6"/>
    <tableColumn id="4" xr3:uid="{08EF18A5-8D99-4853-9257-20C5A8C39EB4}" name="FUNCTIONAL RELATIONSHIP" dataDxfId="10"/>
    <tableColumn id="5" xr3:uid="{6B3A2122-BAB0-4306-9EE3-01BFB42ACA08}" name="CODE" dataDxfId="4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081EC56-4985-4B0E-A63F-4586EDD781AE}" name="Table8" displayName="Table8" ref="A4:D33" totalsRowShown="0" tableBorderDxfId="3">
  <autoFilter ref="A4:D33" xr:uid="{5081EC56-4985-4B0E-A63F-4586EDD781AE}"/>
  <tableColumns count="4">
    <tableColumn id="1" xr3:uid="{B0ACA9CF-7D50-45CA-A1BB-B5ED10992DFE}" name="S.No." dataDxfId="2"/>
    <tableColumn id="2" xr3:uid="{1FD1B1D2-4223-400D-AB9E-381DBC2E064D}" name="INDICATORS" dataDxfId="1"/>
    <tableColumn id="3" xr3:uid="{06AAFECC-1D5F-4A17-9849-54B5EE6F9E0D}" name="CODE" dataDxfId="0"/>
    <tableColumn id="4" xr3:uid="{AF2ABA53-BFDB-488A-A2E7-501F73EA8A85}" name="WEIGHT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5994177-A81C-4909-966A-E709A5088550}" name="Table6" displayName="Table6" ref="A2:F38" totalsRowShown="0" headerRowDxfId="11">
  <tableColumns count="6">
    <tableColumn id="1" xr3:uid="{781CB1B7-B7DB-438F-ABD0-DA3AF8322F06}" name="State Name" dataDxfId="13"/>
    <tableColumn id="2" xr3:uid="{99A2DA79-B18D-47C9-9DA1-E7CADDE4B042}" name="S.No." dataDxfId="12"/>
    <tableColumn id="3" xr3:uid="{4B602648-A592-48B0-A44F-B0BC3CBE78EA}" name="SI"/>
    <tableColumn id="4" xr3:uid="{7855F995-F891-4783-AD59-FA8D02151AB2}" name="ACI"/>
    <tableColumn id="5" xr3:uid="{3BE93F33-590F-475B-9F59-978753036756}" name="VI">
      <calculatedColumnFormula>(C3+(1-D3))/2</calculatedColumnFormula>
    </tableColumn>
    <tableColumn id="6" xr3:uid="{F5382626-24BA-4CF5-B52B-E07D7B64B554}" name="Rank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6A50E0-08B7-4866-9CD6-B4B2F6F6B4B0}" name="Table3" displayName="Table3" ref="K5:M41" totalsRowShown="0">
  <tableColumns count="3">
    <tableColumn id="1" xr3:uid="{6AC8C039-9328-46B3-8478-B437531DC469}" name="Rank" dataDxfId="19"/>
    <tableColumn id="2" xr3:uid="{21B4814D-0D33-4250-AE55-1B36669A5178}" name="State Name" dataDxfId="18"/>
    <tableColumn id="3" xr3:uid="{D2410867-0B9E-49F6-B8CA-A2958E8717EF}" name="VI"/>
  </tableColumns>
  <tableStyleInfo name="TableStyleLight1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54DA52-FF03-4F8A-A44E-FA039A5EDF61}" name="Table4" displayName="Table4" ref="F5:H41" totalsRowShown="0">
  <tableColumns count="3">
    <tableColumn id="1" xr3:uid="{97A0EC1E-96E4-4274-A08B-D0AF6B4B5CD5}" name="Rank" dataDxfId="15"/>
    <tableColumn id="2" xr3:uid="{B0CBA1BB-F860-49FA-AFA7-066F81D8087E}" name="State Name" dataDxfId="14"/>
    <tableColumn id="3" xr3:uid="{762F2EBA-1318-474F-B004-8675A355EAC4}" name="ACI"/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57AEF63-F94D-4165-A8D4-B589EB5AF75D}" name="Table5" displayName="Table5" ref="A5:C41" totalsRowShown="0">
  <tableColumns count="3">
    <tableColumn id="1" xr3:uid="{3AA114E9-2E2F-44B2-893E-C5199E412F15}" name="Rank" dataDxfId="17"/>
    <tableColumn id="2" xr3:uid="{35EA168E-D7F7-42FA-9EC4-934C60DF9DAF}" name="State Name" dataDxfId="16"/>
    <tableColumn id="3" xr3:uid="{C154D06C-CC35-4850-9966-19BB06A1F9DA}" name="SI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Red Orange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42F07-0130-40EE-8464-1DC36F2FBC9D}">
  <dimension ref="A2:O31"/>
  <sheetViews>
    <sheetView topLeftCell="A6" workbookViewId="0">
      <selection activeCell="E2" sqref="E2:E31"/>
    </sheetView>
  </sheetViews>
  <sheetFormatPr defaultRowHeight="14.4" x14ac:dyDescent="0.3"/>
  <cols>
    <col min="2" max="2" width="67.88671875" customWidth="1"/>
    <col min="3" max="3" width="16" customWidth="1"/>
    <col min="4" max="4" width="26.44140625" customWidth="1"/>
  </cols>
  <sheetData>
    <row r="2" spans="1:15" x14ac:dyDescent="0.3">
      <c r="A2" s="1" t="s">
        <v>31</v>
      </c>
      <c r="B2" s="2" t="s">
        <v>32</v>
      </c>
      <c r="C2" s="1" t="s">
        <v>33</v>
      </c>
      <c r="D2" s="1" t="s">
        <v>34</v>
      </c>
      <c r="E2" s="1" t="s">
        <v>78</v>
      </c>
    </row>
    <row r="3" spans="1:15" x14ac:dyDescent="0.3">
      <c r="A3" s="11">
        <v>1</v>
      </c>
      <c r="B3" s="21" t="s">
        <v>2</v>
      </c>
      <c r="C3" s="6" t="s">
        <v>0</v>
      </c>
      <c r="D3" s="6" t="s">
        <v>35</v>
      </c>
      <c r="E3" s="6" t="s">
        <v>79</v>
      </c>
    </row>
    <row r="4" spans="1:15" x14ac:dyDescent="0.3">
      <c r="A4" s="11">
        <v>2</v>
      </c>
      <c r="B4" s="21" t="s">
        <v>3</v>
      </c>
      <c r="C4" s="6" t="s">
        <v>0</v>
      </c>
      <c r="D4" s="6" t="s">
        <v>35</v>
      </c>
      <c r="E4" s="6" t="s">
        <v>80</v>
      </c>
    </row>
    <row r="5" spans="1:15" ht="15.6" x14ac:dyDescent="0.3">
      <c r="A5" s="11">
        <v>3</v>
      </c>
      <c r="B5" s="21" t="s">
        <v>4</v>
      </c>
      <c r="C5" s="6" t="s">
        <v>0</v>
      </c>
      <c r="D5" s="6" t="s">
        <v>35</v>
      </c>
      <c r="E5" s="6" t="s">
        <v>81</v>
      </c>
      <c r="G5" s="19" t="s">
        <v>179</v>
      </c>
    </row>
    <row r="6" spans="1:15" x14ac:dyDescent="0.3">
      <c r="A6" s="11">
        <v>4</v>
      </c>
      <c r="B6" s="21" t="s">
        <v>5</v>
      </c>
      <c r="C6" s="6" t="s">
        <v>0</v>
      </c>
      <c r="D6" s="6" t="s">
        <v>35</v>
      </c>
      <c r="E6" s="6" t="s">
        <v>82</v>
      </c>
    </row>
    <row r="7" spans="1:15" x14ac:dyDescent="0.3">
      <c r="A7" s="11">
        <v>5</v>
      </c>
      <c r="B7" s="21" t="s">
        <v>6</v>
      </c>
      <c r="C7" s="6" t="s">
        <v>0</v>
      </c>
      <c r="D7" s="6" t="s">
        <v>35</v>
      </c>
      <c r="E7" s="6" t="s">
        <v>83</v>
      </c>
      <c r="G7" s="3" t="s">
        <v>39</v>
      </c>
    </row>
    <row r="8" spans="1:15" x14ac:dyDescent="0.3">
      <c r="A8" s="11">
        <v>6</v>
      </c>
      <c r="B8" s="21" t="s">
        <v>7</v>
      </c>
      <c r="C8" s="6" t="s">
        <v>0</v>
      </c>
      <c r="D8" s="6" t="s">
        <v>35</v>
      </c>
      <c r="E8" s="6" t="s">
        <v>84</v>
      </c>
      <c r="G8" s="4" t="s">
        <v>37</v>
      </c>
    </row>
    <row r="9" spans="1:15" x14ac:dyDescent="0.3">
      <c r="A9" s="11">
        <v>7</v>
      </c>
      <c r="B9" s="21" t="s">
        <v>8</v>
      </c>
      <c r="C9" s="6" t="s">
        <v>1</v>
      </c>
      <c r="D9" s="6" t="s">
        <v>36</v>
      </c>
      <c r="E9" s="6" t="s">
        <v>85</v>
      </c>
    </row>
    <row r="10" spans="1:15" x14ac:dyDescent="0.3">
      <c r="A10" s="11">
        <v>8</v>
      </c>
      <c r="B10" s="21" t="s">
        <v>9</v>
      </c>
      <c r="C10" s="6" t="s">
        <v>1</v>
      </c>
      <c r="D10" s="6" t="s">
        <v>36</v>
      </c>
      <c r="E10" s="6" t="s">
        <v>86</v>
      </c>
      <c r="G10" s="3" t="s">
        <v>40</v>
      </c>
      <c r="I10" s="5"/>
      <c r="J10" s="5"/>
      <c r="K10" s="5"/>
      <c r="L10" s="5"/>
      <c r="M10" s="5"/>
      <c r="N10" s="5"/>
      <c r="O10" s="5"/>
    </row>
    <row r="11" spans="1:15" x14ac:dyDescent="0.3">
      <c r="A11" s="11">
        <v>9</v>
      </c>
      <c r="B11" s="21" t="s">
        <v>10</v>
      </c>
      <c r="C11" s="6" t="s">
        <v>1</v>
      </c>
      <c r="D11" s="6" t="s">
        <v>36</v>
      </c>
      <c r="E11" s="6" t="s">
        <v>87</v>
      </c>
      <c r="G11" s="4" t="s">
        <v>38</v>
      </c>
      <c r="H11" s="5"/>
      <c r="I11" s="5"/>
      <c r="J11" s="5"/>
      <c r="K11" s="5"/>
      <c r="L11" s="5"/>
      <c r="M11" s="5"/>
      <c r="N11" s="5"/>
      <c r="O11" s="5"/>
    </row>
    <row r="12" spans="1:15" x14ac:dyDescent="0.3">
      <c r="A12" s="11">
        <v>10</v>
      </c>
      <c r="B12" s="21" t="s">
        <v>11</v>
      </c>
      <c r="C12" s="6" t="s">
        <v>1</v>
      </c>
      <c r="D12" s="6" t="s">
        <v>36</v>
      </c>
      <c r="E12" s="6" t="s">
        <v>88</v>
      </c>
    </row>
    <row r="13" spans="1:15" x14ac:dyDescent="0.3">
      <c r="A13" s="11">
        <v>11</v>
      </c>
      <c r="B13" s="21" t="s">
        <v>12</v>
      </c>
      <c r="C13" s="6" t="s">
        <v>1</v>
      </c>
      <c r="D13" s="6" t="s">
        <v>36</v>
      </c>
      <c r="E13" s="6" t="s">
        <v>89</v>
      </c>
    </row>
    <row r="14" spans="1:15" x14ac:dyDescent="0.3">
      <c r="A14" s="11">
        <v>12</v>
      </c>
      <c r="B14" s="21" t="s">
        <v>13</v>
      </c>
      <c r="C14" s="6" t="s">
        <v>1</v>
      </c>
      <c r="D14" s="6" t="s">
        <v>36</v>
      </c>
      <c r="E14" s="6" t="s">
        <v>90</v>
      </c>
    </row>
    <row r="15" spans="1:15" x14ac:dyDescent="0.3">
      <c r="A15" s="11">
        <v>13</v>
      </c>
      <c r="B15" s="21" t="s">
        <v>14</v>
      </c>
      <c r="C15" s="6" t="s">
        <v>1</v>
      </c>
      <c r="D15" s="6" t="s">
        <v>36</v>
      </c>
      <c r="E15" s="6" t="s">
        <v>91</v>
      </c>
    </row>
    <row r="16" spans="1:15" x14ac:dyDescent="0.3">
      <c r="A16" s="11">
        <v>14</v>
      </c>
      <c r="B16" s="21" t="s">
        <v>15</v>
      </c>
      <c r="C16" s="6" t="s">
        <v>1</v>
      </c>
      <c r="D16" s="6" t="s">
        <v>36</v>
      </c>
      <c r="E16" s="6" t="s">
        <v>92</v>
      </c>
    </row>
    <row r="17" spans="1:5" x14ac:dyDescent="0.3">
      <c r="A17" s="11">
        <v>15</v>
      </c>
      <c r="B17" s="21" t="s">
        <v>16</v>
      </c>
      <c r="C17" s="6" t="s">
        <v>1</v>
      </c>
      <c r="D17" s="6" t="s">
        <v>36</v>
      </c>
      <c r="E17" s="6" t="s">
        <v>93</v>
      </c>
    </row>
    <row r="18" spans="1:5" x14ac:dyDescent="0.3">
      <c r="A18" s="11">
        <v>16</v>
      </c>
      <c r="B18" s="21" t="s">
        <v>17</v>
      </c>
      <c r="C18" s="6" t="s">
        <v>1</v>
      </c>
      <c r="D18" s="6" t="s">
        <v>36</v>
      </c>
      <c r="E18" s="6" t="s">
        <v>94</v>
      </c>
    </row>
    <row r="19" spans="1:5" x14ac:dyDescent="0.3">
      <c r="A19" s="11">
        <v>17</v>
      </c>
      <c r="B19" s="21" t="s">
        <v>18</v>
      </c>
      <c r="C19" s="6" t="s">
        <v>1</v>
      </c>
      <c r="D19" s="6" t="s">
        <v>36</v>
      </c>
      <c r="E19" s="6" t="s">
        <v>95</v>
      </c>
    </row>
    <row r="20" spans="1:5" x14ac:dyDescent="0.3">
      <c r="A20" s="11">
        <v>18</v>
      </c>
      <c r="B20" s="21" t="s">
        <v>19</v>
      </c>
      <c r="C20" s="6" t="s">
        <v>1</v>
      </c>
      <c r="D20" s="6" t="s">
        <v>36</v>
      </c>
      <c r="E20" s="6" t="s">
        <v>96</v>
      </c>
    </row>
    <row r="21" spans="1:5" x14ac:dyDescent="0.3">
      <c r="A21" s="11">
        <v>19</v>
      </c>
      <c r="B21" s="21" t="s">
        <v>20</v>
      </c>
      <c r="C21" s="6" t="s">
        <v>1</v>
      </c>
      <c r="D21" s="6" t="s">
        <v>36</v>
      </c>
      <c r="E21" s="6" t="s">
        <v>97</v>
      </c>
    </row>
    <row r="22" spans="1:5" x14ac:dyDescent="0.3">
      <c r="A22" s="11">
        <v>20</v>
      </c>
      <c r="B22" s="21" t="s">
        <v>21</v>
      </c>
      <c r="C22" s="6" t="s">
        <v>1</v>
      </c>
      <c r="D22" s="6" t="s">
        <v>36</v>
      </c>
      <c r="E22" s="6" t="s">
        <v>98</v>
      </c>
    </row>
    <row r="23" spans="1:5" x14ac:dyDescent="0.3">
      <c r="A23" s="11">
        <v>21</v>
      </c>
      <c r="B23" s="21" t="s">
        <v>22</v>
      </c>
      <c r="C23" s="6" t="s">
        <v>1</v>
      </c>
      <c r="D23" s="6" t="s">
        <v>36</v>
      </c>
      <c r="E23" s="6" t="s">
        <v>99</v>
      </c>
    </row>
    <row r="24" spans="1:5" x14ac:dyDescent="0.3">
      <c r="A24" s="11">
        <v>22</v>
      </c>
      <c r="B24" s="21" t="s">
        <v>23</v>
      </c>
      <c r="C24" s="6" t="s">
        <v>1</v>
      </c>
      <c r="D24" s="6" t="s">
        <v>36</v>
      </c>
      <c r="E24" s="6" t="s">
        <v>100</v>
      </c>
    </row>
    <row r="25" spans="1:5" x14ac:dyDescent="0.3">
      <c r="A25" s="11">
        <v>23</v>
      </c>
      <c r="B25" s="21" t="s">
        <v>24</v>
      </c>
      <c r="C25" s="6" t="s">
        <v>1</v>
      </c>
      <c r="D25" s="6" t="s">
        <v>36</v>
      </c>
      <c r="E25" s="6" t="s">
        <v>101</v>
      </c>
    </row>
    <row r="26" spans="1:5" x14ac:dyDescent="0.3">
      <c r="A26" s="11">
        <v>24</v>
      </c>
      <c r="B26" s="21" t="s">
        <v>25</v>
      </c>
      <c r="C26" s="6" t="s">
        <v>1</v>
      </c>
      <c r="D26" s="6" t="s">
        <v>36</v>
      </c>
      <c r="E26" s="6" t="s">
        <v>102</v>
      </c>
    </row>
    <row r="27" spans="1:5" x14ac:dyDescent="0.3">
      <c r="A27" s="11">
        <v>25</v>
      </c>
      <c r="B27" s="21" t="s">
        <v>26</v>
      </c>
      <c r="C27" s="6" t="s">
        <v>1</v>
      </c>
      <c r="D27" s="6" t="s">
        <v>36</v>
      </c>
      <c r="E27" s="6" t="s">
        <v>103</v>
      </c>
    </row>
    <row r="28" spans="1:5" x14ac:dyDescent="0.3">
      <c r="A28" s="11">
        <v>26</v>
      </c>
      <c r="B28" s="21" t="s">
        <v>27</v>
      </c>
      <c r="C28" s="6" t="s">
        <v>1</v>
      </c>
      <c r="D28" s="6" t="s">
        <v>36</v>
      </c>
      <c r="E28" s="6" t="s">
        <v>104</v>
      </c>
    </row>
    <row r="29" spans="1:5" x14ac:dyDescent="0.3">
      <c r="A29" s="11">
        <v>27</v>
      </c>
      <c r="B29" s="21" t="s">
        <v>28</v>
      </c>
      <c r="C29" s="6" t="s">
        <v>1</v>
      </c>
      <c r="D29" s="6" t="s">
        <v>36</v>
      </c>
      <c r="E29" s="6" t="s">
        <v>105</v>
      </c>
    </row>
    <row r="30" spans="1:5" x14ac:dyDescent="0.3">
      <c r="A30" s="11">
        <v>28</v>
      </c>
      <c r="B30" s="21" t="s">
        <v>29</v>
      </c>
      <c r="C30" s="6" t="s">
        <v>1</v>
      </c>
      <c r="D30" s="6" t="s">
        <v>36</v>
      </c>
      <c r="E30" s="6" t="s">
        <v>106</v>
      </c>
    </row>
    <row r="31" spans="1:5" x14ac:dyDescent="0.3">
      <c r="A31" s="11">
        <v>29</v>
      </c>
      <c r="B31" s="21" t="s">
        <v>30</v>
      </c>
      <c r="C31" s="6" t="s">
        <v>1</v>
      </c>
      <c r="D31" s="6" t="s">
        <v>36</v>
      </c>
      <c r="E31" s="6" t="s">
        <v>107</v>
      </c>
    </row>
  </sheetData>
  <conditionalFormatting sqref="D3:D31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13071-A4CB-415A-85EA-89A0D1D74F91}">
  <dimension ref="A2:N46"/>
  <sheetViews>
    <sheetView workbookViewId="0">
      <selection activeCell="R28" sqref="R28"/>
    </sheetView>
  </sheetViews>
  <sheetFormatPr defaultRowHeight="14.4" x14ac:dyDescent="0.3"/>
  <cols>
    <col min="2" max="2" width="27.109375" customWidth="1"/>
  </cols>
  <sheetData>
    <row r="2" spans="1:14" x14ac:dyDescent="0.3">
      <c r="A2" s="1" t="s">
        <v>31</v>
      </c>
      <c r="B2" s="7" t="s">
        <v>41</v>
      </c>
      <c r="C2" s="8" t="s">
        <v>79</v>
      </c>
      <c r="D2" s="1" t="s">
        <v>119</v>
      </c>
      <c r="E2" s="8" t="s">
        <v>80</v>
      </c>
      <c r="F2" s="1" t="s">
        <v>120</v>
      </c>
      <c r="G2" s="1" t="s">
        <v>81</v>
      </c>
      <c r="H2" s="1" t="s">
        <v>118</v>
      </c>
      <c r="I2" s="10" t="s">
        <v>82</v>
      </c>
      <c r="J2" s="1" t="s">
        <v>117</v>
      </c>
      <c r="K2" s="10" t="s">
        <v>83</v>
      </c>
      <c r="L2" s="1" t="s">
        <v>116</v>
      </c>
      <c r="M2" s="10" t="s">
        <v>84</v>
      </c>
      <c r="N2" s="1" t="s">
        <v>115</v>
      </c>
    </row>
    <row r="3" spans="1:14" x14ac:dyDescent="0.3">
      <c r="A3" s="1">
        <v>1</v>
      </c>
      <c r="B3" s="1" t="s">
        <v>77</v>
      </c>
      <c r="C3" s="9">
        <v>173905</v>
      </c>
      <c r="D3">
        <f>(C3-MIN($C$3:$C$38))/(MAX($C$3:$C$38)-MIN($C$3:$C$38))</f>
        <v>1.7657513253674845E-2</v>
      </c>
      <c r="E3" s="9">
        <v>5511</v>
      </c>
      <c r="F3">
        <f>(E3-MIN($E$3:$E$38))/(MAX($E$3:$E$38)-MIN($E$3:$E$38))</f>
        <v>2.7805723934661606E-2</v>
      </c>
      <c r="G3" s="9">
        <v>1080174</v>
      </c>
      <c r="H3">
        <f>(G3-MIN($G$3:$G$38))/(MAX($G$3:$G$38)-MIN($G$3:$G$38))</f>
        <v>5.7725320886325947E-2</v>
      </c>
      <c r="I3" s="9">
        <v>232753</v>
      </c>
      <c r="J3">
        <f>(I3-MIN($I$3:$I$38))/(MAX($I$3:$I$38)-MIN($I$3:$I$38))</f>
        <v>4.4287107355209958E-2</v>
      </c>
      <c r="K3" s="9">
        <v>398371</v>
      </c>
      <c r="L3">
        <f>(K3-MIN($K$3:$K$38))/(MAX($K$3:$K$38)-MIN($K$3:$K$38))</f>
        <v>5.7475323107538799E-2</v>
      </c>
      <c r="M3" s="9">
        <v>960244</v>
      </c>
      <c r="N3">
        <f>(M3-MIN($M$3:$M$38))/(MAX($M$3:$M$38)-MIN($M$3:$M$38))</f>
        <v>0.17626425730374398</v>
      </c>
    </row>
    <row r="4" spans="1:14" x14ac:dyDescent="0.3">
      <c r="A4" s="1">
        <v>2</v>
      </c>
      <c r="B4" s="1" t="s">
        <v>76</v>
      </c>
      <c r="C4" s="9">
        <v>80425</v>
      </c>
      <c r="D4">
        <f t="shared" ref="D4:D38" si="0">(C4-MIN($C$3:$C$38))/(MAX($C$3:$C$38)-MIN($C$3:$C$38))</f>
        <v>8.0917819029624714E-3</v>
      </c>
      <c r="E4" s="9">
        <v>3342</v>
      </c>
      <c r="F4">
        <f t="shared" ref="F4:F38" si="1">(E4-MIN($E$3:$E$38))/(MAX($E$3:$E$38)-MIN($E$3:$E$38))</f>
        <v>1.6840157532065057E-2</v>
      </c>
      <c r="G4" s="9">
        <v>676512</v>
      </c>
      <c r="H4">
        <f t="shared" ref="H4:H38" si="2">(G4-MIN($G$3:$G$38))/(MAX($G$3:$G$38)-MIN($G$3:$G$38))</f>
        <v>3.6058781160928088E-2</v>
      </c>
      <c r="I4" s="9">
        <v>279896</v>
      </c>
      <c r="J4">
        <f t="shared" ref="J4:J38" si="3">(I4-MIN($I$3:$I$38))/(MAX($I$3:$I$38)-MIN($I$3:$I$38))</f>
        <v>5.3315275592481323E-2</v>
      </c>
      <c r="K4" s="9">
        <v>123102</v>
      </c>
      <c r="L4">
        <f t="shared" ref="L4:L38" si="4">(K4-MIN($K$3:$K$38))/(MAX($K$3:$K$38)-MIN($K$3:$K$38))</f>
        <v>1.7688039214184197E-2</v>
      </c>
      <c r="M4" s="9">
        <v>844823</v>
      </c>
      <c r="N4">
        <f t="shared" ref="N4:N38" si="5">(M4-MIN($M$3:$M$38))/(MAX($M$3:$M$38)-MIN($M$3:$M$38))</f>
        <v>0.15507216760223552</v>
      </c>
    </row>
    <row r="5" spans="1:14" x14ac:dyDescent="0.3">
      <c r="A5" s="1">
        <v>3</v>
      </c>
      <c r="B5" s="1" t="s">
        <v>75</v>
      </c>
      <c r="C5" s="9">
        <v>1482531</v>
      </c>
      <c r="D5">
        <f t="shared" si="0"/>
        <v>0.15156813322112597</v>
      </c>
      <c r="E5" s="9">
        <v>5331</v>
      </c>
      <c r="F5">
        <f t="shared" si="1"/>
        <v>2.6895718424072679E-2</v>
      </c>
      <c r="G5" s="9">
        <v>1881889</v>
      </c>
      <c r="H5">
        <f t="shared" si="2"/>
        <v>0.10075733751396823</v>
      </c>
      <c r="I5" s="9">
        <v>813841</v>
      </c>
      <c r="J5">
        <f t="shared" si="3"/>
        <v>0.15556895672117182</v>
      </c>
      <c r="K5" s="9">
        <v>422983</v>
      </c>
      <c r="L5">
        <f t="shared" si="4"/>
        <v>6.1032732881916747E-2</v>
      </c>
      <c r="M5" s="9">
        <v>268507</v>
      </c>
      <c r="N5">
        <f t="shared" si="5"/>
        <v>4.9256584923047603E-2</v>
      </c>
    </row>
    <row r="6" spans="1:14" x14ac:dyDescent="0.3">
      <c r="A6" s="1">
        <v>4</v>
      </c>
      <c r="B6" s="1" t="s">
        <v>74</v>
      </c>
      <c r="C6" s="9">
        <v>2690</v>
      </c>
      <c r="D6">
        <f t="shared" si="0"/>
        <v>1.3722342470373657E-4</v>
      </c>
      <c r="E6" s="9">
        <v>17</v>
      </c>
      <c r="F6">
        <f t="shared" si="1"/>
        <v>3.0333517019630842E-5</v>
      </c>
      <c r="G6" s="9">
        <v>7046</v>
      </c>
      <c r="H6">
        <f t="shared" si="2"/>
        <v>1.2522367024726924E-4</v>
      </c>
      <c r="I6" s="9">
        <v>5119</v>
      </c>
      <c r="J6">
        <f t="shared" si="3"/>
        <v>6.938263055731315E-4</v>
      </c>
      <c r="K6" s="9">
        <v>727</v>
      </c>
      <c r="L6">
        <f t="shared" si="4"/>
        <v>0</v>
      </c>
      <c r="M6" s="9">
        <v>235</v>
      </c>
      <c r="N6">
        <f t="shared" si="5"/>
        <v>0</v>
      </c>
    </row>
    <row r="7" spans="1:14" x14ac:dyDescent="0.3">
      <c r="A7" s="1">
        <v>5</v>
      </c>
      <c r="B7" s="1" t="s">
        <v>73</v>
      </c>
      <c r="C7" s="9">
        <v>279752</v>
      </c>
      <c r="D7">
        <f t="shared" si="0"/>
        <v>2.8488749521099456E-2</v>
      </c>
      <c r="E7" s="9">
        <v>3214</v>
      </c>
      <c r="F7">
        <f t="shared" si="1"/>
        <v>1.6193042502312932E-2</v>
      </c>
      <c r="G7" s="9">
        <v>938356</v>
      </c>
      <c r="H7">
        <f t="shared" si="2"/>
        <v>5.0113246104016802E-2</v>
      </c>
      <c r="I7" s="9">
        <v>323538</v>
      </c>
      <c r="J7">
        <f t="shared" si="3"/>
        <v>6.1672981258454988E-2</v>
      </c>
      <c r="K7" s="9">
        <v>160758</v>
      </c>
      <c r="L7">
        <f t="shared" si="4"/>
        <v>2.3130824134709793E-2</v>
      </c>
      <c r="M7" s="9">
        <v>673942</v>
      </c>
      <c r="N7">
        <f t="shared" si="5"/>
        <v>0.12369724033351089</v>
      </c>
    </row>
    <row r="8" spans="1:14" x14ac:dyDescent="0.3">
      <c r="A8" s="1">
        <v>6</v>
      </c>
      <c r="B8" s="1" t="s">
        <v>72</v>
      </c>
      <c r="C8" s="9">
        <v>1126029</v>
      </c>
      <c r="D8">
        <f t="shared" si="0"/>
        <v>0.11508757740178854</v>
      </c>
      <c r="E8" s="9">
        <v>9381</v>
      </c>
      <c r="F8">
        <f t="shared" si="1"/>
        <v>4.7370842412323498E-2</v>
      </c>
      <c r="G8" s="9">
        <v>1750716</v>
      </c>
      <c r="H8">
        <f t="shared" si="2"/>
        <v>9.3716632628693897E-2</v>
      </c>
      <c r="I8" s="9">
        <v>732974</v>
      </c>
      <c r="J8">
        <f t="shared" si="3"/>
        <v>0.14008243951090896</v>
      </c>
      <c r="K8" s="9">
        <v>374159</v>
      </c>
      <c r="L8">
        <f t="shared" si="4"/>
        <v>5.3975729191675037E-2</v>
      </c>
      <c r="M8" s="9">
        <v>750100</v>
      </c>
      <c r="N8">
        <f t="shared" si="5"/>
        <v>0.1376803731038688</v>
      </c>
    </row>
    <row r="9" spans="1:14" x14ac:dyDescent="0.3">
      <c r="A9" s="1">
        <v>7</v>
      </c>
      <c r="B9" s="1" t="s">
        <v>71</v>
      </c>
      <c r="C9" s="9">
        <v>132983</v>
      </c>
      <c r="D9">
        <f t="shared" si="0"/>
        <v>1.3469998722931887E-2</v>
      </c>
      <c r="E9" s="9">
        <v>4358</v>
      </c>
      <c r="F9">
        <f t="shared" si="1"/>
        <v>2.1976633080722546E-2</v>
      </c>
      <c r="G9" s="9">
        <v>307524</v>
      </c>
      <c r="H9">
        <f t="shared" si="2"/>
        <v>1.6253366828652315E-2</v>
      </c>
      <c r="I9" s="9">
        <v>443975</v>
      </c>
      <c r="J9">
        <f t="shared" si="3"/>
        <v>8.4737391626744041E-2</v>
      </c>
      <c r="K9" s="9">
        <v>41403</v>
      </c>
      <c r="L9">
        <f t="shared" si="4"/>
        <v>5.8792946523077124E-3</v>
      </c>
      <c r="M9" s="9">
        <v>59523</v>
      </c>
      <c r="N9">
        <f t="shared" si="5"/>
        <v>1.0885684704022956E-2</v>
      </c>
    </row>
    <row r="10" spans="1:14" x14ac:dyDescent="0.3">
      <c r="A10" s="1">
        <v>8</v>
      </c>
      <c r="B10" s="1" t="s">
        <v>70</v>
      </c>
      <c r="C10" s="9">
        <v>2675431</v>
      </c>
      <c r="D10">
        <f t="shared" si="0"/>
        <v>0.27363660699374892</v>
      </c>
      <c r="E10" s="9">
        <v>47930</v>
      </c>
      <c r="F10">
        <f t="shared" si="1"/>
        <v>0.2422586336772817</v>
      </c>
      <c r="G10" s="9">
        <v>7474932</v>
      </c>
      <c r="H10">
        <f t="shared" si="2"/>
        <v>0.40096366940886646</v>
      </c>
      <c r="I10" s="9">
        <v>1759192</v>
      </c>
      <c r="J10">
        <f t="shared" si="3"/>
        <v>0.33660936295905908</v>
      </c>
      <c r="K10" s="9">
        <v>3254052</v>
      </c>
      <c r="L10">
        <f t="shared" si="4"/>
        <v>0.47023444475167148</v>
      </c>
      <c r="M10" s="9">
        <v>4632052</v>
      </c>
      <c r="N10">
        <f t="shared" si="5"/>
        <v>0.85043346830275091</v>
      </c>
    </row>
    <row r="11" spans="1:14" x14ac:dyDescent="0.3">
      <c r="A11" s="1">
        <v>9</v>
      </c>
      <c r="B11" s="1" t="s">
        <v>69</v>
      </c>
      <c r="C11" s="9">
        <v>7931018</v>
      </c>
      <c r="D11">
        <f t="shared" si="0"/>
        <v>0.81143649287625208</v>
      </c>
      <c r="E11" s="9">
        <v>45202</v>
      </c>
      <c r="F11">
        <f t="shared" si="1"/>
        <v>0.22846699460568956</v>
      </c>
      <c r="G11" s="9">
        <v>18635376</v>
      </c>
      <c r="H11">
        <f t="shared" si="2"/>
        <v>1</v>
      </c>
      <c r="I11" s="9">
        <v>5223264</v>
      </c>
      <c r="J11">
        <f t="shared" si="3"/>
        <v>1</v>
      </c>
      <c r="K11" s="9">
        <v>2984006</v>
      </c>
      <c r="L11">
        <f t="shared" si="4"/>
        <v>0.43120209143086591</v>
      </c>
      <c r="M11" s="9">
        <v>5085276</v>
      </c>
      <c r="N11">
        <f t="shared" si="5"/>
        <v>0.93364851290361617</v>
      </c>
    </row>
    <row r="12" spans="1:14" x14ac:dyDescent="0.3">
      <c r="A12" s="1">
        <v>10</v>
      </c>
      <c r="B12" s="1" t="s">
        <v>68</v>
      </c>
      <c r="C12" s="9">
        <v>9773733</v>
      </c>
      <c r="D12">
        <f t="shared" si="0"/>
        <v>1</v>
      </c>
      <c r="E12" s="9">
        <v>33792</v>
      </c>
      <c r="F12">
        <f t="shared" si="1"/>
        <v>0.17078275640669158</v>
      </c>
      <c r="G12" s="9">
        <v>12667269</v>
      </c>
      <c r="H12">
        <f t="shared" si="2"/>
        <v>0.67966212474564114</v>
      </c>
      <c r="I12" s="9">
        <v>3959714</v>
      </c>
      <c r="J12">
        <f t="shared" si="3"/>
        <v>0.75802257013333418</v>
      </c>
      <c r="K12" s="9">
        <v>2993859</v>
      </c>
      <c r="L12">
        <f t="shared" si="4"/>
        <v>0.43262624056571664</v>
      </c>
      <c r="M12" s="9">
        <v>3807743</v>
      </c>
      <c r="N12">
        <f t="shared" si="5"/>
        <v>0.69908466462091878</v>
      </c>
    </row>
    <row r="13" spans="1:14" x14ac:dyDescent="0.3">
      <c r="A13" s="1">
        <v>11</v>
      </c>
      <c r="B13" s="1" t="s">
        <v>67</v>
      </c>
      <c r="C13" s="9">
        <v>9762</v>
      </c>
      <c r="D13">
        <f t="shared" si="0"/>
        <v>8.6089535572896026E-4</v>
      </c>
      <c r="E13" s="9">
        <v>71</v>
      </c>
      <c r="F13">
        <f t="shared" si="1"/>
        <v>3.0333517019630839E-4</v>
      </c>
      <c r="G13" s="9">
        <v>64762</v>
      </c>
      <c r="H13">
        <f t="shared" si="2"/>
        <v>3.2231273787733696E-3</v>
      </c>
      <c r="I13" s="9">
        <v>11432</v>
      </c>
      <c r="J13">
        <f t="shared" si="3"/>
        <v>1.9028038013178677E-3</v>
      </c>
      <c r="K13" s="9">
        <v>12583</v>
      </c>
      <c r="L13">
        <f t="shared" si="4"/>
        <v>1.7136620463605134E-3</v>
      </c>
      <c r="M13" s="9">
        <v>36115</v>
      </c>
      <c r="N13">
        <f t="shared" si="5"/>
        <v>6.5878148559631571E-3</v>
      </c>
    </row>
    <row r="14" spans="1:14" x14ac:dyDescent="0.3">
      <c r="A14" s="1">
        <v>12</v>
      </c>
      <c r="B14" s="1" t="s">
        <v>66</v>
      </c>
      <c r="C14" s="9">
        <v>15819</v>
      </c>
      <c r="D14">
        <f t="shared" si="0"/>
        <v>1.4807031733505356E-3</v>
      </c>
      <c r="E14" s="9">
        <v>249</v>
      </c>
      <c r="F14">
        <f t="shared" si="1"/>
        <v>1.2032295084453567E-3</v>
      </c>
      <c r="G14" s="9">
        <v>144833</v>
      </c>
      <c r="H14">
        <f t="shared" si="2"/>
        <v>7.5209347085500927E-3</v>
      </c>
      <c r="I14" s="9">
        <v>29117</v>
      </c>
      <c r="J14">
        <f t="shared" si="3"/>
        <v>5.2895877411635291E-3</v>
      </c>
      <c r="K14" s="9">
        <v>100645</v>
      </c>
      <c r="L14">
        <f t="shared" si="4"/>
        <v>1.4442112377551431E-2</v>
      </c>
      <c r="M14" s="9">
        <v>100732</v>
      </c>
      <c r="N14">
        <f t="shared" si="5"/>
        <v>1.8451940623738276E-2</v>
      </c>
    </row>
    <row r="15" spans="1:14" x14ac:dyDescent="0.3">
      <c r="A15" s="1">
        <v>13</v>
      </c>
      <c r="B15" s="1" t="s">
        <v>65</v>
      </c>
      <c r="C15" s="9">
        <v>17137</v>
      </c>
      <c r="D15">
        <f t="shared" si="0"/>
        <v>1.6155730270116279E-3</v>
      </c>
      <c r="E15" s="9">
        <v>528</v>
      </c>
      <c r="F15">
        <f t="shared" si="1"/>
        <v>2.6137380498581909E-3</v>
      </c>
      <c r="G15" s="9">
        <v>198496</v>
      </c>
      <c r="H15">
        <f t="shared" si="2"/>
        <v>1.0401293824057684E-2</v>
      </c>
      <c r="I15" s="9">
        <v>42314</v>
      </c>
      <c r="J15">
        <f t="shared" si="3"/>
        <v>7.81689266930281E-3</v>
      </c>
      <c r="K15" s="9">
        <v>99692</v>
      </c>
      <c r="L15">
        <f t="shared" si="4"/>
        <v>1.430436609464138E-2</v>
      </c>
      <c r="M15" s="9">
        <v>144051</v>
      </c>
      <c r="N15">
        <f t="shared" si="5"/>
        <v>2.6405607060345521E-2</v>
      </c>
    </row>
    <row r="16" spans="1:14" x14ac:dyDescent="0.3">
      <c r="A16" s="1">
        <v>14</v>
      </c>
      <c r="B16" s="1" t="s">
        <v>64</v>
      </c>
      <c r="C16" s="9">
        <v>75922</v>
      </c>
      <c r="D16">
        <f t="shared" si="0"/>
        <v>7.630993624483033E-3</v>
      </c>
      <c r="E16" s="9">
        <v>223</v>
      </c>
      <c r="F16">
        <f t="shared" si="1"/>
        <v>1.0717842680269564E-3</v>
      </c>
      <c r="G16" s="9">
        <v>290868</v>
      </c>
      <c r="H16">
        <f t="shared" si="2"/>
        <v>1.5359356776514073E-2</v>
      </c>
      <c r="I16" s="9">
        <v>90333</v>
      </c>
      <c r="J16">
        <f t="shared" si="3"/>
        <v>1.7012820178912584E-2</v>
      </c>
      <c r="K16" s="9">
        <v>84791</v>
      </c>
      <c r="L16">
        <f t="shared" si="4"/>
        <v>1.2150580825341616E-2</v>
      </c>
      <c r="M16" s="9">
        <v>98852</v>
      </c>
      <c r="N16">
        <f t="shared" si="5"/>
        <v>1.8106759689256371E-2</v>
      </c>
    </row>
    <row r="17" spans="1:14" x14ac:dyDescent="0.3">
      <c r="A17" s="1">
        <v>15</v>
      </c>
      <c r="B17" s="1" t="s">
        <v>63</v>
      </c>
      <c r="C17" s="9">
        <v>8404</v>
      </c>
      <c r="D17">
        <f t="shared" si="0"/>
        <v>7.2193233503718235E-4</v>
      </c>
      <c r="E17" s="9">
        <v>83</v>
      </c>
      <c r="F17">
        <f t="shared" si="1"/>
        <v>3.6400220423557007E-4</v>
      </c>
      <c r="G17" s="9">
        <v>85974</v>
      </c>
      <c r="H17">
        <f t="shared" si="2"/>
        <v>4.3616805263451981E-3</v>
      </c>
      <c r="I17" s="9">
        <v>14777</v>
      </c>
      <c r="J17">
        <f t="shared" si="3"/>
        <v>2.5433914337059786E-3</v>
      </c>
      <c r="K17" s="9">
        <v>32702</v>
      </c>
      <c r="L17">
        <f t="shared" si="4"/>
        <v>4.6216551899778526E-3</v>
      </c>
      <c r="M17" s="9">
        <v>21013</v>
      </c>
      <c r="N17">
        <f t="shared" si="5"/>
        <v>3.8149837535452194E-3</v>
      </c>
    </row>
    <row r="18" spans="1:14" x14ac:dyDescent="0.3">
      <c r="A18" s="1">
        <v>16</v>
      </c>
      <c r="B18" s="1" t="s">
        <v>62</v>
      </c>
      <c r="C18" s="9">
        <v>249045</v>
      </c>
      <c r="D18">
        <f t="shared" si="0"/>
        <v>2.5346527520817848E-2</v>
      </c>
      <c r="E18" s="9">
        <v>2888</v>
      </c>
      <c r="F18">
        <f t="shared" si="1"/>
        <v>1.4544921410912988E-2</v>
      </c>
      <c r="G18" s="9">
        <v>556625</v>
      </c>
      <c r="H18">
        <f t="shared" si="2"/>
        <v>2.9623851818907358E-2</v>
      </c>
      <c r="I18" s="9">
        <v>83715</v>
      </c>
      <c r="J18">
        <f t="shared" si="3"/>
        <v>1.5745433347479243E-2</v>
      </c>
      <c r="K18" s="9">
        <v>272835</v>
      </c>
      <c r="L18">
        <f t="shared" si="4"/>
        <v>3.9330394071446236E-2</v>
      </c>
      <c r="M18" s="9">
        <v>29484</v>
      </c>
      <c r="N18">
        <f t="shared" si="5"/>
        <v>5.3703176343942692E-3</v>
      </c>
    </row>
    <row r="19" spans="1:14" x14ac:dyDescent="0.3">
      <c r="A19" s="1">
        <v>17</v>
      </c>
      <c r="B19" s="1" t="s">
        <v>61</v>
      </c>
      <c r="C19" s="9">
        <v>167260</v>
      </c>
      <c r="D19">
        <f t="shared" si="0"/>
        <v>1.697753588070219E-2</v>
      </c>
      <c r="E19" s="9">
        <v>1054</v>
      </c>
      <c r="F19">
        <f t="shared" si="1"/>
        <v>5.2729763752458279E-3</v>
      </c>
      <c r="G19" s="9">
        <v>363652</v>
      </c>
      <c r="H19">
        <f t="shared" si="2"/>
        <v>1.9266034708480314E-2</v>
      </c>
      <c r="I19" s="9">
        <v>77847</v>
      </c>
      <c r="J19">
        <f t="shared" si="3"/>
        <v>1.4621676030034272E-2</v>
      </c>
      <c r="K19" s="9">
        <v>205506</v>
      </c>
      <c r="L19">
        <f t="shared" si="4"/>
        <v>2.9598684226691933E-2</v>
      </c>
      <c r="M19" s="9">
        <v>91781</v>
      </c>
      <c r="N19">
        <f t="shared" si="5"/>
        <v>1.6808475440468314E-2</v>
      </c>
    </row>
    <row r="20" spans="1:14" x14ac:dyDescent="0.3">
      <c r="A20" s="1">
        <v>18</v>
      </c>
      <c r="B20" s="1" t="s">
        <v>60</v>
      </c>
      <c r="C20" s="9">
        <v>1817129</v>
      </c>
      <c r="D20">
        <f t="shared" si="0"/>
        <v>0.18580727077445994</v>
      </c>
      <c r="E20" s="9">
        <v>40295</v>
      </c>
      <c r="F20">
        <f t="shared" si="1"/>
        <v>0.20365923326980145</v>
      </c>
      <c r="G20" s="9">
        <v>4416524</v>
      </c>
      <c r="H20">
        <f t="shared" si="2"/>
        <v>0.2368037573327369</v>
      </c>
      <c r="I20" s="9">
        <v>834420</v>
      </c>
      <c r="J20">
        <f t="shared" si="3"/>
        <v>0.15950995907899393</v>
      </c>
      <c r="K20" s="9">
        <v>2025501</v>
      </c>
      <c r="L20">
        <f t="shared" si="4"/>
        <v>0.29266011776801298</v>
      </c>
      <c r="M20" s="9">
        <v>2051712</v>
      </c>
      <c r="N20">
        <f t="shared" si="5"/>
        <v>0.37666529145113514</v>
      </c>
    </row>
    <row r="21" spans="1:14" x14ac:dyDescent="0.3">
      <c r="A21" s="1">
        <v>19</v>
      </c>
      <c r="B21" s="1" t="s">
        <v>59</v>
      </c>
      <c r="C21" s="9">
        <v>7565862</v>
      </c>
      <c r="D21">
        <f t="shared" si="0"/>
        <v>0.77407038036982578</v>
      </c>
      <c r="E21" s="9">
        <v>197812</v>
      </c>
      <c r="F21">
        <f t="shared" si="1"/>
        <v>1</v>
      </c>
      <c r="G21" s="9">
        <v>12994091</v>
      </c>
      <c r="H21">
        <f t="shared" si="2"/>
        <v>0.69720428092118891</v>
      </c>
      <c r="I21" s="9">
        <v>1812566</v>
      </c>
      <c r="J21">
        <f t="shared" si="3"/>
        <v>0.34683080519854576</v>
      </c>
      <c r="K21" s="9">
        <v>6919244</v>
      </c>
      <c r="L21">
        <f t="shared" si="4"/>
        <v>1</v>
      </c>
      <c r="M21" s="9">
        <v>2854898</v>
      </c>
      <c r="N21">
        <f t="shared" si="5"/>
        <v>0.52413576700580689</v>
      </c>
    </row>
    <row r="22" spans="1:14" x14ac:dyDescent="0.3">
      <c r="A22" s="1">
        <v>20</v>
      </c>
      <c r="B22" s="1" t="s">
        <v>58</v>
      </c>
      <c r="C22" s="9">
        <v>1158532</v>
      </c>
      <c r="D22">
        <f t="shared" si="0"/>
        <v>0.11841358260174795</v>
      </c>
      <c r="E22" s="9">
        <v>14518</v>
      </c>
      <c r="F22">
        <f t="shared" si="1"/>
        <v>7.3341388567297439E-2</v>
      </c>
      <c r="G22" s="9">
        <v>3866210</v>
      </c>
      <c r="H22">
        <f t="shared" si="2"/>
        <v>0.20726567809207863</v>
      </c>
      <c r="I22" s="9">
        <v>781824</v>
      </c>
      <c r="J22">
        <f t="shared" si="3"/>
        <v>0.14943750852201784</v>
      </c>
      <c r="K22" s="9">
        <v>1661129</v>
      </c>
      <c r="L22">
        <f t="shared" si="4"/>
        <v>0.2399939177716843</v>
      </c>
      <c r="M22" s="9">
        <v>2745066</v>
      </c>
      <c r="N22">
        <f t="shared" si="5"/>
        <v>0.50396985615686196</v>
      </c>
    </row>
    <row r="23" spans="1:14" x14ac:dyDescent="0.3">
      <c r="A23" s="1">
        <v>21</v>
      </c>
      <c r="B23" s="1" t="s">
        <v>57</v>
      </c>
      <c r="C23" s="9">
        <v>3419585</v>
      </c>
      <c r="D23">
        <f t="shared" si="0"/>
        <v>0.34978527245757024</v>
      </c>
      <c r="E23" s="9">
        <v>54203</v>
      </c>
      <c r="F23">
        <f t="shared" si="1"/>
        <v>0.27397232572130575</v>
      </c>
      <c r="G23" s="9">
        <v>7631337</v>
      </c>
      <c r="H23">
        <f t="shared" si="2"/>
        <v>0.40935870076121283</v>
      </c>
      <c r="I23" s="9">
        <v>634812</v>
      </c>
      <c r="J23">
        <f t="shared" si="3"/>
        <v>0.12128382570807435</v>
      </c>
      <c r="K23" s="9">
        <v>5670770</v>
      </c>
      <c r="L23">
        <f t="shared" si="4"/>
        <v>0.81954600964339608</v>
      </c>
      <c r="M23" s="9">
        <v>3255015</v>
      </c>
      <c r="N23">
        <f t="shared" si="5"/>
        <v>0.59760000102819855</v>
      </c>
    </row>
    <row r="24" spans="1:14" x14ac:dyDescent="0.3">
      <c r="A24" s="1">
        <v>22</v>
      </c>
      <c r="B24" s="1" t="s">
        <v>56</v>
      </c>
      <c r="C24" s="9">
        <v>1698387</v>
      </c>
      <c r="D24">
        <f t="shared" si="0"/>
        <v>0.17365649978551806</v>
      </c>
      <c r="E24" s="9">
        <v>25323</v>
      </c>
      <c r="F24">
        <f t="shared" si="1"/>
        <v>0.12796699713348264</v>
      </c>
      <c r="G24" s="9">
        <v>4122115</v>
      </c>
      <c r="H24">
        <f t="shared" si="2"/>
        <v>0.22100136747683108</v>
      </c>
      <c r="I24" s="9">
        <v>269673</v>
      </c>
      <c r="J24">
        <f t="shared" si="3"/>
        <v>5.135750956381057E-2</v>
      </c>
      <c r="K24" s="9">
        <v>3212958</v>
      </c>
      <c r="L24">
        <f t="shared" si="4"/>
        <v>0.46429473252721648</v>
      </c>
      <c r="M24" s="9">
        <v>2006899</v>
      </c>
      <c r="N24">
        <f t="shared" si="5"/>
        <v>0.36843731633574278</v>
      </c>
    </row>
    <row r="25" spans="1:14" x14ac:dyDescent="0.3">
      <c r="A25" s="1">
        <v>23</v>
      </c>
      <c r="B25" s="1" t="s">
        <v>55</v>
      </c>
      <c r="C25" s="9">
        <v>5061011</v>
      </c>
      <c r="D25">
        <f t="shared" si="0"/>
        <v>0.51775104212032597</v>
      </c>
      <c r="E25" s="9">
        <v>58649</v>
      </c>
      <c r="F25">
        <f t="shared" si="1"/>
        <v>0.2964494618328522</v>
      </c>
      <c r="G25" s="9">
        <v>9424603</v>
      </c>
      <c r="H25">
        <f t="shared" si="2"/>
        <v>0.50561217279277715</v>
      </c>
      <c r="I25" s="9">
        <v>1274665</v>
      </c>
      <c r="J25">
        <f t="shared" si="3"/>
        <v>0.24381952626007131</v>
      </c>
      <c r="K25" s="9">
        <v>5862807</v>
      </c>
      <c r="L25">
        <f t="shared" si="4"/>
        <v>0.8473029696971186</v>
      </c>
      <c r="M25" s="9">
        <v>3774840</v>
      </c>
      <c r="N25">
        <f t="shared" si="5"/>
        <v>0.69304344744684532</v>
      </c>
    </row>
    <row r="26" spans="1:14" x14ac:dyDescent="0.3">
      <c r="A26" s="1">
        <v>24</v>
      </c>
      <c r="B26" s="1" t="s">
        <v>54</v>
      </c>
      <c r="C26" s="9">
        <v>2555494</v>
      </c>
      <c r="D26">
        <f t="shared" si="0"/>
        <v>0.2613635526397653</v>
      </c>
      <c r="E26" s="9">
        <v>23470</v>
      </c>
      <c r="F26">
        <f t="shared" si="1"/>
        <v>0.11859899596058665</v>
      </c>
      <c r="G26" s="9">
        <v>4752481</v>
      </c>
      <c r="H26">
        <f t="shared" si="2"/>
        <v>0.25483623422311918</v>
      </c>
      <c r="I26" s="9">
        <v>1505245</v>
      </c>
      <c r="J26">
        <f t="shared" si="3"/>
        <v>0.28797698404065442</v>
      </c>
      <c r="K26" s="9">
        <v>1785402</v>
      </c>
      <c r="L26">
        <f t="shared" si="4"/>
        <v>0.2579562932345183</v>
      </c>
      <c r="M26" s="9">
        <v>2362081</v>
      </c>
      <c r="N26">
        <f t="shared" si="5"/>
        <v>0.43365117520337676</v>
      </c>
    </row>
    <row r="27" spans="1:14" x14ac:dyDescent="0.3">
      <c r="A27" s="1">
        <v>25</v>
      </c>
      <c r="B27" s="1" t="s">
        <v>53</v>
      </c>
      <c r="C27" s="9">
        <v>5458</v>
      </c>
      <c r="D27">
        <f t="shared" si="0"/>
        <v>4.2047058322718388E-4</v>
      </c>
      <c r="E27" s="9">
        <v>139</v>
      </c>
      <c r="F27">
        <f t="shared" si="1"/>
        <v>6.4711502975212457E-4</v>
      </c>
      <c r="G27" s="9">
        <v>14491</v>
      </c>
      <c r="H27">
        <f t="shared" si="2"/>
        <v>5.2483371096347998E-4</v>
      </c>
      <c r="I27" s="9">
        <v>11461</v>
      </c>
      <c r="J27">
        <f t="shared" si="3"/>
        <v>1.9083574758587513E-3</v>
      </c>
      <c r="K27" s="9">
        <v>2244</v>
      </c>
      <c r="L27">
        <f t="shared" si="4"/>
        <v>2.1926664341505558E-4</v>
      </c>
      <c r="M27" s="9">
        <v>2390</v>
      </c>
      <c r="N27">
        <f t="shared" si="5"/>
        <v>3.9567282649388523E-4</v>
      </c>
    </row>
    <row r="28" spans="1:14" x14ac:dyDescent="0.3">
      <c r="A28" s="1">
        <v>26</v>
      </c>
      <c r="B28" s="1" t="s">
        <v>52</v>
      </c>
      <c r="C28" s="9">
        <v>9169</v>
      </c>
      <c r="D28">
        <f t="shared" si="0"/>
        <v>8.0021415449904544E-4</v>
      </c>
      <c r="E28" s="9">
        <v>98</v>
      </c>
      <c r="F28">
        <f t="shared" si="1"/>
        <v>4.3983599678464719E-4</v>
      </c>
      <c r="G28" s="9">
        <v>31371</v>
      </c>
      <c r="H28">
        <f t="shared" si="2"/>
        <v>1.4308669530440222E-3</v>
      </c>
      <c r="I28" s="9">
        <v>9792</v>
      </c>
      <c r="J28">
        <f t="shared" si="3"/>
        <v>1.588733930729975E-3</v>
      </c>
      <c r="K28" s="9">
        <v>17571</v>
      </c>
      <c r="L28">
        <f t="shared" si="4"/>
        <v>2.4346258020324298E-3</v>
      </c>
      <c r="M28" s="9">
        <v>15335</v>
      </c>
      <c r="N28">
        <f t="shared" si="5"/>
        <v>2.7724638886578502E-3</v>
      </c>
    </row>
    <row r="29" spans="1:14" x14ac:dyDescent="0.3">
      <c r="A29" s="1">
        <v>27</v>
      </c>
      <c r="B29" s="1" t="s">
        <v>51</v>
      </c>
      <c r="C29" s="9">
        <v>4949734</v>
      </c>
      <c r="D29">
        <f t="shared" si="0"/>
        <v>0.50636415842848581</v>
      </c>
      <c r="E29" s="9">
        <v>35588</v>
      </c>
      <c r="F29">
        <f t="shared" si="1"/>
        <v>0.17986258916790107</v>
      </c>
      <c r="G29" s="9">
        <v>9819444</v>
      </c>
      <c r="H29">
        <f t="shared" si="2"/>
        <v>0.52680524573924181</v>
      </c>
      <c r="I29" s="9">
        <v>2516959</v>
      </c>
      <c r="J29">
        <f t="shared" si="3"/>
        <v>0.48172630419428819</v>
      </c>
      <c r="K29" s="9">
        <v>5110179</v>
      </c>
      <c r="L29">
        <f t="shared" si="4"/>
        <v>0.73851838479257914</v>
      </c>
      <c r="M29" s="9">
        <v>5446654</v>
      </c>
      <c r="N29">
        <f t="shared" si="5"/>
        <v>1</v>
      </c>
    </row>
    <row r="30" spans="1:14" x14ac:dyDescent="0.3">
      <c r="A30" s="1">
        <v>28</v>
      </c>
      <c r="B30" s="1" t="s">
        <v>50</v>
      </c>
      <c r="C30" s="9">
        <v>4523810</v>
      </c>
      <c r="D30">
        <f t="shared" si="0"/>
        <v>0.46277970656904188</v>
      </c>
      <c r="E30" s="9">
        <v>16408</v>
      </c>
      <c r="F30">
        <f t="shared" si="1"/>
        <v>8.2896446428481152E-2</v>
      </c>
      <c r="G30" s="9">
        <v>7430191</v>
      </c>
      <c r="H30">
        <f t="shared" si="2"/>
        <v>0.39856219824275713</v>
      </c>
      <c r="I30" s="9">
        <v>1462316</v>
      </c>
      <c r="J30">
        <f t="shared" si="3"/>
        <v>0.27975582216597905</v>
      </c>
      <c r="K30" s="9">
        <v>2148716</v>
      </c>
      <c r="L30">
        <f t="shared" si="4"/>
        <v>0.31046957028507699</v>
      </c>
      <c r="M30" s="9">
        <v>1984941</v>
      </c>
      <c r="N30">
        <f t="shared" si="5"/>
        <v>0.36440567646374616</v>
      </c>
    </row>
    <row r="31" spans="1:14" x14ac:dyDescent="0.3">
      <c r="A31" s="1">
        <v>29</v>
      </c>
      <c r="B31" s="1" t="s">
        <v>49</v>
      </c>
      <c r="C31" s="9">
        <v>1791959</v>
      </c>
      <c r="D31">
        <f t="shared" si="0"/>
        <v>0.18323164542040099</v>
      </c>
      <c r="E31" s="9">
        <v>9650</v>
      </c>
      <c r="F31">
        <f t="shared" si="1"/>
        <v>4.8730795092036948E-2</v>
      </c>
      <c r="G31" s="9">
        <v>5560356</v>
      </c>
      <c r="H31">
        <f t="shared" si="2"/>
        <v>0.29819888857417476</v>
      </c>
      <c r="I31" s="9">
        <v>1792649</v>
      </c>
      <c r="J31">
        <f t="shared" si="3"/>
        <v>0.34301657982507072</v>
      </c>
      <c r="K31" s="9">
        <v>1326604</v>
      </c>
      <c r="L31">
        <f t="shared" si="4"/>
        <v>0.19164179259803799</v>
      </c>
      <c r="M31" s="9">
        <v>3786144</v>
      </c>
      <c r="N31">
        <f t="shared" si="5"/>
        <v>0.69511893961885785</v>
      </c>
    </row>
    <row r="32" spans="1:14" x14ac:dyDescent="0.3">
      <c r="A32" s="1">
        <v>30</v>
      </c>
      <c r="B32" s="1" t="s">
        <v>48</v>
      </c>
      <c r="C32" s="9">
        <v>28413</v>
      </c>
      <c r="D32">
        <f t="shared" si="0"/>
        <v>2.7694368129619141E-3</v>
      </c>
      <c r="E32" s="9">
        <v>322</v>
      </c>
      <c r="F32">
        <f t="shared" si="1"/>
        <v>1.5722872988508652E-3</v>
      </c>
      <c r="G32" s="9">
        <v>88335</v>
      </c>
      <c r="H32">
        <f t="shared" si="2"/>
        <v>4.4884070953352543E-3</v>
      </c>
      <c r="I32" s="9">
        <v>74568</v>
      </c>
      <c r="J32">
        <f t="shared" si="3"/>
        <v>1.3993727794877137E-2</v>
      </c>
      <c r="K32" s="9">
        <v>18124</v>
      </c>
      <c r="L32">
        <f t="shared" si="4"/>
        <v>2.5145562264282939E-3</v>
      </c>
      <c r="M32" s="9">
        <v>9792</v>
      </c>
      <c r="N32">
        <f t="shared" si="5"/>
        <v>1.7547309525763625E-3</v>
      </c>
    </row>
    <row r="33" spans="1:14" x14ac:dyDescent="0.3">
      <c r="A33" s="1">
        <v>31</v>
      </c>
      <c r="B33" s="1" t="s">
        <v>47</v>
      </c>
      <c r="C33" s="9">
        <v>1349</v>
      </c>
      <c r="D33">
        <f t="shared" si="0"/>
        <v>0</v>
      </c>
      <c r="E33" s="9">
        <v>11</v>
      </c>
      <c r="F33">
        <f t="shared" si="1"/>
        <v>0</v>
      </c>
      <c r="G33" s="9">
        <v>4713</v>
      </c>
      <c r="H33">
        <f t="shared" si="2"/>
        <v>0</v>
      </c>
      <c r="I33" s="9">
        <v>1496</v>
      </c>
      <c r="J33">
        <f t="shared" si="3"/>
        <v>0</v>
      </c>
      <c r="K33" s="9">
        <v>918</v>
      </c>
      <c r="L33">
        <f t="shared" si="4"/>
        <v>2.7607072440524464E-5</v>
      </c>
      <c r="M33" s="9">
        <v>2785</v>
      </c>
      <c r="N33">
        <f t="shared" si="5"/>
        <v>4.6819754411109391E-4</v>
      </c>
    </row>
    <row r="34" spans="1:14" x14ac:dyDescent="0.3">
      <c r="A34" s="1">
        <v>32</v>
      </c>
      <c r="B34" s="1" t="s">
        <v>46</v>
      </c>
      <c r="C34" s="9">
        <v>2555549</v>
      </c>
      <c r="D34">
        <f t="shared" si="0"/>
        <v>0.26136918074443249</v>
      </c>
      <c r="E34" s="9">
        <v>13735</v>
      </c>
      <c r="F34">
        <f t="shared" si="1"/>
        <v>6.9382864596235605E-2</v>
      </c>
      <c r="G34" s="9">
        <v>4471062</v>
      </c>
      <c r="H34">
        <f t="shared" si="2"/>
        <v>0.2397310820339566</v>
      </c>
      <c r="I34" s="9">
        <v>1073989</v>
      </c>
      <c r="J34">
        <f t="shared" si="3"/>
        <v>0.20538886446123228</v>
      </c>
      <c r="K34" s="9">
        <v>452815</v>
      </c>
      <c r="L34">
        <f t="shared" si="4"/>
        <v>6.5344639609904845E-2</v>
      </c>
      <c r="M34" s="9">
        <v>1360409</v>
      </c>
      <c r="N34">
        <f t="shared" si="5"/>
        <v>0.24973730445637768</v>
      </c>
    </row>
    <row r="35" spans="1:14" x14ac:dyDescent="0.3">
      <c r="A35" s="1">
        <v>33</v>
      </c>
      <c r="B35" s="1" t="s">
        <v>45</v>
      </c>
      <c r="C35" s="9">
        <v>5632002</v>
      </c>
      <c r="D35">
        <f t="shared" si="0"/>
        <v>0.57618008052078185</v>
      </c>
      <c r="E35" s="9">
        <v>4641</v>
      </c>
      <c r="F35">
        <f t="shared" si="1"/>
        <v>2.3407363966815132E-2</v>
      </c>
      <c r="G35" s="9">
        <v>7868873</v>
      </c>
      <c r="H35">
        <f t="shared" si="2"/>
        <v>0.42210843489574151</v>
      </c>
      <c r="I35" s="9">
        <v>1614901</v>
      </c>
      <c r="J35">
        <f t="shared" si="3"/>
        <v>0.30897676802186541</v>
      </c>
      <c r="K35" s="9">
        <v>1801226</v>
      </c>
      <c r="L35">
        <f t="shared" si="4"/>
        <v>0.26024348859733959</v>
      </c>
      <c r="M35" s="9">
        <v>1931596</v>
      </c>
      <c r="N35">
        <f t="shared" si="5"/>
        <v>0.35461116744782212</v>
      </c>
    </row>
    <row r="36" spans="1:14" x14ac:dyDescent="0.3">
      <c r="A36" s="1">
        <v>34</v>
      </c>
      <c r="B36" s="1" t="s">
        <v>44</v>
      </c>
      <c r="C36" s="9">
        <v>45267</v>
      </c>
      <c r="D36">
        <f t="shared" si="0"/>
        <v>4.4940927413413146E-3</v>
      </c>
      <c r="E36" s="9">
        <v>434</v>
      </c>
      <c r="F36">
        <f t="shared" si="1"/>
        <v>2.1385129498839744E-3</v>
      </c>
      <c r="G36" s="9">
        <v>80135</v>
      </c>
      <c r="H36">
        <f t="shared" si="2"/>
        <v>4.0482724635188773E-3</v>
      </c>
      <c r="I36" s="9">
        <v>20978</v>
      </c>
      <c r="J36">
        <f t="shared" si="3"/>
        <v>3.7309202553617855E-3</v>
      </c>
      <c r="K36" s="9">
        <v>21053</v>
      </c>
      <c r="L36">
        <f t="shared" si="4"/>
        <v>2.9379128503984309E-3</v>
      </c>
      <c r="M36" s="9">
        <v>5015</v>
      </c>
      <c r="N36">
        <f t="shared" si="5"/>
        <v>8.7764088660824662E-4</v>
      </c>
    </row>
    <row r="37" spans="1:14" x14ac:dyDescent="0.3">
      <c r="A37" s="1">
        <v>35</v>
      </c>
      <c r="B37" s="1" t="s">
        <v>43</v>
      </c>
      <c r="C37" s="9">
        <v>11019</v>
      </c>
      <c r="D37">
        <f t="shared" si="0"/>
        <v>9.89523129668257E-4</v>
      </c>
      <c r="E37" s="9">
        <v>60</v>
      </c>
      <c r="F37">
        <f t="shared" si="1"/>
        <v>2.4772372232698521E-4</v>
      </c>
      <c r="G37" s="9">
        <v>34736</v>
      </c>
      <c r="H37">
        <f t="shared" si="2"/>
        <v>1.6114831769540353E-3</v>
      </c>
      <c r="I37" s="9">
        <v>14477</v>
      </c>
      <c r="J37">
        <f t="shared" si="3"/>
        <v>2.4859396281106325E-3</v>
      </c>
      <c r="K37" s="9">
        <v>12244</v>
      </c>
      <c r="L37">
        <f t="shared" si="4"/>
        <v>1.6646631062697396E-3</v>
      </c>
      <c r="M37" s="9">
        <v>8424</v>
      </c>
      <c r="N37">
        <f t="shared" si="5"/>
        <v>1.5035567406767639E-3</v>
      </c>
    </row>
    <row r="38" spans="1:14" x14ac:dyDescent="0.3">
      <c r="A38" s="1">
        <v>36</v>
      </c>
      <c r="B38" s="1" t="s">
        <v>42</v>
      </c>
      <c r="C38" s="9">
        <v>1942889</v>
      </c>
      <c r="D38">
        <f t="shared" si="0"/>
        <v>0.19867618791893565</v>
      </c>
      <c r="E38" s="9">
        <v>11119</v>
      </c>
      <c r="F38">
        <f t="shared" si="1"/>
        <v>5.6157451175676561E-2</v>
      </c>
      <c r="G38" s="9">
        <v>4249143</v>
      </c>
      <c r="H38">
        <f t="shared" si="2"/>
        <v>0.22781958967321775</v>
      </c>
      <c r="I38" s="9">
        <v>1063997</v>
      </c>
      <c r="J38">
        <f t="shared" si="3"/>
        <v>0.20347533632286996</v>
      </c>
      <c r="K38" s="9">
        <v>740969</v>
      </c>
      <c r="L38">
        <f t="shared" si="4"/>
        <v>0.1069943168456477</v>
      </c>
      <c r="M38" s="9">
        <v>2007427</v>
      </c>
      <c r="N38">
        <f t="shared" si="5"/>
        <v>0.36853426076840579</v>
      </c>
    </row>
    <row r="40" spans="1:14" x14ac:dyDescent="0.3">
      <c r="B40" s="1" t="s">
        <v>183</v>
      </c>
      <c r="D40">
        <f t="shared" ref="D40:N40" si="6">_xlfn.STDEV.P(D3:D38)</f>
        <v>0.26196879340993184</v>
      </c>
      <c r="F40">
        <f t="shared" si="6"/>
        <v>0.1761814559502502</v>
      </c>
      <c r="H40">
        <f t="shared" si="6"/>
        <v>0.24453620436735141</v>
      </c>
      <c r="J40">
        <f t="shared" si="6"/>
        <v>0.21822812414989201</v>
      </c>
      <c r="L40">
        <f t="shared" si="6"/>
        <v>0.27462923097228109</v>
      </c>
      <c r="N40">
        <f t="shared" si="6"/>
        <v>0.30267291786002565</v>
      </c>
    </row>
    <row r="41" spans="1:14" x14ac:dyDescent="0.3">
      <c r="B41" s="1" t="s">
        <v>108</v>
      </c>
      <c r="D41">
        <f>1/D40</f>
        <v>3.8172485622559944</v>
      </c>
      <c r="F41">
        <f t="shared" ref="F41:N41" si="7">1/F40</f>
        <v>5.675966262206269</v>
      </c>
      <c r="H41">
        <f t="shared" si="7"/>
        <v>4.0893740155456193</v>
      </c>
      <c r="J41">
        <f t="shared" si="7"/>
        <v>4.5823607928423593</v>
      </c>
      <c r="L41">
        <f t="shared" si="7"/>
        <v>3.6412729863447497</v>
      </c>
      <c r="N41">
        <f t="shared" si="7"/>
        <v>3.3038965199471888</v>
      </c>
    </row>
    <row r="42" spans="1:14" x14ac:dyDescent="0.3">
      <c r="B42" s="12" t="s">
        <v>110</v>
      </c>
      <c r="C42">
        <v>25.110119139142178</v>
      </c>
    </row>
    <row r="43" spans="1:14" x14ac:dyDescent="0.3">
      <c r="B43" s="11" t="s">
        <v>112</v>
      </c>
      <c r="C43" s="13"/>
    </row>
    <row r="44" spans="1:14" x14ac:dyDescent="0.3">
      <c r="B44" s="1" t="s">
        <v>109</v>
      </c>
      <c r="C44">
        <f>1/C42</f>
        <v>3.9824582052308113E-2</v>
      </c>
    </row>
    <row r="45" spans="1:14" x14ac:dyDescent="0.3">
      <c r="B45" s="1" t="s">
        <v>113</v>
      </c>
    </row>
    <row r="46" spans="1:14" x14ac:dyDescent="0.3">
      <c r="B46" s="1" t="s">
        <v>111</v>
      </c>
      <c r="D46">
        <f>C44/D40</f>
        <v>0.15202032858161904</v>
      </c>
      <c r="F46">
        <f>C44/F40</f>
        <v>0.22604298413536614</v>
      </c>
      <c r="H46">
        <f>C44/H40</f>
        <v>0.16285761102467322</v>
      </c>
      <c r="J46">
        <f>C44/J40</f>
        <v>0.18249060338783021</v>
      </c>
      <c r="L46">
        <f>C44/L40</f>
        <v>0.14501217481953949</v>
      </c>
      <c r="N46">
        <f>C44/N40</f>
        <v>0.13157629805097204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A3831-3EE7-4432-92B1-1CD7E8181309}">
  <dimension ref="A2:AV46"/>
  <sheetViews>
    <sheetView topLeftCell="Z1" workbookViewId="0">
      <selection activeCell="B43" sqref="B43"/>
    </sheetView>
  </sheetViews>
  <sheetFormatPr defaultRowHeight="14.4" x14ac:dyDescent="0.3"/>
  <cols>
    <col min="2" max="2" width="26.6640625" customWidth="1"/>
  </cols>
  <sheetData>
    <row r="2" spans="1:48" x14ac:dyDescent="0.3">
      <c r="A2" s="1" t="s">
        <v>31</v>
      </c>
      <c r="B2" s="7" t="s">
        <v>41</v>
      </c>
      <c r="C2" s="8" t="s">
        <v>85</v>
      </c>
      <c r="D2" s="1" t="s">
        <v>129</v>
      </c>
      <c r="E2" s="8" t="s">
        <v>86</v>
      </c>
      <c r="F2" s="1" t="s">
        <v>130</v>
      </c>
      <c r="G2" s="8" t="s">
        <v>87</v>
      </c>
      <c r="H2" s="1" t="s">
        <v>131</v>
      </c>
      <c r="I2" s="8" t="s">
        <v>88</v>
      </c>
      <c r="J2" s="1" t="s">
        <v>135</v>
      </c>
      <c r="K2" s="1" t="s">
        <v>89</v>
      </c>
      <c r="L2" s="1" t="s">
        <v>132</v>
      </c>
      <c r="M2" s="8" t="s">
        <v>90</v>
      </c>
      <c r="N2" s="1" t="s">
        <v>133</v>
      </c>
      <c r="O2" s="8" t="s">
        <v>91</v>
      </c>
      <c r="P2" s="1" t="s">
        <v>134</v>
      </c>
      <c r="Q2" s="8" t="s">
        <v>92</v>
      </c>
      <c r="R2" s="8" t="s">
        <v>136</v>
      </c>
      <c r="S2" s="8" t="s">
        <v>93</v>
      </c>
      <c r="T2" s="8" t="s">
        <v>137</v>
      </c>
      <c r="U2" s="8" t="s">
        <v>94</v>
      </c>
      <c r="V2" s="8" t="s">
        <v>138</v>
      </c>
      <c r="W2" s="8" t="s">
        <v>95</v>
      </c>
      <c r="X2" s="8" t="s">
        <v>139</v>
      </c>
      <c r="Y2" s="8" t="s">
        <v>96</v>
      </c>
      <c r="Z2" s="1" t="s">
        <v>140</v>
      </c>
      <c r="AA2" s="8" t="s">
        <v>97</v>
      </c>
      <c r="AB2" s="1" t="s">
        <v>141</v>
      </c>
      <c r="AC2" s="8" t="s">
        <v>98</v>
      </c>
      <c r="AD2" s="1" t="s">
        <v>142</v>
      </c>
      <c r="AE2" s="8" t="s">
        <v>99</v>
      </c>
      <c r="AF2" s="1" t="s">
        <v>143</v>
      </c>
      <c r="AG2" s="8" t="s">
        <v>100</v>
      </c>
      <c r="AH2" s="1" t="s">
        <v>144</v>
      </c>
      <c r="AI2" s="8" t="s">
        <v>101</v>
      </c>
      <c r="AJ2" s="1" t="s">
        <v>145</v>
      </c>
      <c r="AK2" s="8" t="s">
        <v>102</v>
      </c>
      <c r="AL2" s="1" t="s">
        <v>146</v>
      </c>
      <c r="AM2" s="8" t="s">
        <v>103</v>
      </c>
      <c r="AN2" s="1" t="s">
        <v>147</v>
      </c>
      <c r="AO2" s="8" t="s">
        <v>104</v>
      </c>
      <c r="AP2" s="1" t="s">
        <v>148</v>
      </c>
      <c r="AQ2" s="8" t="s">
        <v>105</v>
      </c>
      <c r="AR2" s="1" t="s">
        <v>149</v>
      </c>
      <c r="AS2" s="8" t="s">
        <v>106</v>
      </c>
      <c r="AT2" s="1" t="s">
        <v>150</v>
      </c>
      <c r="AU2" s="8" t="s">
        <v>107</v>
      </c>
      <c r="AV2" s="1" t="s">
        <v>151</v>
      </c>
    </row>
    <row r="3" spans="1:48" x14ac:dyDescent="0.3">
      <c r="A3" s="1">
        <v>1</v>
      </c>
      <c r="B3" s="1" t="s">
        <v>77</v>
      </c>
      <c r="C3" s="9">
        <v>65904</v>
      </c>
      <c r="D3">
        <f>(MAX($C$3:$C$38)-C3)/(MAX($C$3:$C$38)-MIN($C$3:$C$38))</f>
        <v>0.90337825391796411</v>
      </c>
      <c r="E3" s="9">
        <v>139408</v>
      </c>
      <c r="F3">
        <f>(MAX($E$3:$E$38)-E3)/(MAX($E$3:$E$38)-MIN($E$3:$E$38))</f>
        <v>0.85377319438813093</v>
      </c>
      <c r="G3" s="9">
        <v>319404</v>
      </c>
      <c r="H3">
        <f>(MAX($G$3:$G$38)-G3)/(MAX($G$3:$G$38)-MIN($G$3:$G$38))</f>
        <v>0.69452335147182653</v>
      </c>
      <c r="I3" s="9">
        <v>8254</v>
      </c>
      <c r="J3">
        <f>(MAX($I$3:$I$38)-I3)/(MAX($I$3:$I$38)-MIN($I$3:$I$38))</f>
        <v>0.97949174874173994</v>
      </c>
      <c r="K3" s="9">
        <v>30574</v>
      </c>
      <c r="L3">
        <f>(MAX($K$3:$K$38)-K3)/(MAX($K$3:$K$38)-MIN($K$3:$K$38))</f>
        <v>0.96219198601922362</v>
      </c>
      <c r="M3" s="9">
        <v>288670</v>
      </c>
      <c r="N3">
        <f>(MAX($M$3:$M$38)-M3)/(MAX($M$3:$M$38)-MIN($M$3:$M$38))</f>
        <v>0.86628117162110019</v>
      </c>
      <c r="O3" s="9">
        <v>296066</v>
      </c>
      <c r="P3">
        <f>(MAX($O$3:$O$38)-O3)/(MAX($O$3:$O$38)-MIN($O$3:$O$38))</f>
        <v>0.69661422880797796</v>
      </c>
      <c r="Q3" s="9">
        <v>193030</v>
      </c>
      <c r="R3">
        <f>(MAX($Q$3:$Q$38)-Q3)/(MAX($Q$3:$Q$38)-MIN($Q$3:$Q$38))</f>
        <v>0.97171419004599691</v>
      </c>
      <c r="S3" s="9">
        <v>127857</v>
      </c>
      <c r="T3">
        <f>(MAX($S$3:$S$38)-S3)/(MAX($S$3:$S$38)-MIN($S$3:$S$38))</f>
        <v>0.97856763525188339</v>
      </c>
      <c r="U3" s="9">
        <v>4302</v>
      </c>
      <c r="V3">
        <f>(MAX($U$3:$U$38)-U3)/(MAX($U$3:$U$38)-MIN($U$3:$U$38))</f>
        <v>0.97084645481439069</v>
      </c>
      <c r="W3" s="9">
        <v>4302</v>
      </c>
      <c r="X3">
        <f>(MAX($W$3:$W$38)-W3)/(MAX($W$3:$W$38)-MIN($W$3:$W$38))</f>
        <v>0.97084645481439069</v>
      </c>
      <c r="Y3" s="9">
        <v>1834</v>
      </c>
      <c r="Z3">
        <f>(MAX($Y$3:$Y$38)-Y3)/(MAX($Y$3:$Y$38)-MIN($Y$3:$Y$38))</f>
        <v>0.97755788543226851</v>
      </c>
      <c r="AA3" s="9">
        <v>288433</v>
      </c>
      <c r="AB3">
        <f>(MAX($AA$3:$AA$38)-AA3)/(MAX($AA$3:$AA$38)-MIN($AA$3:$AA$38))</f>
        <v>0.8917696726586527</v>
      </c>
      <c r="AC3" s="9">
        <v>15479</v>
      </c>
      <c r="AD3">
        <f>(MAX($AC$3:$AC$38)-AC3)/(MAX($AC$3:$AC$38)-MIN($AC$3:$AC$38))</f>
        <v>0.94698064688897965</v>
      </c>
      <c r="AE3" s="9">
        <v>1153745</v>
      </c>
      <c r="AF3">
        <f>(MAX($AE$3:$AE$38)-AE3)/(MAX($AE$3:$AE$38)-MIN($AE$3:$AE$38))</f>
        <v>0.94909999329761718</v>
      </c>
      <c r="AG3" s="9">
        <v>34011</v>
      </c>
      <c r="AH3">
        <f>(MAX($AG$3:$AG$38)-AG3)/(MAX($AG$3:$AG$38)-MIN($AG$3:$AG$38))</f>
        <v>0.98117791964354828</v>
      </c>
      <c r="AI3" s="9">
        <v>27566</v>
      </c>
      <c r="AJ3">
        <f>(MAX($AI$3:$AI$38)-AI3)/(MAX($AI$3:$AI$38)-MIN($AI$3:$AI$38))</f>
        <v>0.98336433847691918</v>
      </c>
      <c r="AK3" s="9">
        <v>12472</v>
      </c>
      <c r="AL3">
        <f>(MAX($AK$3:$AK$38)-AK3)/(MAX($AK$3:$AK$38)-MIN($AK$3:$AK$38))</f>
        <v>0.99358318987540173</v>
      </c>
      <c r="AM3" s="9">
        <v>531380</v>
      </c>
      <c r="AN3">
        <f>(MAX($AM$3:$AM$38)-AM3)/(MAX($AM$3:$AM$38)-MIN($AM$3:$AM$38))</f>
        <v>0.95929542888170694</v>
      </c>
      <c r="AO3" s="9">
        <v>414045</v>
      </c>
      <c r="AP3">
        <f>(MAX($AO$3:$AO$38)-AO3)/(MAX($AO$3:$AO$38)-MIN($AO$3:$AO$38))</f>
        <v>0.86736056024294284</v>
      </c>
      <c r="AQ3" s="9">
        <v>53516</v>
      </c>
      <c r="AR3">
        <f>(MAX($AQ$3:$AQ$38)-AQ3)/(MAX($AQ$3:$AQ$38)-MIN($AQ$3:$AQ$38))</f>
        <v>0.98768543231908956</v>
      </c>
      <c r="AS3" s="9">
        <v>2396</v>
      </c>
      <c r="AT3">
        <f>(MAX($AS$3:$AS$38)-AS3)/(MAX($AS$3:$AS$38)-MIN($AS$3:$AS$38))</f>
        <v>0.99263524868716035</v>
      </c>
      <c r="AU3" s="9">
        <v>2303</v>
      </c>
      <c r="AV3">
        <f>(MAX($AU$3:$AU$38)-AU3)/(MAX($AU$3:$AU$38)-MIN($AU$3:$AU$38))</f>
        <v>0.98183608796829458</v>
      </c>
    </row>
    <row r="4" spans="1:48" x14ac:dyDescent="0.3">
      <c r="A4" s="1">
        <v>2</v>
      </c>
      <c r="B4" s="1" t="s">
        <v>76</v>
      </c>
      <c r="C4" s="9">
        <v>108187</v>
      </c>
      <c r="D4">
        <f t="shared" ref="D4:D38" si="0">(MAX($C$3:$C$38)-C4)/(MAX($C$3:$C$38)-MIN($C$3:$C$38))</f>
        <v>0.84106954708556525</v>
      </c>
      <c r="E4" s="9">
        <v>132523</v>
      </c>
      <c r="F4">
        <f t="shared" ref="F4:F38" si="1">(MAX($E$3:$E$38)-E4)/(MAX($E$3:$E$38)-MIN($E$3:$E$38))</f>
        <v>0.86108097895655233</v>
      </c>
      <c r="G4" s="9">
        <v>291233</v>
      </c>
      <c r="H4">
        <f t="shared" ref="H4:H38" si="2">(MAX($G$3:$G$38)-G4)/(MAX($G$3:$G$38)-MIN($G$3:$G$38))</f>
        <v>0.72154024386267424</v>
      </c>
      <c r="I4" s="9">
        <v>17885</v>
      </c>
      <c r="J4">
        <f t="shared" ref="J4:J38" si="3">(MAX($I$3:$I$38)-I4)/(MAX($I$3:$I$38)-MIN($I$3:$I$38))</f>
        <v>0.95518221423487182</v>
      </c>
      <c r="K4" s="9">
        <v>118976</v>
      </c>
      <c r="L4">
        <f t="shared" ref="L4:L38" si="4">(MAX($K$3:$K$38)-K4)/(MAX($K$3:$K$38)-MIN($K$3:$K$38))</f>
        <v>0.85184121832480342</v>
      </c>
      <c r="M4" s="9">
        <v>307347</v>
      </c>
      <c r="N4">
        <f t="shared" ref="N4:N38" si="5">(MAX($M$3:$M$38)-M4)/(MAX($M$3:$M$38)-MIN($M$3:$M$38))</f>
        <v>0.8575236007087832</v>
      </c>
      <c r="O4" s="9">
        <v>271430</v>
      </c>
      <c r="P4">
        <f t="shared" ref="P4:P38" si="6">(MAX($O$3:$O$38)-O4)/(MAX($O$3:$O$38)-MIN($O$3:$O$38))</f>
        <v>0.72192660069723069</v>
      </c>
      <c r="Q4" s="9">
        <v>251529</v>
      </c>
      <c r="R4">
        <f t="shared" ref="R4:R38" si="7">(MAX($Q$3:$Q$38)-Q4)/(MAX($Q$3:$Q$38)-MIN($Q$3:$Q$38))</f>
        <v>0.962954016840186</v>
      </c>
      <c r="S4" s="9">
        <v>159240</v>
      </c>
      <c r="T4">
        <f t="shared" ref="T4:T38" si="8">(MAX($S$3:$S$38)-S4)/(MAX($S$3:$S$38)-MIN($S$3:$S$38))</f>
        <v>0.97323097030781858</v>
      </c>
      <c r="U4" s="9">
        <v>2673</v>
      </c>
      <c r="V4">
        <f t="shared" ref="V4:V38" si="9">(MAX($U$3:$U$38)-U4)/(MAX($U$3:$U$38)-MIN($U$3:$U$38))</f>
        <v>0.98195029514811938</v>
      </c>
      <c r="W4" s="9">
        <v>2673</v>
      </c>
      <c r="X4">
        <f t="shared" ref="X4:X38" si="10">(MAX($W$3:$W$38)-W4)/(MAX($W$3:$W$38)-MIN($W$3:$W$38))</f>
        <v>0.98195029514811938</v>
      </c>
      <c r="Y4" s="9">
        <v>1383</v>
      </c>
      <c r="Z4">
        <f t="shared" ref="Z4:Z38" si="11">(MAX($Y$3:$Y$38)-Y4)/(MAX($Y$3:$Y$38)-MIN($Y$3:$Y$38))</f>
        <v>0.98309475286664871</v>
      </c>
      <c r="AA4" s="9">
        <v>531266</v>
      </c>
      <c r="AB4">
        <f t="shared" ref="AB4:AB38" si="12">(MAX($AA$3:$AA$38)-AA4)/(MAX($AA$3:$AA$38)-MIN($AA$3:$AA$38))</f>
        <v>0.79885843368653686</v>
      </c>
      <c r="AC4" s="9">
        <v>21031</v>
      </c>
      <c r="AD4">
        <f t="shared" ref="AD4:AD38" si="13">(MAX($AC$3:$AC$38)-AC4)/(MAX($AC$3:$AC$38)-MIN($AC$3:$AC$38))</f>
        <v>0.92791936032080091</v>
      </c>
      <c r="AE4" s="9">
        <v>992290</v>
      </c>
      <c r="AF4">
        <f t="shared" ref="AF4:AF38" si="14">(MAX($AE$3:$AE$38)-AE4)/(MAX($AE$3:$AE$38)-MIN($AE$3:$AE$38))</f>
        <v>0.95626169562479002</v>
      </c>
      <c r="AG4" s="9">
        <v>127333</v>
      </c>
      <c r="AH4">
        <f t="shared" ref="AH4:AH38" si="15">(MAX($AG$3:$AG$38)-AG4)/(MAX($AG$3:$AG$38)-MIN($AG$3:$AG$38))</f>
        <v>0.92883528352027533</v>
      </c>
      <c r="AI4" s="9">
        <v>38020</v>
      </c>
      <c r="AJ4">
        <f t="shared" ref="AJ4:AJ38" si="16">(MAX($AI$3:$AI$38)-AI4)/(MAX($AI$3:$AI$38)-MIN($AI$3:$AI$38))</f>
        <v>0.97703783676487854</v>
      </c>
      <c r="AK4" s="9">
        <v>68720</v>
      </c>
      <c r="AL4">
        <f t="shared" ref="AL4:AL38" si="17">(MAX($AK$3:$AK$38)-AK4)/(MAX($AK$3:$AK$38)-MIN($AK$3:$AK$38))</f>
        <v>0.96458329144310173</v>
      </c>
      <c r="AM4" s="9">
        <v>492708</v>
      </c>
      <c r="AN4">
        <f t="shared" ref="AN4:AN38" si="18">(MAX($AM$3:$AM$38)-AM4)/(MAX($AM$3:$AM$38)-MIN($AM$3:$AM$38))</f>
        <v>0.96225963005126036</v>
      </c>
      <c r="AO4" s="9">
        <v>245359</v>
      </c>
      <c r="AP4">
        <f t="shared" ref="AP4:AP38" si="19">(MAX($AO$3:$AO$38)-AO4)/(MAX($AO$3:$AO$38)-MIN($AO$3:$AO$38))</f>
        <v>0.92142528625113174</v>
      </c>
      <c r="AQ4" s="9">
        <v>44023</v>
      </c>
      <c r="AR4">
        <f t="shared" ref="AR4:AR38" si="20">(MAX($AQ$3:$AQ$38)-AQ4)/(MAX($AQ$3:$AQ$38)-MIN($AQ$3:$AQ$38))</f>
        <v>0.98988905514651437</v>
      </c>
      <c r="AS4" s="9">
        <v>3702</v>
      </c>
      <c r="AT4">
        <f t="shared" ref="AT4:AT38" si="21">(MAX($AS$3:$AS$38)-AS4)/(MAX($AS$3:$AS$38)-MIN($AS$3:$AS$38))</f>
        <v>0.98821910304227123</v>
      </c>
      <c r="AU4" s="9">
        <v>4367</v>
      </c>
      <c r="AV4">
        <f t="shared" ref="AV4:AV39" si="22">(MAX($AU$3:$AU$38)-AU4)/(MAX($AU$3:$AU$38)-MIN($AU$3:$AU$38))</f>
        <v>0.96544329634895043</v>
      </c>
    </row>
    <row r="5" spans="1:48" x14ac:dyDescent="0.3">
      <c r="A5" s="1">
        <v>3</v>
      </c>
      <c r="B5" s="1" t="s">
        <v>75</v>
      </c>
      <c r="C5" s="9">
        <v>182830</v>
      </c>
      <c r="D5">
        <f t="shared" si="0"/>
        <v>0.7310747784056999</v>
      </c>
      <c r="E5" s="9">
        <v>228547</v>
      </c>
      <c r="F5">
        <f t="shared" si="1"/>
        <v>0.75916046982102559</v>
      </c>
      <c r="G5" s="9">
        <v>244577</v>
      </c>
      <c r="H5">
        <f t="shared" si="2"/>
        <v>0.76628484403261476</v>
      </c>
      <c r="I5" s="9">
        <v>27950</v>
      </c>
      <c r="J5">
        <f t="shared" si="3"/>
        <v>0.92977722359925485</v>
      </c>
      <c r="K5" s="9">
        <v>146597</v>
      </c>
      <c r="L5">
        <f t="shared" si="4"/>
        <v>0.81736237673199352</v>
      </c>
      <c r="M5" s="9">
        <v>571951</v>
      </c>
      <c r="N5">
        <f t="shared" si="5"/>
        <v>0.73345183898673449</v>
      </c>
      <c r="O5" s="9">
        <v>234000</v>
      </c>
      <c r="P5">
        <f t="shared" si="6"/>
        <v>0.760384226927736</v>
      </c>
      <c r="Q5" s="9">
        <v>1672686</v>
      </c>
      <c r="R5">
        <f t="shared" si="7"/>
        <v>0.75013702043596164</v>
      </c>
      <c r="S5" s="9">
        <v>1339119</v>
      </c>
      <c r="T5">
        <f t="shared" si="8"/>
        <v>0.77259308044584951</v>
      </c>
      <c r="U5" s="9">
        <v>18505</v>
      </c>
      <c r="V5">
        <f t="shared" si="9"/>
        <v>0.87403378184941316</v>
      </c>
      <c r="W5" s="9">
        <v>18505</v>
      </c>
      <c r="X5">
        <f t="shared" si="10"/>
        <v>0.87403378184941316</v>
      </c>
      <c r="Y5" s="9">
        <v>6008</v>
      </c>
      <c r="Z5">
        <f t="shared" si="11"/>
        <v>0.92631423871141993</v>
      </c>
      <c r="AA5" s="9">
        <v>2171673</v>
      </c>
      <c r="AB5">
        <f t="shared" si="12"/>
        <v>0.17121619894689399</v>
      </c>
      <c r="AC5" s="9">
        <v>42734</v>
      </c>
      <c r="AD5">
        <f t="shared" si="13"/>
        <v>0.85340799461669714</v>
      </c>
      <c r="AE5" s="9">
        <v>2599688</v>
      </c>
      <c r="AF5">
        <f t="shared" si="14"/>
        <v>0.88496191551706316</v>
      </c>
      <c r="AG5" s="9">
        <v>204062</v>
      </c>
      <c r="AH5">
        <f t="shared" si="15"/>
        <v>0.88579936351103195</v>
      </c>
      <c r="AI5" s="9">
        <v>528411</v>
      </c>
      <c r="AJ5">
        <f t="shared" si="16"/>
        <v>0.68026535722887849</v>
      </c>
      <c r="AK5" s="9">
        <v>268189</v>
      </c>
      <c r="AL5">
        <f t="shared" si="17"/>
        <v>0.86174264394643618</v>
      </c>
      <c r="AM5" s="9">
        <v>609924</v>
      </c>
      <c r="AN5">
        <f t="shared" si="18"/>
        <v>0.95327504677937458</v>
      </c>
      <c r="AO5" s="9">
        <v>127955</v>
      </c>
      <c r="AP5">
        <f t="shared" si="19"/>
        <v>0.95905386889738231</v>
      </c>
      <c r="AQ5" s="9">
        <v>747052</v>
      </c>
      <c r="AR5">
        <f t="shared" si="20"/>
        <v>0.82669399007313527</v>
      </c>
      <c r="AS5" s="9">
        <v>43928</v>
      </c>
      <c r="AT5">
        <f t="shared" si="21"/>
        <v>0.85219775946546383</v>
      </c>
      <c r="AU5" s="9">
        <v>14352</v>
      </c>
      <c r="AV5">
        <f t="shared" si="22"/>
        <v>0.88613998999277255</v>
      </c>
    </row>
    <row r="6" spans="1:48" x14ac:dyDescent="0.3">
      <c r="A6" s="1">
        <v>4</v>
      </c>
      <c r="B6" s="1" t="s">
        <v>74</v>
      </c>
      <c r="C6" s="9">
        <v>1182</v>
      </c>
      <c r="D6">
        <f t="shared" si="0"/>
        <v>0.99875332483550816</v>
      </c>
      <c r="E6" s="9">
        <v>1779</v>
      </c>
      <c r="F6">
        <f t="shared" si="1"/>
        <v>0.999853525886646</v>
      </c>
      <c r="G6" s="9">
        <v>1994</v>
      </c>
      <c r="H6">
        <f t="shared" si="2"/>
        <v>0.99892972021198445</v>
      </c>
      <c r="I6" s="9">
        <v>312</v>
      </c>
      <c r="J6">
        <f t="shared" si="3"/>
        <v>0.99953809107935243</v>
      </c>
      <c r="K6" s="9">
        <v>7139</v>
      </c>
      <c r="L6">
        <f t="shared" si="4"/>
        <v>0.99144551242042189</v>
      </c>
      <c r="M6" s="9">
        <v>3492</v>
      </c>
      <c r="N6">
        <f t="shared" si="5"/>
        <v>1</v>
      </c>
      <c r="O6" s="9">
        <v>1957</v>
      </c>
      <c r="P6">
        <f t="shared" si="6"/>
        <v>0.99879787810072962</v>
      </c>
      <c r="Q6" s="9">
        <v>5796</v>
      </c>
      <c r="R6">
        <f t="shared" si="7"/>
        <v>0.99975231497149675</v>
      </c>
      <c r="S6" s="9">
        <v>4754</v>
      </c>
      <c r="T6">
        <f t="shared" si="8"/>
        <v>0.99950124467766177</v>
      </c>
      <c r="U6" s="9">
        <v>140</v>
      </c>
      <c r="V6">
        <f t="shared" si="9"/>
        <v>0.99921611931345689</v>
      </c>
      <c r="W6" s="9">
        <v>140</v>
      </c>
      <c r="X6">
        <f t="shared" si="10"/>
        <v>0.99921611931345689</v>
      </c>
      <c r="Y6" s="9">
        <v>6</v>
      </c>
      <c r="Z6">
        <f t="shared" si="11"/>
        <v>1</v>
      </c>
      <c r="AA6" s="9">
        <v>7373</v>
      </c>
      <c r="AB6">
        <f t="shared" si="12"/>
        <v>0.99930708654186828</v>
      </c>
      <c r="AC6" s="9">
        <v>36</v>
      </c>
      <c r="AD6">
        <f t="shared" si="13"/>
        <v>1</v>
      </c>
      <c r="AE6" s="9">
        <v>14344</v>
      </c>
      <c r="AF6">
        <f t="shared" si="14"/>
        <v>0.99964070614815215</v>
      </c>
      <c r="AG6" s="9">
        <v>550</v>
      </c>
      <c r="AH6">
        <f t="shared" si="15"/>
        <v>0.9999455944396396</v>
      </c>
      <c r="AI6" s="9">
        <v>310</v>
      </c>
      <c r="AJ6">
        <f t="shared" si="16"/>
        <v>0.99985899417458335</v>
      </c>
      <c r="AK6" s="9">
        <v>50</v>
      </c>
      <c r="AL6">
        <f t="shared" si="17"/>
        <v>0.99998762627004734</v>
      </c>
      <c r="AM6" s="9">
        <v>334</v>
      </c>
      <c r="AN6">
        <f t="shared" si="18"/>
        <v>1</v>
      </c>
      <c r="AO6" s="9">
        <v>200</v>
      </c>
      <c r="AP6">
        <f t="shared" si="19"/>
        <v>1</v>
      </c>
      <c r="AQ6" s="9">
        <v>466</v>
      </c>
      <c r="AR6">
        <f t="shared" si="20"/>
        <v>1</v>
      </c>
      <c r="AS6" s="9">
        <v>265</v>
      </c>
      <c r="AT6">
        <f t="shared" si="21"/>
        <v>0.9998410728596403</v>
      </c>
      <c r="AU6" s="9">
        <v>30</v>
      </c>
      <c r="AV6">
        <f t="shared" si="22"/>
        <v>0.99988880858397733</v>
      </c>
    </row>
    <row r="7" spans="1:48" x14ac:dyDescent="0.3">
      <c r="A7" s="1">
        <v>5</v>
      </c>
      <c r="B7" s="1" t="s">
        <v>73</v>
      </c>
      <c r="C7" s="9">
        <v>75829</v>
      </c>
      <c r="D7">
        <f t="shared" si="0"/>
        <v>0.88875266171042067</v>
      </c>
      <c r="E7" s="9">
        <v>110323</v>
      </c>
      <c r="F7">
        <f t="shared" si="1"/>
        <v>0.88464420588741022</v>
      </c>
      <c r="G7" s="9">
        <v>184079</v>
      </c>
      <c r="H7">
        <f t="shared" si="2"/>
        <v>0.82430436608939328</v>
      </c>
      <c r="I7" s="9">
        <v>29635</v>
      </c>
      <c r="J7">
        <f t="shared" si="3"/>
        <v>0.92552412779984961</v>
      </c>
      <c r="K7" s="9">
        <v>136595</v>
      </c>
      <c r="L7">
        <f t="shared" si="4"/>
        <v>0.82984770939957553</v>
      </c>
      <c r="M7" s="9">
        <v>217848</v>
      </c>
      <c r="N7">
        <f t="shared" si="5"/>
        <v>0.89948932534772152</v>
      </c>
      <c r="O7" s="9">
        <v>174607</v>
      </c>
      <c r="P7">
        <f t="shared" si="6"/>
        <v>0.82140783886223789</v>
      </c>
      <c r="Q7" s="9">
        <v>344556</v>
      </c>
      <c r="R7">
        <f t="shared" si="7"/>
        <v>0.94902330635253696</v>
      </c>
      <c r="S7" s="9">
        <v>294460</v>
      </c>
      <c r="T7">
        <f t="shared" si="8"/>
        <v>0.95023687051696248</v>
      </c>
      <c r="U7" s="9">
        <v>4470</v>
      </c>
      <c r="V7">
        <f t="shared" si="9"/>
        <v>0.96970130737665805</v>
      </c>
      <c r="W7" s="9">
        <v>4470</v>
      </c>
      <c r="X7">
        <f t="shared" si="10"/>
        <v>0.96970130737665805</v>
      </c>
      <c r="Y7" s="9">
        <v>1745</v>
      </c>
      <c r="Z7">
        <f t="shared" si="11"/>
        <v>0.97865052667763397</v>
      </c>
      <c r="AA7" s="9">
        <v>340968</v>
      </c>
      <c r="AB7">
        <f t="shared" si="12"/>
        <v>0.87166906055321358</v>
      </c>
      <c r="AC7" s="9">
        <v>11192</v>
      </c>
      <c r="AD7">
        <f t="shared" si="13"/>
        <v>0.96169889896350824</v>
      </c>
      <c r="AE7" s="9">
        <v>1281517</v>
      </c>
      <c r="AF7">
        <f t="shared" si="14"/>
        <v>0.94343237674967784</v>
      </c>
      <c r="AG7" s="9">
        <v>26185</v>
      </c>
      <c r="AH7">
        <f t="shared" si="15"/>
        <v>0.98556738268871158</v>
      </c>
      <c r="AI7" s="9">
        <v>54261</v>
      </c>
      <c r="AJ7">
        <f t="shared" si="16"/>
        <v>0.96720918607564443</v>
      </c>
      <c r="AK7" s="9">
        <v>59135</v>
      </c>
      <c r="AL7">
        <f t="shared" si="17"/>
        <v>0.96952504984293097</v>
      </c>
      <c r="AM7" s="9">
        <v>471192</v>
      </c>
      <c r="AN7">
        <f t="shared" si="18"/>
        <v>0.96390882720589699</v>
      </c>
      <c r="AO7" s="9">
        <v>183009</v>
      </c>
      <c r="AP7">
        <f t="shared" si="19"/>
        <v>0.94140878023765451</v>
      </c>
      <c r="AQ7" s="9">
        <v>87594</v>
      </c>
      <c r="AR7">
        <f t="shared" si="20"/>
        <v>0.97977486045424389</v>
      </c>
      <c r="AS7" s="9">
        <v>17997</v>
      </c>
      <c r="AT7">
        <f t="shared" si="21"/>
        <v>0.93988158237328945</v>
      </c>
      <c r="AU7" s="9">
        <v>6849</v>
      </c>
      <c r="AV7">
        <f t="shared" si="22"/>
        <v>0.94573064673692908</v>
      </c>
    </row>
    <row r="8" spans="1:48" x14ac:dyDescent="0.3">
      <c r="A8" s="1">
        <v>6</v>
      </c>
      <c r="B8" s="1" t="s">
        <v>72</v>
      </c>
      <c r="C8" s="9">
        <v>224940</v>
      </c>
      <c r="D8">
        <f t="shared" si="0"/>
        <v>0.66902100632916051</v>
      </c>
      <c r="E8" s="9">
        <v>203285</v>
      </c>
      <c r="F8">
        <f t="shared" si="1"/>
        <v>0.78597372381775221</v>
      </c>
      <c r="G8" s="9">
        <v>265164</v>
      </c>
      <c r="H8">
        <f t="shared" si="2"/>
        <v>0.74654125084634582</v>
      </c>
      <c r="I8" s="9">
        <v>24711</v>
      </c>
      <c r="J8">
        <f t="shared" si="3"/>
        <v>0.93795275908547082</v>
      </c>
      <c r="K8" s="9">
        <v>164082</v>
      </c>
      <c r="L8">
        <f t="shared" si="4"/>
        <v>0.79553613781051058</v>
      </c>
      <c r="M8" s="9">
        <v>483377</v>
      </c>
      <c r="N8">
        <f t="shared" si="5"/>
        <v>0.7749838348098087</v>
      </c>
      <c r="O8" s="9">
        <v>257813</v>
      </c>
      <c r="P8">
        <f t="shared" si="6"/>
        <v>0.73591745018643162</v>
      </c>
      <c r="Q8" s="9">
        <v>1015735</v>
      </c>
      <c r="R8">
        <f t="shared" si="7"/>
        <v>0.84851484822328671</v>
      </c>
      <c r="S8" s="9">
        <v>804203</v>
      </c>
      <c r="T8">
        <f t="shared" si="8"/>
        <v>0.8635553041089582</v>
      </c>
      <c r="U8" s="9">
        <v>15734</v>
      </c>
      <c r="V8">
        <f t="shared" si="9"/>
        <v>0.89292189821820511</v>
      </c>
      <c r="W8" s="9">
        <v>15734</v>
      </c>
      <c r="X8">
        <f t="shared" si="10"/>
        <v>0.89292189821820511</v>
      </c>
      <c r="Y8" s="9">
        <v>4308</v>
      </c>
      <c r="Z8">
        <f t="shared" si="11"/>
        <v>0.94718491418469319</v>
      </c>
      <c r="AA8" s="9">
        <v>1157173</v>
      </c>
      <c r="AB8">
        <f t="shared" si="12"/>
        <v>0.55937782416756643</v>
      </c>
      <c r="AC8" s="9">
        <v>18797</v>
      </c>
      <c r="AD8">
        <f t="shared" si="13"/>
        <v>0.93558919356887571</v>
      </c>
      <c r="AE8" s="9">
        <v>2509300</v>
      </c>
      <c r="AF8">
        <f t="shared" si="14"/>
        <v>0.88897128004556025</v>
      </c>
      <c r="AG8" s="9">
        <v>66674</v>
      </c>
      <c r="AH8">
        <f t="shared" si="15"/>
        <v>0.96285782873578307</v>
      </c>
      <c r="AI8" s="9">
        <v>342367</v>
      </c>
      <c r="AJ8">
        <f t="shared" si="16"/>
        <v>0.79285457518515334</v>
      </c>
      <c r="AK8" s="9">
        <v>286030</v>
      </c>
      <c r="AL8">
        <f t="shared" si="17"/>
        <v>0.85254432244290423</v>
      </c>
      <c r="AM8" s="9">
        <v>1175525</v>
      </c>
      <c r="AN8">
        <f t="shared" si="18"/>
        <v>0.90992184172919499</v>
      </c>
      <c r="AO8" s="9">
        <v>249101</v>
      </c>
      <c r="AP8">
        <f t="shared" si="19"/>
        <v>0.92022595610682434</v>
      </c>
      <c r="AQ8" s="9">
        <v>699011</v>
      </c>
      <c r="AR8">
        <f t="shared" si="20"/>
        <v>0.83784581186311868</v>
      </c>
      <c r="AS8" s="9">
        <v>49156</v>
      </c>
      <c r="AT8">
        <f t="shared" si="21"/>
        <v>0.83451965117183402</v>
      </c>
      <c r="AU8" s="9">
        <v>11524</v>
      </c>
      <c r="AV8">
        <f t="shared" si="22"/>
        <v>0.90860065602935458</v>
      </c>
    </row>
    <row r="9" spans="1:48" x14ac:dyDescent="0.3">
      <c r="A9" s="1">
        <v>7</v>
      </c>
      <c r="B9" s="1" t="s">
        <v>71</v>
      </c>
      <c r="C9" s="9">
        <v>205428</v>
      </c>
      <c r="D9">
        <f t="shared" si="0"/>
        <v>0.69777411012297286</v>
      </c>
      <c r="E9" s="9">
        <v>186173</v>
      </c>
      <c r="F9">
        <f t="shared" si="1"/>
        <v>0.80413651387364593</v>
      </c>
      <c r="G9" s="9">
        <v>98213</v>
      </c>
      <c r="H9">
        <f t="shared" si="2"/>
        <v>0.9066526136500952</v>
      </c>
      <c r="I9" s="9">
        <v>86466</v>
      </c>
      <c r="J9">
        <f t="shared" si="3"/>
        <v>0.78207742906038136</v>
      </c>
      <c r="K9" s="9">
        <v>478921</v>
      </c>
      <c r="L9">
        <f t="shared" si="4"/>
        <v>0.40252777431032333</v>
      </c>
      <c r="M9" s="9">
        <v>299598</v>
      </c>
      <c r="N9">
        <f t="shared" si="5"/>
        <v>0.86115707594568125</v>
      </c>
      <c r="O9" s="9">
        <v>87215</v>
      </c>
      <c r="P9">
        <f t="shared" si="6"/>
        <v>0.91119915255543371</v>
      </c>
      <c r="Q9" s="9">
        <v>531213</v>
      </c>
      <c r="R9">
        <f t="shared" si="7"/>
        <v>0.92107158666370359</v>
      </c>
      <c r="S9" s="9">
        <v>382081</v>
      </c>
      <c r="T9">
        <f t="shared" si="8"/>
        <v>0.93533695912978165</v>
      </c>
      <c r="U9" s="9">
        <v>30225</v>
      </c>
      <c r="V9">
        <f t="shared" si="9"/>
        <v>0.79414611535997159</v>
      </c>
      <c r="W9" s="9">
        <v>30225</v>
      </c>
      <c r="X9">
        <f t="shared" si="10"/>
        <v>0.79414611535997159</v>
      </c>
      <c r="Y9" s="9">
        <v>14468</v>
      </c>
      <c r="Z9">
        <f t="shared" si="11"/>
        <v>0.8224519360620719</v>
      </c>
      <c r="AA9" s="9">
        <v>692751</v>
      </c>
      <c r="AB9">
        <f t="shared" si="12"/>
        <v>0.73707205611259863</v>
      </c>
      <c r="AC9" s="9">
        <v>43719</v>
      </c>
      <c r="AD9">
        <f t="shared" si="13"/>
        <v>0.85002626420069283</v>
      </c>
      <c r="AE9" s="9">
        <v>924746</v>
      </c>
      <c r="AF9">
        <f t="shared" si="14"/>
        <v>0.95925776277654484</v>
      </c>
      <c r="AG9" s="9">
        <v>41229</v>
      </c>
      <c r="AH9">
        <f t="shared" si="15"/>
        <v>0.97712947289425245</v>
      </c>
      <c r="AI9" s="9">
        <v>48760</v>
      </c>
      <c r="AJ9">
        <f t="shared" si="16"/>
        <v>0.97053825494095303</v>
      </c>
      <c r="AK9" s="9">
        <v>39010</v>
      </c>
      <c r="AL9">
        <f t="shared" si="17"/>
        <v>0.97990093798028766</v>
      </c>
      <c r="AM9" s="9">
        <v>62595</v>
      </c>
      <c r="AN9">
        <f t="shared" si="18"/>
        <v>0.99522770663483762</v>
      </c>
      <c r="AO9" s="9">
        <v>55165</v>
      </c>
      <c r="AP9">
        <f t="shared" si="19"/>
        <v>0.98238343629560188</v>
      </c>
      <c r="AQ9" s="9">
        <v>89674</v>
      </c>
      <c r="AR9">
        <f t="shared" si="20"/>
        <v>0.97929202726336184</v>
      </c>
      <c r="AS9" s="9">
        <v>66877</v>
      </c>
      <c r="AT9">
        <f t="shared" si="21"/>
        <v>0.77459735639918437</v>
      </c>
      <c r="AU9" s="9">
        <v>20736</v>
      </c>
      <c r="AV9">
        <f t="shared" si="22"/>
        <v>0.83543670428642913</v>
      </c>
    </row>
    <row r="10" spans="1:48" x14ac:dyDescent="0.3">
      <c r="A10" s="1">
        <v>8</v>
      </c>
      <c r="B10" s="1" t="s">
        <v>70</v>
      </c>
      <c r="C10" s="9">
        <v>185669</v>
      </c>
      <c r="D10">
        <f t="shared" si="0"/>
        <v>0.72689119590925499</v>
      </c>
      <c r="E10" s="9">
        <v>336911</v>
      </c>
      <c r="F10">
        <f t="shared" si="1"/>
        <v>0.64414220301312108</v>
      </c>
      <c r="G10" s="9">
        <v>570131</v>
      </c>
      <c r="H10">
        <f t="shared" si="2"/>
        <v>0.45406811812973402</v>
      </c>
      <c r="I10" s="9">
        <v>62618</v>
      </c>
      <c r="J10">
        <f t="shared" si="3"/>
        <v>0.84227198610739507</v>
      </c>
      <c r="K10" s="9">
        <v>292725</v>
      </c>
      <c r="L10">
        <f t="shared" si="4"/>
        <v>0.63495318936462364</v>
      </c>
      <c r="M10" s="9">
        <v>981788</v>
      </c>
      <c r="N10">
        <f t="shared" si="5"/>
        <v>0.5412809020058903</v>
      </c>
      <c r="O10" s="9">
        <v>549036</v>
      </c>
      <c r="P10">
        <f t="shared" si="6"/>
        <v>0.43669903491188033</v>
      </c>
      <c r="Q10" s="9">
        <v>2080351</v>
      </c>
      <c r="R10">
        <f t="shared" si="7"/>
        <v>0.68908954936898725</v>
      </c>
      <c r="S10" s="9">
        <v>1654657</v>
      </c>
      <c r="T10">
        <f t="shared" si="8"/>
        <v>0.7189359863783511</v>
      </c>
      <c r="U10" s="9">
        <v>22933</v>
      </c>
      <c r="V10">
        <f t="shared" si="9"/>
        <v>0.84385096724060371</v>
      </c>
      <c r="W10" s="9">
        <v>22933</v>
      </c>
      <c r="X10">
        <f t="shared" si="10"/>
        <v>0.84385096724060371</v>
      </c>
      <c r="Y10" s="9">
        <v>7523</v>
      </c>
      <c r="Z10">
        <f t="shared" si="11"/>
        <v>0.90771478380435588</v>
      </c>
      <c r="AA10" s="9">
        <v>937819</v>
      </c>
      <c r="AB10">
        <f t="shared" si="12"/>
        <v>0.6433056754624461</v>
      </c>
      <c r="AC10" s="9">
        <v>30882</v>
      </c>
      <c r="AD10">
        <f t="shared" si="13"/>
        <v>0.89409862293190878</v>
      </c>
      <c r="AE10" s="9">
        <v>6739486</v>
      </c>
      <c r="AF10">
        <f t="shared" si="14"/>
        <v>0.70133179585136252</v>
      </c>
      <c r="AG10" s="9">
        <v>198653</v>
      </c>
      <c r="AH10">
        <f t="shared" si="15"/>
        <v>0.88883317460370881</v>
      </c>
      <c r="AI10" s="9">
        <v>522492</v>
      </c>
      <c r="AJ10">
        <f t="shared" si="16"/>
        <v>0.68384738933463407</v>
      </c>
      <c r="AK10" s="9">
        <v>860480</v>
      </c>
      <c r="AL10">
        <f t="shared" si="17"/>
        <v>0.55637394030603327</v>
      </c>
      <c r="AM10" s="9">
        <v>3386147</v>
      </c>
      <c r="AN10">
        <f t="shared" si="18"/>
        <v>0.74047810161127081</v>
      </c>
      <c r="AO10" s="9">
        <v>1271564</v>
      </c>
      <c r="AP10">
        <f t="shared" si="19"/>
        <v>0.59252133362178794</v>
      </c>
      <c r="AQ10" s="9">
        <v>1736809</v>
      </c>
      <c r="AR10">
        <f t="shared" si="20"/>
        <v>0.59694036963666341</v>
      </c>
      <c r="AS10" s="9">
        <v>37926</v>
      </c>
      <c r="AT10">
        <f t="shared" si="21"/>
        <v>0.87249309343225134</v>
      </c>
      <c r="AU10" s="9">
        <v>17111</v>
      </c>
      <c r="AV10">
        <f t="shared" si="22"/>
        <v>0.8642273387923024</v>
      </c>
    </row>
    <row r="11" spans="1:48" x14ac:dyDescent="0.3">
      <c r="A11" s="1">
        <v>9</v>
      </c>
      <c r="B11" s="1" t="s">
        <v>69</v>
      </c>
      <c r="C11" s="9">
        <v>678941</v>
      </c>
      <c r="D11">
        <f t="shared" si="0"/>
        <v>0</v>
      </c>
      <c r="E11" s="9">
        <v>756362</v>
      </c>
      <c r="F11">
        <f t="shared" si="1"/>
        <v>0.19893413547369515</v>
      </c>
      <c r="G11" s="9">
        <v>1043596</v>
      </c>
      <c r="H11">
        <f t="shared" si="2"/>
        <v>0</v>
      </c>
      <c r="I11" s="9">
        <v>396311</v>
      </c>
      <c r="J11">
        <f t="shared" si="3"/>
        <v>0</v>
      </c>
      <c r="K11" s="9">
        <v>801386</v>
      </c>
      <c r="L11">
        <f t="shared" si="4"/>
        <v>0</v>
      </c>
      <c r="M11" s="9">
        <v>2136161</v>
      </c>
      <c r="N11">
        <f t="shared" si="5"/>
        <v>0</v>
      </c>
      <c r="O11" s="9">
        <v>974066</v>
      </c>
      <c r="P11">
        <f t="shared" si="6"/>
        <v>0</v>
      </c>
      <c r="Q11" s="9">
        <v>6681978</v>
      </c>
      <c r="R11">
        <f t="shared" si="7"/>
        <v>0</v>
      </c>
      <c r="S11" s="9">
        <v>5882460</v>
      </c>
      <c r="T11">
        <f t="shared" si="8"/>
        <v>0</v>
      </c>
      <c r="U11" s="9">
        <v>141623</v>
      </c>
      <c r="V11">
        <f t="shared" si="9"/>
        <v>3.4817935190108104E-2</v>
      </c>
      <c r="W11" s="9">
        <v>141623</v>
      </c>
      <c r="X11">
        <f t="shared" si="10"/>
        <v>3.4817935190108104E-2</v>
      </c>
      <c r="Y11" s="9">
        <v>81460</v>
      </c>
      <c r="Z11">
        <f t="shared" si="11"/>
        <v>0</v>
      </c>
      <c r="AA11" s="9">
        <v>2225416</v>
      </c>
      <c r="AB11">
        <f t="shared" si="12"/>
        <v>0.1506533894602162</v>
      </c>
      <c r="AC11" s="9">
        <v>194255</v>
      </c>
      <c r="AD11">
        <f t="shared" si="13"/>
        <v>0.33320172622746513</v>
      </c>
      <c r="AE11" s="9">
        <v>22550465</v>
      </c>
      <c r="AF11">
        <f t="shared" si="14"/>
        <v>0</v>
      </c>
      <c r="AG11" s="9">
        <v>286169</v>
      </c>
      <c r="AH11">
        <f t="shared" si="15"/>
        <v>0.83974701975314459</v>
      </c>
      <c r="AI11" s="9">
        <v>1652491</v>
      </c>
      <c r="AJ11">
        <f t="shared" si="16"/>
        <v>0</v>
      </c>
      <c r="AK11" s="9">
        <v>1939619</v>
      </c>
      <c r="AL11">
        <f t="shared" si="17"/>
        <v>0</v>
      </c>
      <c r="AM11" s="9">
        <v>13046682</v>
      </c>
      <c r="AN11">
        <f t="shared" si="18"/>
        <v>0</v>
      </c>
      <c r="AO11" s="9">
        <v>3120275</v>
      </c>
      <c r="AP11">
        <f t="shared" si="19"/>
        <v>0</v>
      </c>
      <c r="AQ11" s="9">
        <v>4308372</v>
      </c>
      <c r="AR11">
        <f t="shared" si="20"/>
        <v>0</v>
      </c>
      <c r="AS11" s="9">
        <v>295951</v>
      </c>
      <c r="AT11">
        <f t="shared" si="21"/>
        <v>0</v>
      </c>
      <c r="AU11" s="9">
        <v>125925</v>
      </c>
      <c r="AV11">
        <f t="shared" si="22"/>
        <v>0</v>
      </c>
    </row>
    <row r="12" spans="1:48" x14ac:dyDescent="0.3">
      <c r="A12" s="1">
        <v>10</v>
      </c>
      <c r="B12" s="1" t="s">
        <v>68</v>
      </c>
      <c r="C12" s="9">
        <v>294134</v>
      </c>
      <c r="D12">
        <f t="shared" si="0"/>
        <v>0.56705594565321504</v>
      </c>
      <c r="E12" s="9">
        <v>482346</v>
      </c>
      <c r="F12">
        <f t="shared" si="1"/>
        <v>0.48977653145053951</v>
      </c>
      <c r="G12" s="9">
        <v>683429</v>
      </c>
      <c r="H12">
        <f t="shared" si="2"/>
        <v>0.34541170287652079</v>
      </c>
      <c r="I12" s="9">
        <v>144601</v>
      </c>
      <c r="J12">
        <f t="shared" si="3"/>
        <v>0.63533931374974129</v>
      </c>
      <c r="K12" s="9">
        <v>231831</v>
      </c>
      <c r="L12">
        <f t="shared" si="4"/>
        <v>0.71096617151416797</v>
      </c>
      <c r="M12" s="9">
        <v>1196190</v>
      </c>
      <c r="N12">
        <f t="shared" si="5"/>
        <v>0.4407486581368229</v>
      </c>
      <c r="O12" s="9">
        <v>633899</v>
      </c>
      <c r="P12">
        <f t="shared" si="6"/>
        <v>0.34950615393941509</v>
      </c>
      <c r="Q12" s="9">
        <v>2082670</v>
      </c>
      <c r="R12">
        <f t="shared" si="7"/>
        <v>0.68874228118210745</v>
      </c>
      <c r="S12" s="9">
        <v>1751373</v>
      </c>
      <c r="T12">
        <f t="shared" si="8"/>
        <v>0.70248947435814368</v>
      </c>
      <c r="U12" s="9">
        <v>56398</v>
      </c>
      <c r="V12">
        <f t="shared" si="9"/>
        <v>0.61574168745654578</v>
      </c>
      <c r="W12" s="9">
        <v>56398</v>
      </c>
      <c r="X12">
        <f t="shared" si="10"/>
        <v>0.61574168745654578</v>
      </c>
      <c r="Y12" s="9">
        <v>77046</v>
      </c>
      <c r="Z12">
        <f t="shared" si="11"/>
        <v>5.4190095022957741E-2</v>
      </c>
      <c r="AA12" s="9">
        <v>456850</v>
      </c>
      <c r="AB12">
        <f t="shared" si="12"/>
        <v>0.82733101673475917</v>
      </c>
      <c r="AC12" s="9">
        <v>109635</v>
      </c>
      <c r="AD12">
        <f t="shared" si="13"/>
        <v>0.62372155140745211</v>
      </c>
      <c r="AE12" s="9">
        <v>14568830</v>
      </c>
      <c r="AF12">
        <f t="shared" si="14"/>
        <v>0.35404350409801255</v>
      </c>
      <c r="AG12" s="9">
        <v>154305</v>
      </c>
      <c r="AH12">
        <f t="shared" si="15"/>
        <v>0.91370717244767807</v>
      </c>
      <c r="AI12" s="9">
        <v>444393</v>
      </c>
      <c r="AJ12">
        <f t="shared" si="16"/>
        <v>0.73111096855872681</v>
      </c>
      <c r="AK12" s="9">
        <v>422588</v>
      </c>
      <c r="AL12">
        <f t="shared" si="17"/>
        <v>0.78213883015663599</v>
      </c>
      <c r="AM12" s="9">
        <v>5023637</v>
      </c>
      <c r="AN12">
        <f t="shared" si="18"/>
        <v>0.61496481620757015</v>
      </c>
      <c r="AO12" s="9">
        <v>2135599</v>
      </c>
      <c r="AP12">
        <f t="shared" si="19"/>
        <v>0.31559369566436707</v>
      </c>
      <c r="AQ12" s="9">
        <v>918035</v>
      </c>
      <c r="AR12">
        <f t="shared" si="20"/>
        <v>0.78700347686323702</v>
      </c>
      <c r="AS12" s="9">
        <v>119749</v>
      </c>
      <c r="AT12">
        <f t="shared" si="21"/>
        <v>0.59581446778005831</v>
      </c>
      <c r="AU12" s="9">
        <v>87888</v>
      </c>
      <c r="AV12">
        <f t="shared" si="22"/>
        <v>0.30209913508962821</v>
      </c>
    </row>
    <row r="13" spans="1:48" x14ac:dyDescent="0.3">
      <c r="A13" s="1">
        <v>11</v>
      </c>
      <c r="B13" s="1" t="s">
        <v>67</v>
      </c>
      <c r="C13" s="9">
        <v>4805</v>
      </c>
      <c r="D13">
        <f t="shared" si="0"/>
        <v>0.99341443107551519</v>
      </c>
      <c r="E13" s="9">
        <v>13531</v>
      </c>
      <c r="F13">
        <f t="shared" si="1"/>
        <v>0.98737987530595051</v>
      </c>
      <c r="G13" s="9">
        <v>18261</v>
      </c>
      <c r="H13">
        <f t="shared" si="2"/>
        <v>0.9833291455599692</v>
      </c>
      <c r="I13" s="9">
        <v>1060</v>
      </c>
      <c r="J13">
        <f t="shared" si="3"/>
        <v>0.99765006991736116</v>
      </c>
      <c r="K13" s="9">
        <v>4512</v>
      </c>
      <c r="L13">
        <f t="shared" si="4"/>
        <v>0.99472475346398703</v>
      </c>
      <c r="M13" s="9">
        <v>12400</v>
      </c>
      <c r="N13">
        <f t="shared" si="5"/>
        <v>0.99582307427922478</v>
      </c>
      <c r="O13" s="9">
        <v>14815</v>
      </c>
      <c r="P13">
        <f t="shared" si="6"/>
        <v>0.98558686666413231</v>
      </c>
      <c r="Q13" s="9">
        <v>7935</v>
      </c>
      <c r="R13">
        <f t="shared" si="7"/>
        <v>0.99943200162447832</v>
      </c>
      <c r="S13" s="9">
        <v>1821</v>
      </c>
      <c r="T13">
        <f t="shared" si="8"/>
        <v>1</v>
      </c>
      <c r="U13" s="9">
        <v>25</v>
      </c>
      <c r="V13">
        <f t="shared" si="9"/>
        <v>1</v>
      </c>
      <c r="W13" s="9">
        <v>25</v>
      </c>
      <c r="X13">
        <f t="shared" si="10"/>
        <v>1</v>
      </c>
      <c r="Y13" s="9">
        <v>22</v>
      </c>
      <c r="Z13">
        <f t="shared" si="11"/>
        <v>0.99980357011319276</v>
      </c>
      <c r="AA13" s="9">
        <v>9762</v>
      </c>
      <c r="AB13">
        <f t="shared" si="12"/>
        <v>0.99839302234999816</v>
      </c>
      <c r="AC13" s="9">
        <v>140</v>
      </c>
      <c r="AD13">
        <f t="shared" si="13"/>
        <v>0.99964294419973154</v>
      </c>
      <c r="AE13" s="9">
        <v>75330</v>
      </c>
      <c r="AF13">
        <f t="shared" si="14"/>
        <v>0.99693553394459711</v>
      </c>
      <c r="AG13" s="9">
        <v>670</v>
      </c>
      <c r="AH13">
        <f t="shared" si="15"/>
        <v>0.99987828859177097</v>
      </c>
      <c r="AI13" s="9">
        <v>470</v>
      </c>
      <c r="AJ13">
        <f t="shared" si="16"/>
        <v>0.99976216613996249</v>
      </c>
      <c r="AK13" s="9">
        <v>1080</v>
      </c>
      <c r="AL13">
        <f t="shared" si="17"/>
        <v>0.99945658702624729</v>
      </c>
      <c r="AM13" s="9">
        <v>29816</v>
      </c>
      <c r="AN13">
        <f t="shared" si="18"/>
        <v>0.99774021051715012</v>
      </c>
      <c r="AO13" s="9">
        <v>21782</v>
      </c>
      <c r="AP13">
        <f t="shared" si="19"/>
        <v>0.99308285858513012</v>
      </c>
      <c r="AQ13" s="9">
        <v>647</v>
      </c>
      <c r="AR13">
        <f t="shared" si="20"/>
        <v>0.99995798422713955</v>
      </c>
      <c r="AS13" s="9">
        <v>218</v>
      </c>
      <c r="AT13">
        <f t="shared" si="21"/>
        <v>1</v>
      </c>
      <c r="AU13" s="9">
        <v>382</v>
      </c>
      <c r="AV13">
        <f t="shared" si="22"/>
        <v>0.99709313869540706</v>
      </c>
    </row>
    <row r="14" spans="1:48" x14ac:dyDescent="0.3">
      <c r="A14" s="1">
        <v>12</v>
      </c>
      <c r="B14" s="1" t="s">
        <v>66</v>
      </c>
      <c r="C14" s="9">
        <v>5822</v>
      </c>
      <c r="D14">
        <f t="shared" si="0"/>
        <v>0.99191576837777495</v>
      </c>
      <c r="E14" s="9">
        <v>8888</v>
      </c>
      <c r="F14">
        <f t="shared" si="1"/>
        <v>0.99230798623567895</v>
      </c>
      <c r="G14" s="9">
        <v>31905</v>
      </c>
      <c r="H14">
        <f t="shared" si="2"/>
        <v>0.97024411202261784</v>
      </c>
      <c r="I14" s="9">
        <v>2009</v>
      </c>
      <c r="J14">
        <f t="shared" si="3"/>
        <v>0.99525470617039646</v>
      </c>
      <c r="K14" s="9">
        <v>3896</v>
      </c>
      <c r="L14">
        <f t="shared" si="4"/>
        <v>0.99549369616776928</v>
      </c>
      <c r="M14" s="9">
        <v>27889</v>
      </c>
      <c r="N14">
        <f t="shared" si="5"/>
        <v>0.98856034386958314</v>
      </c>
      <c r="O14" s="9">
        <v>26918</v>
      </c>
      <c r="P14">
        <f t="shared" si="6"/>
        <v>0.97315158346167951</v>
      </c>
      <c r="Q14" s="9">
        <v>88792</v>
      </c>
      <c r="R14">
        <f t="shared" si="7"/>
        <v>0.98732373780967364</v>
      </c>
      <c r="S14" s="9">
        <v>84797</v>
      </c>
      <c r="T14">
        <f t="shared" si="8"/>
        <v>0.98588996876019763</v>
      </c>
      <c r="U14" s="9">
        <v>804</v>
      </c>
      <c r="V14">
        <f t="shared" si="9"/>
        <v>0.99469006039289465</v>
      </c>
      <c r="W14" s="9">
        <v>804</v>
      </c>
      <c r="X14">
        <f t="shared" si="10"/>
        <v>0.99469006039289465</v>
      </c>
      <c r="Y14" s="9">
        <v>702</v>
      </c>
      <c r="Z14">
        <f t="shared" si="11"/>
        <v>0.99145529992388337</v>
      </c>
      <c r="AA14" s="9">
        <v>14328</v>
      </c>
      <c r="AB14">
        <f t="shared" si="12"/>
        <v>0.99664600807621051</v>
      </c>
      <c r="AC14" s="9">
        <v>6233</v>
      </c>
      <c r="AD14">
        <f t="shared" si="13"/>
        <v>0.97872428082438689</v>
      </c>
      <c r="AE14" s="9">
        <v>89173</v>
      </c>
      <c r="AF14">
        <f t="shared" si="14"/>
        <v>0.99632149631606259</v>
      </c>
      <c r="AG14" s="9">
        <v>5791</v>
      </c>
      <c r="AH14">
        <f t="shared" si="15"/>
        <v>0.99700601153397883</v>
      </c>
      <c r="AI14" s="9">
        <v>1471</v>
      </c>
      <c r="AJ14">
        <f t="shared" si="16"/>
        <v>0.99915638574836574</v>
      </c>
      <c r="AK14" s="9">
        <v>1014</v>
      </c>
      <c r="AL14">
        <f t="shared" si="17"/>
        <v>0.999490614783617</v>
      </c>
      <c r="AM14" s="9">
        <v>44435</v>
      </c>
      <c r="AN14">
        <f t="shared" si="18"/>
        <v>0.99661966705165306</v>
      </c>
      <c r="AO14" s="9">
        <v>60514</v>
      </c>
      <c r="AP14">
        <f t="shared" si="19"/>
        <v>0.98066905442978136</v>
      </c>
      <c r="AQ14" s="9">
        <v>1531</v>
      </c>
      <c r="AR14">
        <f t="shared" si="20"/>
        <v>0.99975278012101476</v>
      </c>
      <c r="AS14" s="9">
        <v>638</v>
      </c>
      <c r="AT14">
        <f t="shared" si="21"/>
        <v>0.99857980002231739</v>
      </c>
      <c r="AU14" s="9">
        <v>254</v>
      </c>
      <c r="AV14">
        <f t="shared" si="22"/>
        <v>0.99810974592761437</v>
      </c>
    </row>
    <row r="15" spans="1:48" x14ac:dyDescent="0.3">
      <c r="A15" s="1">
        <v>13</v>
      </c>
      <c r="B15" s="1" t="s">
        <v>65</v>
      </c>
      <c r="C15" s="9">
        <v>5748</v>
      </c>
      <c r="D15">
        <f t="shared" si="0"/>
        <v>0.99202481561438538</v>
      </c>
      <c r="E15" s="9">
        <v>36550</v>
      </c>
      <c r="F15">
        <f t="shared" si="1"/>
        <v>0.96294735635453532</v>
      </c>
      <c r="G15" s="9">
        <v>52439</v>
      </c>
      <c r="H15">
        <f t="shared" si="2"/>
        <v>0.95055134753595893</v>
      </c>
      <c r="I15" s="9">
        <v>2524</v>
      </c>
      <c r="J15">
        <f t="shared" si="3"/>
        <v>0.99395479855218061</v>
      </c>
      <c r="K15" s="9">
        <v>8542</v>
      </c>
      <c r="L15">
        <f t="shared" si="4"/>
        <v>0.98969417051554109</v>
      </c>
      <c r="M15" s="9">
        <v>43495</v>
      </c>
      <c r="N15">
        <f t="shared" si="5"/>
        <v>0.98124275262593497</v>
      </c>
      <c r="O15" s="9">
        <v>48621</v>
      </c>
      <c r="P15">
        <f t="shared" si="6"/>
        <v>0.95085273595752096</v>
      </c>
      <c r="Q15" s="9">
        <v>36449</v>
      </c>
      <c r="R15">
        <f t="shared" si="7"/>
        <v>0.99516205549222836</v>
      </c>
      <c r="S15" s="9">
        <v>18369</v>
      </c>
      <c r="T15">
        <f t="shared" si="8"/>
        <v>0.99718602009067381</v>
      </c>
      <c r="U15" s="9">
        <v>1817</v>
      </c>
      <c r="V15">
        <f t="shared" si="9"/>
        <v>0.98778509399751879</v>
      </c>
      <c r="W15" s="9">
        <v>1817</v>
      </c>
      <c r="X15">
        <f t="shared" si="10"/>
        <v>0.98778509399751879</v>
      </c>
      <c r="Y15" s="9">
        <v>144</v>
      </c>
      <c r="Z15">
        <f t="shared" si="11"/>
        <v>0.99830579222628724</v>
      </c>
      <c r="AA15" s="9">
        <v>28339</v>
      </c>
      <c r="AB15">
        <f t="shared" si="12"/>
        <v>0.99128520715854973</v>
      </c>
      <c r="AC15" s="9">
        <v>747</v>
      </c>
      <c r="AD15">
        <f t="shared" si="13"/>
        <v>0.99755897428854912</v>
      </c>
      <c r="AE15" s="9">
        <v>181653</v>
      </c>
      <c r="AF15">
        <f t="shared" si="14"/>
        <v>0.99221933638780424</v>
      </c>
      <c r="AG15" s="9">
        <v>2218</v>
      </c>
      <c r="AH15">
        <f t="shared" si="15"/>
        <v>0.99901004315426611</v>
      </c>
      <c r="AI15" s="9">
        <v>1262</v>
      </c>
      <c r="AJ15">
        <f t="shared" si="16"/>
        <v>0.99928286736858918</v>
      </c>
      <c r="AK15" s="9">
        <v>1142</v>
      </c>
      <c r="AL15">
        <f t="shared" si="17"/>
        <v>0.99942462155720302</v>
      </c>
      <c r="AM15" s="9">
        <v>75066</v>
      </c>
      <c r="AN15">
        <f t="shared" si="18"/>
        <v>0.99427180694551454</v>
      </c>
      <c r="AO15" s="9">
        <v>94028</v>
      </c>
      <c r="AP15">
        <f t="shared" si="19"/>
        <v>0.96992764597004877</v>
      </c>
      <c r="AQ15" s="9">
        <v>2811</v>
      </c>
      <c r="AR15">
        <f t="shared" si="20"/>
        <v>0.9994556520035488</v>
      </c>
      <c r="AS15" s="9">
        <v>647</v>
      </c>
      <c r="AT15">
        <f t="shared" si="21"/>
        <v>0.99854936716565279</v>
      </c>
      <c r="AU15" s="9">
        <v>493</v>
      </c>
      <c r="AV15">
        <f t="shared" si="22"/>
        <v>0.99621154961122715</v>
      </c>
    </row>
    <row r="16" spans="1:48" x14ac:dyDescent="0.3">
      <c r="A16" s="1">
        <v>14</v>
      </c>
      <c r="B16" s="1" t="s">
        <v>64</v>
      </c>
      <c r="C16" s="9">
        <v>7907</v>
      </c>
      <c r="D16">
        <f t="shared" si="0"/>
        <v>0.98884328880571171</v>
      </c>
      <c r="E16" s="9">
        <v>35307</v>
      </c>
      <c r="F16">
        <f t="shared" si="1"/>
        <v>0.96426668478133959</v>
      </c>
      <c r="G16" s="9">
        <v>68035</v>
      </c>
      <c r="H16">
        <f t="shared" si="2"/>
        <v>0.93559428340164841</v>
      </c>
      <c r="I16" s="9">
        <v>3150</v>
      </c>
      <c r="J16">
        <f t="shared" si="3"/>
        <v>0.99237471667062105</v>
      </c>
      <c r="K16" s="9">
        <v>14425</v>
      </c>
      <c r="L16">
        <f t="shared" si="4"/>
        <v>0.98235051803769813</v>
      </c>
      <c r="M16" s="9">
        <v>66952</v>
      </c>
      <c r="N16">
        <f t="shared" si="5"/>
        <v>0.97024385875163943</v>
      </c>
      <c r="O16" s="9">
        <v>64623</v>
      </c>
      <c r="P16">
        <f t="shared" si="6"/>
        <v>0.93441140721211491</v>
      </c>
      <c r="Q16" s="9">
        <v>81799</v>
      </c>
      <c r="R16">
        <f t="shared" si="7"/>
        <v>0.98837093333828507</v>
      </c>
      <c r="S16" s="9">
        <v>53316</v>
      </c>
      <c r="T16">
        <f t="shared" si="8"/>
        <v>0.99124329855990145</v>
      </c>
      <c r="U16" s="9">
        <v>4326</v>
      </c>
      <c r="V16">
        <f t="shared" si="9"/>
        <v>0.97068286232328604</v>
      </c>
      <c r="W16" s="9">
        <v>4326</v>
      </c>
      <c r="X16">
        <f t="shared" si="10"/>
        <v>0.97068286232328604</v>
      </c>
      <c r="Y16" s="9">
        <v>2528</v>
      </c>
      <c r="Z16">
        <f t="shared" si="11"/>
        <v>0.96903773909200286</v>
      </c>
      <c r="AA16" s="9">
        <v>35654</v>
      </c>
      <c r="AB16">
        <f t="shared" si="12"/>
        <v>0.98848638775146336</v>
      </c>
      <c r="AC16" s="9">
        <v>1239</v>
      </c>
      <c r="AD16">
        <f t="shared" si="13"/>
        <v>0.9958698256949714</v>
      </c>
      <c r="AE16" s="9">
        <v>359240</v>
      </c>
      <c r="AF16">
        <f t="shared" si="14"/>
        <v>0.98434206265100044</v>
      </c>
      <c r="AG16" s="9">
        <v>2891</v>
      </c>
      <c r="AH16">
        <f t="shared" si="15"/>
        <v>0.99863256952413648</v>
      </c>
      <c r="AI16" s="9">
        <v>4213</v>
      </c>
      <c r="AJ16">
        <f t="shared" si="16"/>
        <v>0.99749699530505065</v>
      </c>
      <c r="AK16" s="9">
        <v>3945</v>
      </c>
      <c r="AL16">
        <f t="shared" si="17"/>
        <v>0.99797947301315271</v>
      </c>
      <c r="AM16" s="9">
        <v>24472</v>
      </c>
      <c r="AN16">
        <f t="shared" si="18"/>
        <v>0.99814982706271516</v>
      </c>
      <c r="AO16" s="9">
        <v>45495</v>
      </c>
      <c r="AP16">
        <f t="shared" si="19"/>
        <v>0.98548272076793031</v>
      </c>
      <c r="AQ16" s="9">
        <v>5555</v>
      </c>
      <c r="AR16">
        <f t="shared" si="20"/>
        <v>0.99881868360173132</v>
      </c>
      <c r="AS16" s="9">
        <v>1954</v>
      </c>
      <c r="AT16">
        <f t="shared" si="21"/>
        <v>0.99412984009224536</v>
      </c>
      <c r="AU16" s="9">
        <v>1770</v>
      </c>
      <c r="AV16">
        <f t="shared" si="22"/>
        <v>0.98606930402115811</v>
      </c>
    </row>
    <row r="17" spans="1:48" x14ac:dyDescent="0.3">
      <c r="A17" s="1">
        <v>15</v>
      </c>
      <c r="B17" s="1" t="s">
        <v>63</v>
      </c>
      <c r="C17" s="9">
        <v>3774</v>
      </c>
      <c r="D17">
        <f t="shared" si="0"/>
        <v>0.99493372433153304</v>
      </c>
      <c r="E17" s="9">
        <v>11062</v>
      </c>
      <c r="F17">
        <f t="shared" si="1"/>
        <v>0.99000048824704456</v>
      </c>
      <c r="G17" s="9">
        <v>11038</v>
      </c>
      <c r="H17">
        <f t="shared" si="2"/>
        <v>0.99025623418795883</v>
      </c>
      <c r="I17" s="9">
        <v>1091</v>
      </c>
      <c r="J17">
        <f t="shared" si="3"/>
        <v>0.99757182305102199</v>
      </c>
      <c r="K17" s="9">
        <v>5641</v>
      </c>
      <c r="L17">
        <f t="shared" si="4"/>
        <v>0.99331544126825611</v>
      </c>
      <c r="M17" s="9">
        <v>10875</v>
      </c>
      <c r="N17">
        <f t="shared" si="5"/>
        <v>0.99653814070537905</v>
      </c>
      <c r="O17" s="9">
        <v>9630</v>
      </c>
      <c r="P17">
        <f t="shared" si="6"/>
        <v>0.99091421884166819</v>
      </c>
      <c r="Q17" s="9">
        <v>15681</v>
      </c>
      <c r="R17">
        <f t="shared" si="7"/>
        <v>0.9982720450157806</v>
      </c>
      <c r="S17" s="9">
        <v>12049</v>
      </c>
      <c r="T17">
        <f t="shared" si="8"/>
        <v>0.99826073322984121</v>
      </c>
      <c r="U17" s="9">
        <v>392</v>
      </c>
      <c r="V17">
        <f t="shared" si="9"/>
        <v>0.99749839815685792</v>
      </c>
      <c r="W17" s="9">
        <v>392</v>
      </c>
      <c r="X17">
        <f t="shared" si="10"/>
        <v>0.99749839815685792</v>
      </c>
      <c r="Y17" s="9">
        <v>525</v>
      </c>
      <c r="Z17">
        <f t="shared" si="11"/>
        <v>0.99362830554668891</v>
      </c>
      <c r="AA17" s="9">
        <v>23402</v>
      </c>
      <c r="AB17">
        <f t="shared" si="12"/>
        <v>0.99317417112475426</v>
      </c>
      <c r="AC17" s="9">
        <v>1202</v>
      </c>
      <c r="AD17">
        <f t="shared" si="13"/>
        <v>0.99599685516237457</v>
      </c>
      <c r="AE17" s="9">
        <v>76283</v>
      </c>
      <c r="AF17">
        <f t="shared" si="14"/>
        <v>0.9968932614704229</v>
      </c>
      <c r="AG17" s="9">
        <v>1439</v>
      </c>
      <c r="AH17">
        <f t="shared" si="15"/>
        <v>0.99944697028334639</v>
      </c>
      <c r="AI17" s="9">
        <v>812</v>
      </c>
      <c r="AJ17">
        <f t="shared" si="16"/>
        <v>0.99955519621596045</v>
      </c>
      <c r="AK17" s="9">
        <v>1255</v>
      </c>
      <c r="AL17">
        <f t="shared" si="17"/>
        <v>0.99936636191200934</v>
      </c>
      <c r="AM17" s="9">
        <v>7303</v>
      </c>
      <c r="AN17">
        <f t="shared" si="18"/>
        <v>0.99946582752506674</v>
      </c>
      <c r="AO17" s="9">
        <v>4726</v>
      </c>
      <c r="AP17">
        <f t="shared" si="19"/>
        <v>0.99854939384469921</v>
      </c>
      <c r="AQ17" s="9">
        <v>1265</v>
      </c>
      <c r="AR17">
        <f t="shared" si="20"/>
        <v>0.99981452705792562</v>
      </c>
      <c r="AS17" s="9">
        <v>836</v>
      </c>
      <c r="AT17">
        <f t="shared" si="21"/>
        <v>0.99791027717569569</v>
      </c>
      <c r="AU17" s="9">
        <v>846</v>
      </c>
      <c r="AV17">
        <f t="shared" si="22"/>
        <v>0.99340793747865519</v>
      </c>
    </row>
    <row r="18" spans="1:48" x14ac:dyDescent="0.3">
      <c r="A18" s="1">
        <v>16</v>
      </c>
      <c r="B18" s="1" t="s">
        <v>62</v>
      </c>
      <c r="C18" s="9">
        <v>47948</v>
      </c>
      <c r="D18">
        <f t="shared" si="0"/>
        <v>0.92983841852034688</v>
      </c>
      <c r="E18" s="9">
        <v>59636</v>
      </c>
      <c r="F18">
        <f t="shared" si="1"/>
        <v>0.93844372315968017</v>
      </c>
      <c r="G18" s="9">
        <v>79353</v>
      </c>
      <c r="H18">
        <f t="shared" si="2"/>
        <v>0.92473995845473078</v>
      </c>
      <c r="I18" s="9">
        <v>3849</v>
      </c>
      <c r="J18">
        <f t="shared" si="3"/>
        <v>0.99061037603929503</v>
      </c>
      <c r="K18" s="9">
        <v>3448</v>
      </c>
      <c r="L18">
        <f t="shared" si="4"/>
        <v>0.99605292722506555</v>
      </c>
      <c r="M18" s="9">
        <v>56227</v>
      </c>
      <c r="N18">
        <f t="shared" si="5"/>
        <v>0.97527276853557676</v>
      </c>
      <c r="O18" s="9">
        <v>70307</v>
      </c>
      <c r="P18">
        <f t="shared" si="6"/>
        <v>0.92857135518181322</v>
      </c>
      <c r="Q18" s="9">
        <v>56362</v>
      </c>
      <c r="R18">
        <f t="shared" si="7"/>
        <v>0.99218010145801727</v>
      </c>
      <c r="S18" s="9">
        <v>43159</v>
      </c>
      <c r="T18">
        <f t="shared" si="8"/>
        <v>0.99297049181219932</v>
      </c>
      <c r="U18" s="9">
        <v>5001</v>
      </c>
      <c r="V18">
        <f t="shared" si="9"/>
        <v>0.9660818235109675</v>
      </c>
      <c r="W18" s="9">
        <v>5001</v>
      </c>
      <c r="X18">
        <f t="shared" si="10"/>
        <v>0.9660818235109675</v>
      </c>
      <c r="Y18" s="9">
        <v>930</v>
      </c>
      <c r="Z18">
        <f t="shared" si="11"/>
        <v>0.98865617403687966</v>
      </c>
      <c r="AA18" s="9">
        <v>46258</v>
      </c>
      <c r="AB18">
        <f t="shared" si="12"/>
        <v>0.98442915179893498</v>
      </c>
      <c r="AC18" s="9">
        <v>8307</v>
      </c>
      <c r="AD18">
        <f t="shared" si="13"/>
        <v>0.97160376419210981</v>
      </c>
      <c r="AE18" s="9">
        <v>406606</v>
      </c>
      <c r="AF18">
        <f t="shared" si="14"/>
        <v>0.9822410364057379</v>
      </c>
      <c r="AG18" s="9">
        <v>8746</v>
      </c>
      <c r="AH18">
        <f t="shared" si="15"/>
        <v>0.99534860503021472</v>
      </c>
      <c r="AI18" s="9">
        <v>12056</v>
      </c>
      <c r="AJ18">
        <f t="shared" si="16"/>
        <v>0.99275060608297916</v>
      </c>
      <c r="AK18" s="9">
        <v>5358</v>
      </c>
      <c r="AL18">
        <f t="shared" si="17"/>
        <v>0.99725096966219207</v>
      </c>
      <c r="AM18" s="9">
        <v>20551</v>
      </c>
      <c r="AN18">
        <f t="shared" si="18"/>
        <v>0.99845037093905509</v>
      </c>
      <c r="AO18" s="9">
        <v>13763</v>
      </c>
      <c r="AP18">
        <f t="shared" si="19"/>
        <v>0.99565298911083866</v>
      </c>
      <c r="AQ18" s="9">
        <v>17595</v>
      </c>
      <c r="AR18">
        <f t="shared" si="20"/>
        <v>0.99602382224681785</v>
      </c>
      <c r="AS18" s="9">
        <v>8884</v>
      </c>
      <c r="AT18">
        <f t="shared" si="21"/>
        <v>0.97069654046048293</v>
      </c>
      <c r="AU18" s="9">
        <v>3228</v>
      </c>
      <c r="AV18">
        <f t="shared" si="22"/>
        <v>0.97448951226679581</v>
      </c>
    </row>
    <row r="19" spans="1:48" x14ac:dyDescent="0.3">
      <c r="A19" s="1">
        <v>17</v>
      </c>
      <c r="B19" s="1" t="s">
        <v>61</v>
      </c>
      <c r="C19" s="9">
        <v>10943</v>
      </c>
      <c r="D19">
        <f t="shared" si="0"/>
        <v>0.98436940488207425</v>
      </c>
      <c r="E19" s="9">
        <v>31071</v>
      </c>
      <c r="F19">
        <f t="shared" si="1"/>
        <v>0.96876280321733577</v>
      </c>
      <c r="G19" s="9">
        <v>43505</v>
      </c>
      <c r="H19">
        <f t="shared" si="2"/>
        <v>0.959119340032492</v>
      </c>
      <c r="I19" s="9">
        <v>4559</v>
      </c>
      <c r="J19">
        <f t="shared" si="3"/>
        <v>0.98881827039088099</v>
      </c>
      <c r="K19" s="9">
        <v>13806</v>
      </c>
      <c r="L19">
        <f t="shared" si="4"/>
        <v>0.98312320559231059</v>
      </c>
      <c r="M19" s="9">
        <v>44393</v>
      </c>
      <c r="N19">
        <f t="shared" si="5"/>
        <v>0.98082168400253389</v>
      </c>
      <c r="O19" s="9">
        <v>41251</v>
      </c>
      <c r="P19">
        <f t="shared" si="6"/>
        <v>0.95842507646830966</v>
      </c>
      <c r="Q19" s="9">
        <v>60923</v>
      </c>
      <c r="R19">
        <f t="shared" si="7"/>
        <v>0.99149709576575407</v>
      </c>
      <c r="S19" s="9">
        <v>42169</v>
      </c>
      <c r="T19">
        <f t="shared" si="8"/>
        <v>0.99313884086406257</v>
      </c>
      <c r="U19" s="9">
        <v>1450</v>
      </c>
      <c r="V19">
        <f t="shared" si="9"/>
        <v>0.99028669584066087</v>
      </c>
      <c r="W19" s="9">
        <v>1450</v>
      </c>
      <c r="X19">
        <f t="shared" si="10"/>
        <v>0.99028669584066087</v>
      </c>
      <c r="Y19" s="9">
        <v>288</v>
      </c>
      <c r="Z19">
        <f t="shared" si="11"/>
        <v>0.99653792324502177</v>
      </c>
      <c r="AA19" s="9">
        <v>21419</v>
      </c>
      <c r="AB19">
        <f t="shared" si="12"/>
        <v>0.99393289414379082</v>
      </c>
      <c r="AC19" s="9">
        <v>1789</v>
      </c>
      <c r="AD19">
        <f t="shared" si="13"/>
        <v>0.99398154982816689</v>
      </c>
      <c r="AE19" s="9">
        <v>274500</v>
      </c>
      <c r="AF19">
        <f t="shared" si="14"/>
        <v>0.98810089734304862</v>
      </c>
      <c r="AG19" s="9">
        <v>4102</v>
      </c>
      <c r="AH19">
        <f t="shared" si="15"/>
        <v>0.99795334134272928</v>
      </c>
      <c r="AI19" s="9">
        <v>2607</v>
      </c>
      <c r="AJ19">
        <f t="shared" si="16"/>
        <v>0.99846890670255761</v>
      </c>
      <c r="AK19" s="9">
        <v>4917</v>
      </c>
      <c r="AL19">
        <f t="shared" si="17"/>
        <v>0.99747833695007149</v>
      </c>
      <c r="AM19" s="9">
        <v>51488</v>
      </c>
      <c r="AN19">
        <f t="shared" si="18"/>
        <v>0.99607905599329405</v>
      </c>
      <c r="AO19" s="9">
        <v>53820</v>
      </c>
      <c r="AP19">
        <f t="shared" si="19"/>
        <v>0.98281451567670652</v>
      </c>
      <c r="AQ19" s="9">
        <v>5994</v>
      </c>
      <c r="AR19">
        <f t="shared" si="20"/>
        <v>0.9987167779426942</v>
      </c>
      <c r="AS19" s="9">
        <v>3183</v>
      </c>
      <c r="AT19">
        <f t="shared" si="21"/>
        <v>0.98997406444326475</v>
      </c>
      <c r="AU19" s="9">
        <v>2425</v>
      </c>
      <c r="AV19">
        <f t="shared" si="22"/>
        <v>0.98086713420009686</v>
      </c>
    </row>
    <row r="20" spans="1:48" x14ac:dyDescent="0.3">
      <c r="A20" s="1">
        <v>18</v>
      </c>
      <c r="B20" s="1" t="s">
        <v>60</v>
      </c>
      <c r="C20" s="9">
        <v>184761</v>
      </c>
      <c r="D20">
        <f t="shared" si="0"/>
        <v>0.72822923497469072</v>
      </c>
      <c r="E20" s="9">
        <v>408746</v>
      </c>
      <c r="F20">
        <f t="shared" si="1"/>
        <v>0.56789605857266279</v>
      </c>
      <c r="G20" s="9">
        <v>436025</v>
      </c>
      <c r="H20">
        <f t="shared" si="2"/>
        <v>0.58268007265626953</v>
      </c>
      <c r="I20" s="9">
        <v>50259</v>
      </c>
      <c r="J20">
        <f t="shared" si="3"/>
        <v>0.87346724485211347</v>
      </c>
      <c r="K20" s="9">
        <v>218453</v>
      </c>
      <c r="L20">
        <f t="shared" si="4"/>
        <v>0.72766570964923227</v>
      </c>
      <c r="M20" s="9">
        <v>492736</v>
      </c>
      <c r="N20">
        <f t="shared" si="5"/>
        <v>0.77059543698529875</v>
      </c>
      <c r="O20" s="9">
        <v>411550</v>
      </c>
      <c r="P20">
        <f t="shared" si="6"/>
        <v>0.57795966007691524</v>
      </c>
      <c r="Q20" s="9">
        <v>709603</v>
      </c>
      <c r="R20">
        <f t="shared" si="7"/>
        <v>0.89435784287005549</v>
      </c>
      <c r="S20" s="9">
        <v>529149</v>
      </c>
      <c r="T20">
        <f t="shared" si="8"/>
        <v>0.91032811230208144</v>
      </c>
      <c r="U20" s="9">
        <v>26543</v>
      </c>
      <c r="V20">
        <f t="shared" si="9"/>
        <v>0.81924393003694462</v>
      </c>
      <c r="W20" s="9">
        <v>26543</v>
      </c>
      <c r="X20">
        <f t="shared" si="10"/>
        <v>0.81924393003694462</v>
      </c>
      <c r="Y20" s="9">
        <v>16655</v>
      </c>
      <c r="Z20">
        <f t="shared" si="11"/>
        <v>0.79560242590910202</v>
      </c>
      <c r="AA20" s="9">
        <v>305204</v>
      </c>
      <c r="AB20">
        <f t="shared" si="12"/>
        <v>0.88535285785670503</v>
      </c>
      <c r="AC20" s="9">
        <v>39334</v>
      </c>
      <c r="AD20">
        <f t="shared" si="13"/>
        <v>0.86508097270239748</v>
      </c>
      <c r="AE20" s="9">
        <v>3637303</v>
      </c>
      <c r="AF20">
        <f t="shared" si="14"/>
        <v>0.83893615130902066</v>
      </c>
      <c r="AG20" s="9">
        <v>41649</v>
      </c>
      <c r="AH20">
        <f t="shared" si="15"/>
        <v>0.97689390242671237</v>
      </c>
      <c r="AI20" s="9">
        <v>88258</v>
      </c>
      <c r="AJ20">
        <f t="shared" si="16"/>
        <v>0.94663504424436007</v>
      </c>
      <c r="AK20" s="9">
        <v>54973</v>
      </c>
      <c r="AL20">
        <f t="shared" si="17"/>
        <v>0.97167086084554855</v>
      </c>
      <c r="AM20" s="9">
        <v>1052339</v>
      </c>
      <c r="AN20">
        <f t="shared" si="18"/>
        <v>0.91936402432312858</v>
      </c>
      <c r="AO20" s="9">
        <v>708539</v>
      </c>
      <c r="AP20">
        <f t="shared" si="19"/>
        <v>0.7729737265931107</v>
      </c>
      <c r="AQ20" s="9">
        <v>213700</v>
      </c>
      <c r="AR20">
        <f t="shared" si="20"/>
        <v>0.95050170546896795</v>
      </c>
      <c r="AS20" s="9">
        <v>60800</v>
      </c>
      <c r="AT20">
        <f t="shared" si="21"/>
        <v>0.79514629750484389</v>
      </c>
      <c r="AU20" s="9">
        <v>19170</v>
      </c>
      <c r="AV20">
        <f t="shared" si="22"/>
        <v>0.84787425839296637</v>
      </c>
    </row>
    <row r="21" spans="1:48" x14ac:dyDescent="0.3">
      <c r="A21" s="1">
        <v>19</v>
      </c>
      <c r="B21" s="1" t="s">
        <v>59</v>
      </c>
      <c r="C21" s="9">
        <v>252311</v>
      </c>
      <c r="D21">
        <f t="shared" si="0"/>
        <v>0.62868679128506277</v>
      </c>
      <c r="E21" s="9">
        <v>943787</v>
      </c>
      <c r="F21">
        <f t="shared" si="1"/>
        <v>0</v>
      </c>
      <c r="G21" s="9">
        <v>681996</v>
      </c>
      <c r="H21">
        <f t="shared" si="2"/>
        <v>0.34678599583012859</v>
      </c>
      <c r="I21" s="9">
        <v>268830</v>
      </c>
      <c r="J21">
        <f t="shared" si="3"/>
        <v>0.32177383121898523</v>
      </c>
      <c r="K21" s="9">
        <v>388042</v>
      </c>
      <c r="L21">
        <f t="shared" si="4"/>
        <v>0.51597054050680313</v>
      </c>
      <c r="M21" s="9">
        <v>948770</v>
      </c>
      <c r="N21">
        <f t="shared" si="5"/>
        <v>0.55676291070016026</v>
      </c>
      <c r="O21" s="9">
        <v>639237</v>
      </c>
      <c r="P21">
        <f t="shared" si="6"/>
        <v>0.34402160120582076</v>
      </c>
      <c r="Q21" s="9">
        <v>1285399</v>
      </c>
      <c r="R21">
        <f t="shared" si="7"/>
        <v>0.80813290413241656</v>
      </c>
      <c r="S21" s="9">
        <v>1119855</v>
      </c>
      <c r="T21">
        <f t="shared" si="8"/>
        <v>0.80987882439306336</v>
      </c>
      <c r="U21" s="9">
        <v>27706</v>
      </c>
      <c r="V21">
        <f t="shared" si="9"/>
        <v>0.8113165105721647</v>
      </c>
      <c r="W21" s="9">
        <v>27706</v>
      </c>
      <c r="X21">
        <f t="shared" si="10"/>
        <v>0.8113165105721647</v>
      </c>
      <c r="Y21" s="9">
        <v>15109</v>
      </c>
      <c r="Z21">
        <f t="shared" si="11"/>
        <v>0.81458246372185528</v>
      </c>
      <c r="AA21" s="9">
        <v>878798</v>
      </c>
      <c r="AB21">
        <f t="shared" si="12"/>
        <v>0.66588792019595944</v>
      </c>
      <c r="AC21" s="9">
        <v>54654</v>
      </c>
      <c r="AD21">
        <f t="shared" si="13"/>
        <v>0.81248390673977156</v>
      </c>
      <c r="AE21" s="9">
        <v>8637076</v>
      </c>
      <c r="AF21">
        <f t="shared" si="14"/>
        <v>0.61715989210716127</v>
      </c>
      <c r="AG21" s="9">
        <v>145725</v>
      </c>
      <c r="AH21">
        <f t="shared" si="15"/>
        <v>0.9185195405702824</v>
      </c>
      <c r="AI21" s="9">
        <v>177918</v>
      </c>
      <c r="AJ21">
        <f t="shared" si="16"/>
        <v>0.89237503434369359</v>
      </c>
      <c r="AK21" s="9">
        <v>152063</v>
      </c>
      <c r="AL21">
        <f t="shared" si="17"/>
        <v>0.92161396746637048</v>
      </c>
      <c r="AM21" s="9">
        <v>2699639</v>
      </c>
      <c r="AN21">
        <f t="shared" si="18"/>
        <v>0.79309880435505786</v>
      </c>
      <c r="AO21" s="9">
        <v>1168170</v>
      </c>
      <c r="AP21">
        <f t="shared" si="19"/>
        <v>0.625659639591997</v>
      </c>
      <c r="AQ21" s="9">
        <v>567424</v>
      </c>
      <c r="AR21">
        <f t="shared" si="20"/>
        <v>0.86839127873263711</v>
      </c>
      <c r="AS21" s="9">
        <v>62639</v>
      </c>
      <c r="AT21">
        <f t="shared" si="21"/>
        <v>0.78892785045970526</v>
      </c>
      <c r="AU21" s="9">
        <v>36758</v>
      </c>
      <c r="AV21">
        <f t="shared" si="22"/>
        <v>0.70818607089246999</v>
      </c>
    </row>
    <row r="22" spans="1:48" x14ac:dyDescent="0.3">
      <c r="A22" s="1">
        <v>20</v>
      </c>
      <c r="B22" s="1" t="s">
        <v>58</v>
      </c>
      <c r="C22" s="9">
        <v>121849</v>
      </c>
      <c r="D22">
        <f t="shared" si="0"/>
        <v>0.82093706942919664</v>
      </c>
      <c r="E22" s="9">
        <v>241864</v>
      </c>
      <c r="F22">
        <f t="shared" si="1"/>
        <v>0.74502571788236638</v>
      </c>
      <c r="G22" s="9">
        <v>237614</v>
      </c>
      <c r="H22">
        <f t="shared" si="2"/>
        <v>0.77296258432289455</v>
      </c>
      <c r="I22" s="9">
        <v>69667</v>
      </c>
      <c r="J22">
        <f t="shared" si="3"/>
        <v>0.82447965833884429</v>
      </c>
      <c r="K22" s="9">
        <v>106142</v>
      </c>
      <c r="L22">
        <f t="shared" si="4"/>
        <v>0.867861690176008</v>
      </c>
      <c r="M22" s="9">
        <v>387727</v>
      </c>
      <c r="N22">
        <f t="shared" si="5"/>
        <v>0.8198337388502388</v>
      </c>
      <c r="O22" s="9">
        <v>222464</v>
      </c>
      <c r="P22">
        <f t="shared" si="6"/>
        <v>0.77223694336361925</v>
      </c>
      <c r="Q22" s="9">
        <v>935157</v>
      </c>
      <c r="R22">
        <f t="shared" si="7"/>
        <v>0.86058133203630638</v>
      </c>
      <c r="S22" s="9">
        <v>800225</v>
      </c>
      <c r="T22">
        <f t="shared" si="8"/>
        <v>0.86423176120826328</v>
      </c>
      <c r="U22" s="9">
        <v>36551</v>
      </c>
      <c r="V22">
        <f t="shared" si="9"/>
        <v>0.75102586124630211</v>
      </c>
      <c r="W22" s="9">
        <v>36551</v>
      </c>
      <c r="X22">
        <f t="shared" si="10"/>
        <v>0.75102586124630211</v>
      </c>
      <c r="Y22" s="9">
        <v>35419</v>
      </c>
      <c r="Z22">
        <f t="shared" si="11"/>
        <v>0.56523927615586711</v>
      </c>
      <c r="AA22" s="9">
        <v>266485</v>
      </c>
      <c r="AB22">
        <f t="shared" si="12"/>
        <v>0.9001672787210907</v>
      </c>
      <c r="AC22" s="9">
        <v>44039</v>
      </c>
      <c r="AD22">
        <f t="shared" si="13"/>
        <v>0.84892763096909751</v>
      </c>
      <c r="AE22" s="9">
        <v>3297750</v>
      </c>
      <c r="AF22">
        <f t="shared" si="14"/>
        <v>0.8539977939357497</v>
      </c>
      <c r="AG22" s="9">
        <v>41301</v>
      </c>
      <c r="AH22">
        <f t="shared" si="15"/>
        <v>0.9770890893855313</v>
      </c>
      <c r="AI22" s="9">
        <v>100307</v>
      </c>
      <c r="AJ22">
        <f t="shared" si="16"/>
        <v>0.93934328806219269</v>
      </c>
      <c r="AK22" s="9">
        <v>102859</v>
      </c>
      <c r="AL22">
        <f t="shared" si="17"/>
        <v>0.94698217615757529</v>
      </c>
      <c r="AM22" s="9">
        <v>1456514</v>
      </c>
      <c r="AN22">
        <f t="shared" si="18"/>
        <v>0.88838409032167465</v>
      </c>
      <c r="AO22" s="9">
        <v>1492032</v>
      </c>
      <c r="AP22">
        <f t="shared" si="19"/>
        <v>0.52186021169362917</v>
      </c>
      <c r="AQ22" s="9">
        <v>288660</v>
      </c>
      <c r="AR22">
        <f t="shared" si="20"/>
        <v>0.93310114008987199</v>
      </c>
      <c r="AS22" s="9">
        <v>46827</v>
      </c>
      <c r="AT22">
        <f t="shared" si="21"/>
        <v>0.84239499819093577</v>
      </c>
      <c r="AU22" s="9">
        <v>30797</v>
      </c>
      <c r="AV22">
        <f t="shared" si="22"/>
        <v>0.75552978738612808</v>
      </c>
    </row>
    <row r="23" spans="1:48" x14ac:dyDescent="0.3">
      <c r="A23" s="1">
        <v>21</v>
      </c>
      <c r="B23" s="1" t="s">
        <v>57</v>
      </c>
      <c r="C23" s="9">
        <v>150000</v>
      </c>
      <c r="D23">
        <f t="shared" si="0"/>
        <v>0.77945343756677299</v>
      </c>
      <c r="E23" s="9">
        <v>220409</v>
      </c>
      <c r="F23">
        <f t="shared" si="1"/>
        <v>0.76779819688243645</v>
      </c>
      <c r="G23" s="9">
        <v>380040</v>
      </c>
      <c r="H23">
        <f t="shared" si="2"/>
        <v>0.63637148298964819</v>
      </c>
      <c r="I23" s="9">
        <v>43027</v>
      </c>
      <c r="J23">
        <f t="shared" si="3"/>
        <v>0.89172148154131181</v>
      </c>
      <c r="K23" s="9">
        <v>163656</v>
      </c>
      <c r="L23">
        <f t="shared" si="4"/>
        <v>0.796067906628386</v>
      </c>
      <c r="M23" s="9">
        <v>409434</v>
      </c>
      <c r="N23">
        <f t="shared" si="5"/>
        <v>0.80965541300595634</v>
      </c>
      <c r="O23" s="9">
        <v>329762</v>
      </c>
      <c r="P23">
        <f t="shared" si="6"/>
        <v>0.66199311810899031</v>
      </c>
      <c r="Q23" s="9">
        <v>776608</v>
      </c>
      <c r="R23">
        <f t="shared" si="7"/>
        <v>0.8843239037316879</v>
      </c>
      <c r="S23" s="9">
        <v>677565</v>
      </c>
      <c r="T23">
        <f t="shared" si="8"/>
        <v>0.88509003868457148</v>
      </c>
      <c r="U23" s="9">
        <v>12649</v>
      </c>
      <c r="V23">
        <f t="shared" si="9"/>
        <v>0.91395034967894972</v>
      </c>
      <c r="W23" s="9">
        <v>12649</v>
      </c>
      <c r="X23">
        <f t="shared" si="10"/>
        <v>0.91395034967894972</v>
      </c>
      <c r="Y23" s="9">
        <v>11788</v>
      </c>
      <c r="Z23">
        <f t="shared" si="11"/>
        <v>0.85535394210229088</v>
      </c>
      <c r="AA23" s="9">
        <v>417071</v>
      </c>
      <c r="AB23">
        <f t="shared" si="12"/>
        <v>0.84255100814890715</v>
      </c>
      <c r="AC23" s="9">
        <v>33082</v>
      </c>
      <c r="AD23">
        <f t="shared" si="13"/>
        <v>0.88654551946469096</v>
      </c>
      <c r="AE23" s="9">
        <v>2913628</v>
      </c>
      <c r="AF23">
        <f t="shared" si="14"/>
        <v>0.87103639553568957</v>
      </c>
      <c r="AG23" s="9">
        <v>59158</v>
      </c>
      <c r="AH23">
        <f t="shared" si="15"/>
        <v>0.96707341834061922</v>
      </c>
      <c r="AI23" s="9">
        <v>76398</v>
      </c>
      <c r="AJ23">
        <f t="shared" si="16"/>
        <v>0.95381242231063157</v>
      </c>
      <c r="AK23" s="9">
        <v>130395</v>
      </c>
      <c r="AL23">
        <f t="shared" si="17"/>
        <v>0.93278538332526462</v>
      </c>
      <c r="AM23" s="9">
        <v>864538</v>
      </c>
      <c r="AN23">
        <f t="shared" si="18"/>
        <v>0.93375893391775233</v>
      </c>
      <c r="AO23" s="9">
        <v>616802</v>
      </c>
      <c r="AP23">
        <f t="shared" si="19"/>
        <v>0.80237590442537443</v>
      </c>
      <c r="AQ23" s="9">
        <v>142243</v>
      </c>
      <c r="AR23">
        <f t="shared" si="20"/>
        <v>0.96708911475784287</v>
      </c>
      <c r="AS23" s="9">
        <v>30483</v>
      </c>
      <c r="AT23">
        <f t="shared" si="21"/>
        <v>0.89766106589389749</v>
      </c>
      <c r="AU23" s="9">
        <v>20821</v>
      </c>
      <c r="AV23">
        <f t="shared" si="22"/>
        <v>0.83476161354629141</v>
      </c>
    </row>
    <row r="24" spans="1:48" x14ac:dyDescent="0.3">
      <c r="A24" s="1">
        <v>22</v>
      </c>
      <c r="B24" s="1" t="s">
        <v>56</v>
      </c>
      <c r="C24" s="9">
        <v>25984</v>
      </c>
      <c r="D24">
        <f t="shared" si="0"/>
        <v>0.96220481723535778</v>
      </c>
      <c r="E24" s="9">
        <v>81909</v>
      </c>
      <c r="F24">
        <f t="shared" si="1"/>
        <v>0.91480301354567128</v>
      </c>
      <c r="G24" s="9">
        <v>198268</v>
      </c>
      <c r="H24">
        <f t="shared" si="2"/>
        <v>0.81069666007491958</v>
      </c>
      <c r="I24" s="9">
        <v>13790</v>
      </c>
      <c r="J24">
        <f t="shared" si="3"/>
        <v>0.96551837286903497</v>
      </c>
      <c r="K24" s="9">
        <v>30211</v>
      </c>
      <c r="L24">
        <f t="shared" si="4"/>
        <v>0.96264511296966671</v>
      </c>
      <c r="M24" s="9">
        <v>145294</v>
      </c>
      <c r="N24">
        <f t="shared" si="5"/>
        <v>0.93350960697604735</v>
      </c>
      <c r="O24" s="9">
        <v>168744</v>
      </c>
      <c r="P24">
        <f t="shared" si="6"/>
        <v>0.82743180526858173</v>
      </c>
      <c r="Q24" s="9">
        <v>493940</v>
      </c>
      <c r="R24">
        <f t="shared" si="7"/>
        <v>0.92665318525342644</v>
      </c>
      <c r="S24" s="9">
        <v>442183</v>
      </c>
      <c r="T24">
        <f t="shared" si="8"/>
        <v>0.92511664123575688</v>
      </c>
      <c r="U24" s="9">
        <v>2363</v>
      </c>
      <c r="V24">
        <f t="shared" si="9"/>
        <v>0.98406336482488788</v>
      </c>
      <c r="W24" s="9">
        <v>2363</v>
      </c>
      <c r="X24">
        <f t="shared" si="10"/>
        <v>0.98406336482488788</v>
      </c>
      <c r="Y24" s="9">
        <v>3028</v>
      </c>
      <c r="Z24">
        <f t="shared" si="11"/>
        <v>0.96289930512927546</v>
      </c>
      <c r="AA24" s="9">
        <v>149420</v>
      </c>
      <c r="AB24">
        <f t="shared" si="12"/>
        <v>0.94495795457762888</v>
      </c>
      <c r="AC24" s="9">
        <v>7245</v>
      </c>
      <c r="AD24">
        <f t="shared" si="13"/>
        <v>0.97524985322946667</v>
      </c>
      <c r="AE24" s="9">
        <v>1297625</v>
      </c>
      <c r="AF24">
        <f t="shared" si="14"/>
        <v>0.94271786991442286</v>
      </c>
      <c r="AG24" s="9">
        <v>23170</v>
      </c>
      <c r="AH24">
        <f t="shared" si="15"/>
        <v>0.9872584421164099</v>
      </c>
      <c r="AI24" s="9">
        <v>52991</v>
      </c>
      <c r="AJ24">
        <f t="shared" si="16"/>
        <v>0.96797775860044755</v>
      </c>
      <c r="AK24" s="9">
        <v>99072</v>
      </c>
      <c r="AL24">
        <f t="shared" si="17"/>
        <v>0.94893464762968316</v>
      </c>
      <c r="AM24" s="9">
        <v>276756</v>
      </c>
      <c r="AN24">
        <f t="shared" si="18"/>
        <v>0.97881230824135612</v>
      </c>
      <c r="AO24" s="9">
        <v>488796</v>
      </c>
      <c r="AP24">
        <f t="shared" si="19"/>
        <v>0.84340248231212389</v>
      </c>
      <c r="AQ24" s="9">
        <v>161659</v>
      </c>
      <c r="AR24">
        <f t="shared" si="20"/>
        <v>0.96258205262603225</v>
      </c>
      <c r="AS24" s="9">
        <v>7416</v>
      </c>
      <c r="AT24">
        <f t="shared" si="21"/>
        <v>0.97566047752533536</v>
      </c>
      <c r="AU24" s="9">
        <v>6577</v>
      </c>
      <c r="AV24">
        <f t="shared" si="22"/>
        <v>0.94789093710536976</v>
      </c>
    </row>
    <row r="25" spans="1:48" x14ac:dyDescent="0.3">
      <c r="A25" s="1">
        <v>23</v>
      </c>
      <c r="B25" s="1" t="s">
        <v>55</v>
      </c>
      <c r="C25" s="9">
        <v>92564</v>
      </c>
      <c r="D25">
        <f t="shared" si="0"/>
        <v>0.86409177651210944</v>
      </c>
      <c r="E25" s="9">
        <v>223837</v>
      </c>
      <c r="F25">
        <f t="shared" si="1"/>
        <v>0.76415969499419412</v>
      </c>
      <c r="G25" s="9">
        <v>403915</v>
      </c>
      <c r="H25">
        <f t="shared" si="2"/>
        <v>0.6134745923634195</v>
      </c>
      <c r="I25" s="9">
        <v>61468</v>
      </c>
      <c r="J25">
        <f t="shared" si="3"/>
        <v>0.84517469243933341</v>
      </c>
      <c r="K25" s="9">
        <v>104489</v>
      </c>
      <c r="L25">
        <f t="shared" si="4"/>
        <v>0.86992510298339787</v>
      </c>
      <c r="M25" s="9">
        <v>589600</v>
      </c>
      <c r="N25">
        <f t="shared" si="5"/>
        <v>0.72517629318004806</v>
      </c>
      <c r="O25" s="9">
        <v>335368</v>
      </c>
      <c r="P25">
        <f t="shared" si="6"/>
        <v>0.65623320753864001</v>
      </c>
      <c r="Q25" s="9">
        <v>1879179</v>
      </c>
      <c r="R25">
        <f t="shared" si="7"/>
        <v>0.71921487739441337</v>
      </c>
      <c r="S25" s="9">
        <v>1571504</v>
      </c>
      <c r="T25">
        <f t="shared" si="8"/>
        <v>0.73307611638803194</v>
      </c>
      <c r="U25" s="9">
        <v>20825</v>
      </c>
      <c r="V25">
        <f t="shared" si="9"/>
        <v>0.85821984104262949</v>
      </c>
      <c r="W25" s="9">
        <v>20825</v>
      </c>
      <c r="X25">
        <f t="shared" si="10"/>
        <v>0.85821984104262949</v>
      </c>
      <c r="Y25" s="9">
        <v>27484</v>
      </c>
      <c r="Z25">
        <f t="shared" si="11"/>
        <v>0.66265622314435146</v>
      </c>
      <c r="AA25" s="9">
        <v>455319</v>
      </c>
      <c r="AB25">
        <f t="shared" si="12"/>
        <v>0.82791679834955745</v>
      </c>
      <c r="AC25" s="9">
        <v>26029</v>
      </c>
      <c r="AD25">
        <f t="shared" si="13"/>
        <v>0.91076008253482155</v>
      </c>
      <c r="AE25" s="9">
        <v>5285200</v>
      </c>
      <c r="AF25">
        <f t="shared" si="14"/>
        <v>0.76583994629931995</v>
      </c>
      <c r="AG25" s="9">
        <v>114879</v>
      </c>
      <c r="AH25">
        <f t="shared" si="15"/>
        <v>0.93582050876490408</v>
      </c>
      <c r="AI25" s="9">
        <v>470155</v>
      </c>
      <c r="AJ25">
        <f t="shared" si="16"/>
        <v>0.71552044463433495</v>
      </c>
      <c r="AK25" s="9">
        <v>754316</v>
      </c>
      <c r="AL25">
        <f t="shared" si="17"/>
        <v>0.61110913475146589</v>
      </c>
      <c r="AM25" s="9">
        <v>2848746</v>
      </c>
      <c r="AN25">
        <f t="shared" si="18"/>
        <v>0.78166978222564665</v>
      </c>
      <c r="AO25" s="9">
        <v>1250750</v>
      </c>
      <c r="AP25">
        <f t="shared" si="19"/>
        <v>0.59919232710752146</v>
      </c>
      <c r="AQ25" s="9">
        <v>1718818</v>
      </c>
      <c r="AR25">
        <f t="shared" si="20"/>
        <v>0.60111664460645153</v>
      </c>
      <c r="AS25" s="9">
        <v>51666</v>
      </c>
      <c r="AT25">
        <f t="shared" si="21"/>
        <v>0.82603226559092158</v>
      </c>
      <c r="AU25" s="9">
        <v>36278</v>
      </c>
      <c r="AV25">
        <f t="shared" si="22"/>
        <v>0.71199834801324768</v>
      </c>
    </row>
    <row r="26" spans="1:48" x14ac:dyDescent="0.3">
      <c r="A26" s="1">
        <v>24</v>
      </c>
      <c r="B26" s="1" t="s">
        <v>54</v>
      </c>
      <c r="C26" s="9">
        <v>558580</v>
      </c>
      <c r="D26">
        <f t="shared" si="0"/>
        <v>0.17736533034681443</v>
      </c>
      <c r="E26" s="9">
        <v>303745</v>
      </c>
      <c r="F26">
        <f t="shared" si="1"/>
        <v>0.67934481492252796</v>
      </c>
      <c r="G26" s="9">
        <v>239809</v>
      </c>
      <c r="H26">
        <f t="shared" si="2"/>
        <v>0.77085750893338367</v>
      </c>
      <c r="I26" s="9">
        <v>74601</v>
      </c>
      <c r="J26">
        <f t="shared" si="3"/>
        <v>0.81202578612859744</v>
      </c>
      <c r="K26" s="9">
        <v>347135</v>
      </c>
      <c r="L26">
        <f t="shared" si="4"/>
        <v>0.56703407814255402</v>
      </c>
      <c r="M26" s="9">
        <v>662243</v>
      </c>
      <c r="N26">
        <f t="shared" si="5"/>
        <v>0.69111427980619589</v>
      </c>
      <c r="O26" s="9">
        <v>218224</v>
      </c>
      <c r="P26">
        <f t="shared" si="6"/>
        <v>0.77659335093020598</v>
      </c>
      <c r="Q26" s="9">
        <v>2107389</v>
      </c>
      <c r="R26">
        <f t="shared" si="7"/>
        <v>0.68504063292359985</v>
      </c>
      <c r="S26" s="9">
        <v>1787499</v>
      </c>
      <c r="T26">
        <f t="shared" si="8"/>
        <v>0.6963462644110614</v>
      </c>
      <c r="U26" s="9">
        <v>78078</v>
      </c>
      <c r="V26">
        <f t="shared" si="9"/>
        <v>0.46796313715867111</v>
      </c>
      <c r="W26" s="9">
        <v>78078</v>
      </c>
      <c r="X26">
        <f t="shared" si="10"/>
        <v>0.46796313715867111</v>
      </c>
      <c r="Y26" s="9">
        <v>16481</v>
      </c>
      <c r="Z26">
        <f t="shared" si="11"/>
        <v>0.7977386009281312</v>
      </c>
      <c r="AA26" s="9">
        <v>1120310</v>
      </c>
      <c r="AB26">
        <f t="shared" si="12"/>
        <v>0.57348211395614179</v>
      </c>
      <c r="AC26" s="9">
        <v>59096</v>
      </c>
      <c r="AD26">
        <f t="shared" si="13"/>
        <v>0.79723350419368899</v>
      </c>
      <c r="AE26" s="9">
        <v>4901795</v>
      </c>
      <c r="AF26">
        <f t="shared" si="14"/>
        <v>0.78284674373978147</v>
      </c>
      <c r="AG26" s="9">
        <v>174180</v>
      </c>
      <c r="AH26">
        <f t="shared" si="15"/>
        <v>0.90255964139444256</v>
      </c>
      <c r="AI26" s="9">
        <v>560202</v>
      </c>
      <c r="AJ26">
        <f t="shared" si="16"/>
        <v>0.66102623192492926</v>
      </c>
      <c r="AK26" s="9">
        <v>175319</v>
      </c>
      <c r="AL26">
        <f t="shared" si="17"/>
        <v>0.90962382314227774</v>
      </c>
      <c r="AM26" s="9">
        <v>2013851</v>
      </c>
      <c r="AN26">
        <f t="shared" si="18"/>
        <v>0.84566431924090946</v>
      </c>
      <c r="AO26" s="9">
        <v>928103</v>
      </c>
      <c r="AP26">
        <f t="shared" si="19"/>
        <v>0.70260234128987287</v>
      </c>
      <c r="AQ26" s="9">
        <v>943301</v>
      </c>
      <c r="AR26">
        <f t="shared" si="20"/>
        <v>0.78113844638207053</v>
      </c>
      <c r="AS26" s="9">
        <v>80070</v>
      </c>
      <c r="AT26">
        <f t="shared" si="21"/>
        <v>0.72998616995736021</v>
      </c>
      <c r="AU26" s="9">
        <v>33556</v>
      </c>
      <c r="AV26">
        <f t="shared" si="22"/>
        <v>0.73361713618565794</v>
      </c>
    </row>
    <row r="27" spans="1:48" x14ac:dyDescent="0.3">
      <c r="A27" s="1">
        <v>25</v>
      </c>
      <c r="B27" s="1" t="s">
        <v>53</v>
      </c>
      <c r="C27" s="9">
        <v>3292</v>
      </c>
      <c r="D27">
        <f t="shared" si="0"/>
        <v>0.99564400498080619</v>
      </c>
      <c r="E27" s="9">
        <v>1641</v>
      </c>
      <c r="F27">
        <f t="shared" si="1"/>
        <v>1</v>
      </c>
      <c r="G27" s="9">
        <v>878</v>
      </c>
      <c r="H27">
        <f t="shared" si="2"/>
        <v>1</v>
      </c>
      <c r="I27" s="9">
        <v>1362</v>
      </c>
      <c r="J27">
        <f t="shared" si="3"/>
        <v>0.99688779399366956</v>
      </c>
      <c r="K27" s="9">
        <v>19747</v>
      </c>
      <c r="L27">
        <f t="shared" si="4"/>
        <v>0.97570715266508545</v>
      </c>
      <c r="M27" s="9">
        <v>5842</v>
      </c>
      <c r="N27">
        <f t="shared" si="5"/>
        <v>0.99889809435969668</v>
      </c>
      <c r="O27" s="9">
        <v>787</v>
      </c>
      <c r="P27">
        <f t="shared" si="6"/>
        <v>1</v>
      </c>
      <c r="Q27" s="9">
        <v>9769</v>
      </c>
      <c r="R27">
        <f t="shared" si="7"/>
        <v>0.9991573617561138</v>
      </c>
      <c r="S27" s="9">
        <v>7351</v>
      </c>
      <c r="T27">
        <f t="shared" si="8"/>
        <v>0.99905962600322851</v>
      </c>
      <c r="U27" s="9">
        <v>539</v>
      </c>
      <c r="V27">
        <f t="shared" si="9"/>
        <v>0.99649639414884195</v>
      </c>
      <c r="W27" s="9">
        <v>539</v>
      </c>
      <c r="X27">
        <f t="shared" si="10"/>
        <v>0.99649639414884195</v>
      </c>
      <c r="Y27" s="9">
        <v>617</v>
      </c>
      <c r="Z27">
        <f t="shared" si="11"/>
        <v>0.9924988336975471</v>
      </c>
      <c r="AA27" s="9">
        <v>8778</v>
      </c>
      <c r="AB27">
        <f t="shared" si="12"/>
        <v>0.99876951425657001</v>
      </c>
      <c r="AC27" s="9">
        <v>389</v>
      </c>
      <c r="AD27">
        <f t="shared" si="13"/>
        <v>0.99878807021639637</v>
      </c>
      <c r="AE27" s="9">
        <v>28207</v>
      </c>
      <c r="AF27">
        <f t="shared" si="14"/>
        <v>0.99902578137430431</v>
      </c>
      <c r="AG27" s="9">
        <v>954</v>
      </c>
      <c r="AH27">
        <f t="shared" si="15"/>
        <v>0.99971899808514864</v>
      </c>
      <c r="AI27" s="9">
        <v>1987</v>
      </c>
      <c r="AJ27">
        <f t="shared" si="16"/>
        <v>0.99884411533671347</v>
      </c>
      <c r="AK27" s="9">
        <v>1762</v>
      </c>
      <c r="AL27">
        <f t="shared" si="17"/>
        <v>0.9991049668667602</v>
      </c>
      <c r="AM27" s="9">
        <v>1282</v>
      </c>
      <c r="AN27">
        <f t="shared" si="18"/>
        <v>0.99992733598705175</v>
      </c>
      <c r="AO27" s="9">
        <v>1408</v>
      </c>
      <c r="AP27">
        <f t="shared" si="19"/>
        <v>0.99961282981979604</v>
      </c>
      <c r="AQ27" s="9">
        <v>3183</v>
      </c>
      <c r="AR27">
        <f t="shared" si="20"/>
        <v>0.99936929914441031</v>
      </c>
      <c r="AS27" s="9">
        <v>2708</v>
      </c>
      <c r="AT27">
        <f t="shared" si="21"/>
        <v>0.99158024298945335</v>
      </c>
      <c r="AU27" s="9">
        <v>1478</v>
      </c>
      <c r="AV27">
        <f t="shared" si="22"/>
        <v>0.98838843926963127</v>
      </c>
    </row>
    <row r="28" spans="1:48" x14ac:dyDescent="0.3">
      <c r="A28" s="1">
        <v>26</v>
      </c>
      <c r="B28" s="1" t="s">
        <v>52</v>
      </c>
      <c r="C28" s="9">
        <v>5093</v>
      </c>
      <c r="D28">
        <f t="shared" si="0"/>
        <v>0.99299003101951799</v>
      </c>
      <c r="E28" s="9">
        <v>2432</v>
      </c>
      <c r="F28">
        <f t="shared" si="1"/>
        <v>0.99916042736476085</v>
      </c>
      <c r="G28" s="9">
        <v>1774</v>
      </c>
      <c r="H28">
        <f t="shared" si="2"/>
        <v>0.99914070726696957</v>
      </c>
      <c r="I28" s="9">
        <v>1149</v>
      </c>
      <c r="J28">
        <f t="shared" si="3"/>
        <v>0.99742542568819381</v>
      </c>
      <c r="K28" s="9">
        <v>18695</v>
      </c>
      <c r="L28">
        <f t="shared" si="4"/>
        <v>0.97702034702284357</v>
      </c>
      <c r="M28" s="9">
        <v>4189</v>
      </c>
      <c r="N28">
        <f t="shared" si="5"/>
        <v>0.99967317947604617</v>
      </c>
      <c r="O28" s="9">
        <v>1459</v>
      </c>
      <c r="P28">
        <f t="shared" si="6"/>
        <v>0.99930955049888059</v>
      </c>
      <c r="Q28" s="9">
        <v>9250</v>
      </c>
      <c r="R28">
        <f t="shared" si="7"/>
        <v>0.99923508154438057</v>
      </c>
      <c r="S28" s="9">
        <v>7276</v>
      </c>
      <c r="T28">
        <f t="shared" si="8"/>
        <v>0.99907237971927876</v>
      </c>
      <c r="U28" s="9">
        <v>539</v>
      </c>
      <c r="V28">
        <f t="shared" si="9"/>
        <v>0.99649639414884195</v>
      </c>
      <c r="W28" s="9">
        <v>539</v>
      </c>
      <c r="X28">
        <f t="shared" si="10"/>
        <v>0.99649639414884195</v>
      </c>
      <c r="Y28" s="9">
        <v>33</v>
      </c>
      <c r="Z28">
        <f t="shared" si="11"/>
        <v>0.99966852456601274</v>
      </c>
      <c r="AA28" s="9">
        <v>5562</v>
      </c>
      <c r="AB28">
        <f t="shared" si="12"/>
        <v>1</v>
      </c>
      <c r="AC28" s="9">
        <v>665</v>
      </c>
      <c r="AD28">
        <f t="shared" si="13"/>
        <v>0.9978404990541454</v>
      </c>
      <c r="AE28" s="9">
        <v>26663</v>
      </c>
      <c r="AF28">
        <f t="shared" si="14"/>
        <v>0.99909426899248366</v>
      </c>
      <c r="AG28" s="9">
        <v>453</v>
      </c>
      <c r="AH28">
        <f t="shared" si="15"/>
        <v>1</v>
      </c>
      <c r="AI28" s="9">
        <v>465</v>
      </c>
      <c r="AJ28">
        <f t="shared" si="16"/>
        <v>0.99976519201604441</v>
      </c>
      <c r="AK28" s="9">
        <v>158</v>
      </c>
      <c r="AL28">
        <f t="shared" si="17"/>
        <v>0.99993194448526057</v>
      </c>
      <c r="AM28" s="9">
        <v>6080</v>
      </c>
      <c r="AN28">
        <f t="shared" si="18"/>
        <v>0.9995595702337543</v>
      </c>
      <c r="AO28" s="9">
        <v>6257</v>
      </c>
      <c r="AP28">
        <f t="shared" si="19"/>
        <v>0.99805870051200696</v>
      </c>
      <c r="AQ28" s="9">
        <v>1225</v>
      </c>
      <c r="AR28">
        <f t="shared" si="20"/>
        <v>0.99982381231159645</v>
      </c>
      <c r="AS28" s="9">
        <v>602</v>
      </c>
      <c r="AT28">
        <f t="shared" si="21"/>
        <v>0.99870153144897589</v>
      </c>
      <c r="AU28" s="9">
        <v>44</v>
      </c>
      <c r="AV28">
        <f t="shared" si="22"/>
        <v>0.99977761716795466</v>
      </c>
    </row>
    <row r="29" spans="1:48" x14ac:dyDescent="0.3">
      <c r="A29" s="1">
        <v>27</v>
      </c>
      <c r="B29" s="1" t="s">
        <v>51</v>
      </c>
      <c r="C29" s="9">
        <v>362307</v>
      </c>
      <c r="D29">
        <f t="shared" si="0"/>
        <v>0.46659544212023196</v>
      </c>
      <c r="E29" s="9">
        <v>774408</v>
      </c>
      <c r="F29">
        <f t="shared" si="1"/>
        <v>0.17977999163611585</v>
      </c>
      <c r="G29" s="9">
        <v>760437</v>
      </c>
      <c r="H29">
        <f t="shared" si="2"/>
        <v>0.27155856137517526</v>
      </c>
      <c r="I29" s="9">
        <v>212344</v>
      </c>
      <c r="J29">
        <f t="shared" si="3"/>
        <v>0.46434971805887193</v>
      </c>
      <c r="K29" s="9">
        <v>663370</v>
      </c>
      <c r="L29">
        <f t="shared" si="4"/>
        <v>0.17228311072275621</v>
      </c>
      <c r="M29" s="9">
        <v>1502436</v>
      </c>
      <c r="N29">
        <f t="shared" si="5"/>
        <v>0.2971511284685997</v>
      </c>
      <c r="O29" s="9">
        <v>704867</v>
      </c>
      <c r="P29">
        <f t="shared" si="6"/>
        <v>0.27658975483905435</v>
      </c>
      <c r="Q29" s="9">
        <v>3007937</v>
      </c>
      <c r="R29">
        <f t="shared" si="7"/>
        <v>0.55018437110465124</v>
      </c>
      <c r="S29" s="9">
        <v>2633969</v>
      </c>
      <c r="T29">
        <f t="shared" si="8"/>
        <v>0.55240442407704338</v>
      </c>
      <c r="U29" s="9">
        <v>76455</v>
      </c>
      <c r="V29">
        <f t="shared" si="9"/>
        <v>0.4790260793696236</v>
      </c>
      <c r="W29" s="9">
        <v>76455</v>
      </c>
      <c r="X29">
        <f t="shared" si="10"/>
        <v>0.4790260793696236</v>
      </c>
      <c r="Y29" s="9">
        <v>20647</v>
      </c>
      <c r="Z29">
        <f t="shared" si="11"/>
        <v>0.7465931691506863</v>
      </c>
      <c r="AA29" s="9">
        <v>1485119</v>
      </c>
      <c r="AB29">
        <f t="shared" si="12"/>
        <v>0.43390118311816411</v>
      </c>
      <c r="AC29" s="9">
        <v>291307</v>
      </c>
      <c r="AD29">
        <f t="shared" si="13"/>
        <v>0</v>
      </c>
      <c r="AE29" s="9">
        <v>8018130</v>
      </c>
      <c r="AF29">
        <f t="shared" si="14"/>
        <v>0.64461464425849979</v>
      </c>
      <c r="AG29" s="9">
        <v>422317</v>
      </c>
      <c r="AH29">
        <f t="shared" si="15"/>
        <v>0.7633840482897023</v>
      </c>
      <c r="AI29" s="9">
        <v>373291</v>
      </c>
      <c r="AJ29">
        <f t="shared" si="16"/>
        <v>0.77414013679380589</v>
      </c>
      <c r="AK29" s="9">
        <v>388233</v>
      </c>
      <c r="AL29">
        <f t="shared" si="17"/>
        <v>0.79985130901173596</v>
      </c>
      <c r="AM29" s="9">
        <v>2709974</v>
      </c>
      <c r="AN29">
        <f t="shared" si="18"/>
        <v>0.79230662864427659</v>
      </c>
      <c r="AO29" s="9">
        <v>1737108</v>
      </c>
      <c r="AP29">
        <f t="shared" si="19"/>
        <v>0.44331209986939418</v>
      </c>
      <c r="AQ29" s="9">
        <v>1504275</v>
      </c>
      <c r="AR29">
        <f t="shared" si="20"/>
        <v>0.65091879906386074</v>
      </c>
      <c r="AS29" s="9">
        <v>38913</v>
      </c>
      <c r="AT29">
        <f t="shared" si="21"/>
        <v>0.86915562348469733</v>
      </c>
      <c r="AU29" s="9">
        <v>21709</v>
      </c>
      <c r="AV29">
        <f t="shared" si="22"/>
        <v>0.82770890087285265</v>
      </c>
    </row>
    <row r="30" spans="1:48" x14ac:dyDescent="0.3">
      <c r="A30" s="1">
        <v>28</v>
      </c>
      <c r="B30" s="1" t="s">
        <v>50</v>
      </c>
      <c r="C30" s="9">
        <v>227271</v>
      </c>
      <c r="D30">
        <f t="shared" si="0"/>
        <v>0.66558601837593301</v>
      </c>
      <c r="E30" s="9">
        <v>271736</v>
      </c>
      <c r="F30">
        <f t="shared" si="1"/>
        <v>0.71331937937432199</v>
      </c>
      <c r="G30" s="9">
        <v>180283</v>
      </c>
      <c r="H30">
        <f t="shared" si="2"/>
        <v>0.82794485181995514</v>
      </c>
      <c r="I30" s="9">
        <v>32109</v>
      </c>
      <c r="J30">
        <f t="shared" si="3"/>
        <v>0.91927952304748828</v>
      </c>
      <c r="K30" s="9">
        <v>214785</v>
      </c>
      <c r="L30">
        <f t="shared" si="4"/>
        <v>0.73224441393084505</v>
      </c>
      <c r="M30" s="9">
        <v>436383</v>
      </c>
      <c r="N30">
        <f t="shared" si="5"/>
        <v>0.79701913423977189</v>
      </c>
      <c r="O30" s="9">
        <v>152636</v>
      </c>
      <c r="P30">
        <f t="shared" si="6"/>
        <v>0.84398204420315248</v>
      </c>
      <c r="Q30" s="9">
        <v>1813568</v>
      </c>
      <c r="R30">
        <f t="shared" si="7"/>
        <v>0.72904006627296625</v>
      </c>
      <c r="S30" s="9">
        <v>1636760</v>
      </c>
      <c r="T30">
        <f t="shared" si="8"/>
        <v>0.72197936312703437</v>
      </c>
      <c r="U30" s="9">
        <v>72394</v>
      </c>
      <c r="V30">
        <f t="shared" si="9"/>
        <v>0.50670729213529098</v>
      </c>
      <c r="W30" s="9">
        <v>72394</v>
      </c>
      <c r="X30">
        <f t="shared" si="10"/>
        <v>0.50670729213529098</v>
      </c>
      <c r="Y30" s="9">
        <v>42420</v>
      </c>
      <c r="Z30">
        <f t="shared" si="11"/>
        <v>0.47928892380975763</v>
      </c>
      <c r="AA30" s="9">
        <v>571249</v>
      </c>
      <c r="AB30">
        <f t="shared" si="12"/>
        <v>0.7835603890722459</v>
      </c>
      <c r="AC30" s="9">
        <v>176743</v>
      </c>
      <c r="AD30">
        <f t="shared" si="13"/>
        <v>0.39332442982651894</v>
      </c>
      <c r="AE30" s="9">
        <v>6863406</v>
      </c>
      <c r="AF30">
        <f t="shared" si="14"/>
        <v>0.69583504349074643</v>
      </c>
      <c r="AG30" s="9">
        <v>154924</v>
      </c>
      <c r="AH30">
        <f t="shared" si="15"/>
        <v>0.91335998644908933</v>
      </c>
      <c r="AI30" s="9">
        <v>155573</v>
      </c>
      <c r="AJ30">
        <f t="shared" si="16"/>
        <v>0.90589767455371351</v>
      </c>
      <c r="AK30" s="9">
        <v>120918</v>
      </c>
      <c r="AL30">
        <f t="shared" si="17"/>
        <v>0.93767145994030709</v>
      </c>
      <c r="AM30" s="9">
        <v>1538705</v>
      </c>
      <c r="AN30">
        <f t="shared" si="18"/>
        <v>0.88208416638893883</v>
      </c>
      <c r="AO30" s="9">
        <v>952483</v>
      </c>
      <c r="AP30">
        <f t="shared" si="19"/>
        <v>0.69478842656025896</v>
      </c>
      <c r="AQ30" s="9">
        <v>493826</v>
      </c>
      <c r="AR30">
        <f t="shared" si="20"/>
        <v>0.88547568122424214</v>
      </c>
      <c r="AS30" s="9">
        <v>107236</v>
      </c>
      <c r="AT30">
        <f t="shared" si="21"/>
        <v>0.63812628282944417</v>
      </c>
      <c r="AU30" s="9">
        <v>44508</v>
      </c>
      <c r="AV30">
        <f t="shared" si="22"/>
        <v>0.64663367987991327</v>
      </c>
    </row>
    <row r="31" spans="1:48" x14ac:dyDescent="0.3">
      <c r="A31" s="1">
        <v>29</v>
      </c>
      <c r="B31" s="1" t="s">
        <v>49</v>
      </c>
      <c r="C31" s="9">
        <v>283793</v>
      </c>
      <c r="D31">
        <f t="shared" si="0"/>
        <v>0.5822945601638656</v>
      </c>
      <c r="E31" s="9">
        <v>736867</v>
      </c>
      <c r="F31">
        <f t="shared" si="1"/>
        <v>0.21962625750149128</v>
      </c>
      <c r="G31" s="9">
        <v>309991</v>
      </c>
      <c r="H31">
        <f t="shared" si="2"/>
        <v>0.70355072032898636</v>
      </c>
      <c r="I31" s="9">
        <v>89053</v>
      </c>
      <c r="J31">
        <f t="shared" si="3"/>
        <v>0.77554760185975136</v>
      </c>
      <c r="K31" s="9">
        <v>395428</v>
      </c>
      <c r="L31">
        <f t="shared" si="4"/>
        <v>0.50675071776307579</v>
      </c>
      <c r="M31" s="9">
        <v>694617</v>
      </c>
      <c r="N31">
        <f t="shared" si="5"/>
        <v>0.67593424014697079</v>
      </c>
      <c r="O31" s="9">
        <v>269335</v>
      </c>
      <c r="P31">
        <f t="shared" si="6"/>
        <v>0.72407911811515502</v>
      </c>
      <c r="Q31" s="9">
        <v>1911482</v>
      </c>
      <c r="R31">
        <f t="shared" si="7"/>
        <v>0.71437753188308306</v>
      </c>
      <c r="S31" s="9">
        <v>1611795</v>
      </c>
      <c r="T31">
        <f t="shared" si="8"/>
        <v>0.72622465007629278</v>
      </c>
      <c r="U31" s="9">
        <v>64929</v>
      </c>
      <c r="V31">
        <f t="shared" si="9"/>
        <v>0.55759137322263574</v>
      </c>
      <c r="W31" s="9">
        <v>64929</v>
      </c>
      <c r="X31">
        <f t="shared" si="10"/>
        <v>0.55759137322263574</v>
      </c>
      <c r="Y31" s="9">
        <v>13459</v>
      </c>
      <c r="Z31">
        <f t="shared" si="11"/>
        <v>0.83483929579885574</v>
      </c>
      <c r="AA31" s="9">
        <v>478826</v>
      </c>
      <c r="AB31">
        <f t="shared" si="12"/>
        <v>0.81892269748798785</v>
      </c>
      <c r="AC31" s="9">
        <v>151081</v>
      </c>
      <c r="AD31">
        <f t="shared" si="13"/>
        <v>0.48142794854276599</v>
      </c>
      <c r="AE31" s="9">
        <v>6227951</v>
      </c>
      <c r="AF31">
        <f t="shared" si="14"/>
        <v>0.72402208974086968</v>
      </c>
      <c r="AG31" s="9">
        <v>342969</v>
      </c>
      <c r="AH31">
        <f t="shared" si="15"/>
        <v>0.80788891842867772</v>
      </c>
      <c r="AI31" s="9">
        <v>603204</v>
      </c>
      <c r="AJ31">
        <f t="shared" si="16"/>
        <v>0.6350024872701393</v>
      </c>
      <c r="AK31" s="9">
        <v>209811</v>
      </c>
      <c r="AL31">
        <f t="shared" si="17"/>
        <v>0.89184071091203154</v>
      </c>
      <c r="AM31" s="9">
        <v>2129740</v>
      </c>
      <c r="AN31">
        <f t="shared" si="18"/>
        <v>0.83678145025719075</v>
      </c>
      <c r="AO31" s="9">
        <v>1467463</v>
      </c>
      <c r="AP31">
        <f t="shared" si="19"/>
        <v>0.52973470189017891</v>
      </c>
      <c r="AQ31" s="9">
        <v>795543</v>
      </c>
      <c r="AR31">
        <f t="shared" si="20"/>
        <v>0.81543770917935532</v>
      </c>
      <c r="AS31" s="9">
        <v>52845</v>
      </c>
      <c r="AT31">
        <f t="shared" si="21"/>
        <v>0.82204556136785545</v>
      </c>
      <c r="AU31" s="9">
        <v>34624</v>
      </c>
      <c r="AV31">
        <f t="shared" si="22"/>
        <v>0.72513481959192749</v>
      </c>
    </row>
    <row r="32" spans="1:48" x14ac:dyDescent="0.3">
      <c r="A32" s="1">
        <v>30</v>
      </c>
      <c r="B32" s="1" t="s">
        <v>48</v>
      </c>
      <c r="C32" s="9">
        <v>19614</v>
      </c>
      <c r="D32">
        <f t="shared" si="0"/>
        <v>0.97159172125168547</v>
      </c>
      <c r="E32" s="9">
        <v>43381</v>
      </c>
      <c r="F32">
        <f t="shared" si="1"/>
        <v>0.95569688774351325</v>
      </c>
      <c r="G32" s="9">
        <v>28672</v>
      </c>
      <c r="H32">
        <f t="shared" si="2"/>
        <v>0.97334466269883135</v>
      </c>
      <c r="I32" s="9">
        <v>6194</v>
      </c>
      <c r="J32">
        <f t="shared" si="3"/>
        <v>0.98469137921460337</v>
      </c>
      <c r="K32" s="9">
        <v>94538</v>
      </c>
      <c r="L32">
        <f t="shared" si="4"/>
        <v>0.88234677318686805</v>
      </c>
      <c r="M32" s="9">
        <v>57667</v>
      </c>
      <c r="N32">
        <f t="shared" si="5"/>
        <v>0.97459755827088024</v>
      </c>
      <c r="O32" s="9">
        <v>27911</v>
      </c>
      <c r="P32">
        <f t="shared" si="6"/>
        <v>0.97213132102922184</v>
      </c>
      <c r="Q32" s="9">
        <v>145341</v>
      </c>
      <c r="R32">
        <f t="shared" si="7"/>
        <v>0.97885557536902679</v>
      </c>
      <c r="S32" s="9">
        <v>100569</v>
      </c>
      <c r="T32">
        <f t="shared" si="8"/>
        <v>0.9832079472996047</v>
      </c>
      <c r="U32" s="9">
        <v>2200</v>
      </c>
      <c r="V32">
        <f t="shared" si="9"/>
        <v>0.9851744304936404</v>
      </c>
      <c r="W32" s="9">
        <v>2200</v>
      </c>
      <c r="X32">
        <f t="shared" si="10"/>
        <v>0.9851744304936404</v>
      </c>
      <c r="Y32" s="9">
        <v>391</v>
      </c>
      <c r="Z32">
        <f t="shared" si="11"/>
        <v>0.99527340584869983</v>
      </c>
      <c r="AA32" s="9">
        <v>153130</v>
      </c>
      <c r="AB32">
        <f t="shared" si="12"/>
        <v>0.94353845765346067</v>
      </c>
      <c r="AC32" s="9">
        <v>5267</v>
      </c>
      <c r="AD32">
        <f t="shared" si="13"/>
        <v>0.98204077989226524</v>
      </c>
      <c r="AE32" s="9">
        <v>160077</v>
      </c>
      <c r="AF32">
        <f t="shared" si="14"/>
        <v>0.99317638875168945</v>
      </c>
      <c r="AG32" s="9">
        <v>37263</v>
      </c>
      <c r="AH32">
        <f t="shared" si="15"/>
        <v>0.97935393116630942</v>
      </c>
      <c r="AI32" s="9">
        <v>1754</v>
      </c>
      <c r="AJ32">
        <f t="shared" si="16"/>
        <v>0.99898512116213012</v>
      </c>
      <c r="AK32" s="9">
        <v>1038</v>
      </c>
      <c r="AL32">
        <f t="shared" si="17"/>
        <v>0.99947824105366434</v>
      </c>
      <c r="AM32" s="9">
        <v>8936</v>
      </c>
      <c r="AN32">
        <f t="shared" si="18"/>
        <v>0.99934065839727715</v>
      </c>
      <c r="AO32" s="9">
        <v>8347</v>
      </c>
      <c r="AP32">
        <f t="shared" si="19"/>
        <v>0.99738884481943546</v>
      </c>
      <c r="AQ32" s="9">
        <v>3402</v>
      </c>
      <c r="AR32">
        <f t="shared" si="20"/>
        <v>0.99931846238056266</v>
      </c>
      <c r="AS32" s="9">
        <v>1727</v>
      </c>
      <c r="AT32">
        <f t="shared" si="21"/>
        <v>0.99489742436589756</v>
      </c>
      <c r="AU32" s="9">
        <v>713</v>
      </c>
      <c r="AV32">
        <f t="shared" si="22"/>
        <v>0.99446425593087073</v>
      </c>
    </row>
    <row r="33" spans="1:48" x14ac:dyDescent="0.3">
      <c r="A33" s="1">
        <v>31</v>
      </c>
      <c r="B33" s="1" t="s">
        <v>47</v>
      </c>
      <c r="C33" s="9">
        <v>336</v>
      </c>
      <c r="D33">
        <f t="shared" si="0"/>
        <v>1</v>
      </c>
      <c r="E33" s="9">
        <v>2172</v>
      </c>
      <c r="F33">
        <f t="shared" si="1"/>
        <v>0.99943639308557275</v>
      </c>
      <c r="G33" s="9">
        <v>4492</v>
      </c>
      <c r="H33">
        <f t="shared" si="2"/>
        <v>0.99653405810583495</v>
      </c>
      <c r="I33" s="9">
        <v>129</v>
      </c>
      <c r="J33">
        <f t="shared" si="3"/>
        <v>1</v>
      </c>
      <c r="K33" s="9">
        <v>286</v>
      </c>
      <c r="L33">
        <f t="shared" si="4"/>
        <v>1</v>
      </c>
      <c r="M33" s="9">
        <v>4720</v>
      </c>
      <c r="N33">
        <f t="shared" si="5"/>
        <v>0.99942419569093943</v>
      </c>
      <c r="O33" s="9">
        <v>4401</v>
      </c>
      <c r="P33">
        <f t="shared" si="6"/>
        <v>0.9962867790222536</v>
      </c>
      <c r="Q33" s="9">
        <v>4142</v>
      </c>
      <c r="R33">
        <f t="shared" si="7"/>
        <v>1</v>
      </c>
      <c r="S33" s="9">
        <v>3657</v>
      </c>
      <c r="T33">
        <f t="shared" si="8"/>
        <v>0.99968778903109001</v>
      </c>
      <c r="U33" s="9">
        <v>189</v>
      </c>
      <c r="V33">
        <f t="shared" si="9"/>
        <v>0.99888211797745152</v>
      </c>
      <c r="W33" s="9">
        <v>189</v>
      </c>
      <c r="X33">
        <f t="shared" si="10"/>
        <v>0.99888211797745152</v>
      </c>
      <c r="Y33" s="9">
        <v>111</v>
      </c>
      <c r="Z33">
        <f t="shared" si="11"/>
        <v>0.9987109288678272</v>
      </c>
      <c r="AA33" s="9">
        <v>7441</v>
      </c>
      <c r="AB33">
        <f t="shared" si="12"/>
        <v>0.99928106880848733</v>
      </c>
      <c r="AC33" s="9">
        <v>699</v>
      </c>
      <c r="AD33">
        <f t="shared" si="13"/>
        <v>0.99772376927328843</v>
      </c>
      <c r="AE33" s="9">
        <v>6244</v>
      </c>
      <c r="AF33">
        <f t="shared" si="14"/>
        <v>1</v>
      </c>
      <c r="AG33" s="9">
        <v>3068</v>
      </c>
      <c r="AH33">
        <f t="shared" si="15"/>
        <v>0.99853329339853025</v>
      </c>
      <c r="AI33" s="9">
        <v>77</v>
      </c>
      <c r="AJ33">
        <f t="shared" si="16"/>
        <v>1</v>
      </c>
      <c r="AK33" s="9">
        <v>26</v>
      </c>
      <c r="AL33">
        <f t="shared" si="17"/>
        <v>1</v>
      </c>
      <c r="AM33" s="9">
        <v>421</v>
      </c>
      <c r="AN33">
        <f t="shared" si="18"/>
        <v>0.99999333146716618</v>
      </c>
      <c r="AO33" s="9">
        <v>551</v>
      </c>
      <c r="AP33">
        <f t="shared" si="19"/>
        <v>0.99988750270426197</v>
      </c>
      <c r="AQ33" s="9">
        <v>963</v>
      </c>
      <c r="AR33">
        <f t="shared" si="20"/>
        <v>0.99988463072314016</v>
      </c>
      <c r="AS33" s="9">
        <v>781</v>
      </c>
      <c r="AT33">
        <f t="shared" si="21"/>
        <v>0.99809625574420169</v>
      </c>
      <c r="AU33" s="9">
        <v>16</v>
      </c>
      <c r="AV33">
        <f t="shared" si="22"/>
        <v>1</v>
      </c>
    </row>
    <row r="34" spans="1:48" x14ac:dyDescent="0.3">
      <c r="A34" s="1">
        <v>32</v>
      </c>
      <c r="B34" s="1" t="s">
        <v>46</v>
      </c>
      <c r="C34" s="9">
        <v>137821</v>
      </c>
      <c r="D34">
        <f t="shared" si="0"/>
        <v>0.79740054965701701</v>
      </c>
      <c r="E34" s="9">
        <v>413815</v>
      </c>
      <c r="F34">
        <f t="shared" si="1"/>
        <v>0.56251578842345029</v>
      </c>
      <c r="G34" s="9">
        <v>437903</v>
      </c>
      <c r="H34">
        <f t="shared" si="2"/>
        <v>0.5808790104323508</v>
      </c>
      <c r="I34" s="9">
        <v>69765</v>
      </c>
      <c r="J34">
        <f t="shared" si="3"/>
        <v>0.8242322972775139</v>
      </c>
      <c r="K34" s="9">
        <v>374504</v>
      </c>
      <c r="L34">
        <f t="shared" si="4"/>
        <v>0.53286980401947326</v>
      </c>
      <c r="M34" s="9">
        <v>774163</v>
      </c>
      <c r="N34">
        <f t="shared" si="5"/>
        <v>0.6386354375667298</v>
      </c>
      <c r="O34" s="9">
        <v>414251</v>
      </c>
      <c r="P34">
        <f t="shared" si="6"/>
        <v>0.57518450516244568</v>
      </c>
      <c r="Q34" s="9">
        <v>1928034</v>
      </c>
      <c r="R34">
        <f t="shared" si="7"/>
        <v>0.71189888460872652</v>
      </c>
      <c r="S34" s="9">
        <v>1178807</v>
      </c>
      <c r="T34">
        <f t="shared" si="8"/>
        <v>0.79985406347847576</v>
      </c>
      <c r="U34" s="9">
        <v>146731</v>
      </c>
      <c r="V34">
        <f t="shared" si="9"/>
        <v>0</v>
      </c>
      <c r="W34" s="9">
        <v>146731</v>
      </c>
      <c r="X34">
        <f t="shared" si="10"/>
        <v>0</v>
      </c>
      <c r="Y34" s="9">
        <v>2158</v>
      </c>
      <c r="Z34">
        <f t="shared" si="11"/>
        <v>0.97358018022442117</v>
      </c>
      <c r="AA34" s="9">
        <v>2619164</v>
      </c>
      <c r="AB34">
        <f t="shared" si="12"/>
        <v>0</v>
      </c>
      <c r="AC34" s="9">
        <v>229358</v>
      </c>
      <c r="AD34">
        <f t="shared" si="13"/>
        <v>0.21268509395030744</v>
      </c>
      <c r="AE34" s="9">
        <v>3853683</v>
      </c>
      <c r="AF34">
        <f t="shared" si="14"/>
        <v>0.82933812616545943</v>
      </c>
      <c r="AG34" s="9">
        <v>1783359</v>
      </c>
      <c r="AH34">
        <f t="shared" si="15"/>
        <v>0</v>
      </c>
      <c r="AI34" s="9">
        <v>22779</v>
      </c>
      <c r="AJ34">
        <f t="shared" si="16"/>
        <v>0.98626131223773217</v>
      </c>
      <c r="AK34" s="9">
        <v>39385</v>
      </c>
      <c r="AL34">
        <f t="shared" si="17"/>
        <v>0.97970759844977784</v>
      </c>
      <c r="AM34" s="9">
        <v>363826</v>
      </c>
      <c r="AN34">
        <f t="shared" si="18"/>
        <v>0.97213840992130518</v>
      </c>
      <c r="AO34" s="9">
        <v>368400</v>
      </c>
      <c r="AP34">
        <f t="shared" si="19"/>
        <v>0.88199001626563467</v>
      </c>
      <c r="AQ34" s="9">
        <v>273534</v>
      </c>
      <c r="AR34">
        <f t="shared" si="20"/>
        <v>0.93661235876548843</v>
      </c>
      <c r="AS34" s="9">
        <v>145378</v>
      </c>
      <c r="AT34">
        <f t="shared" si="21"/>
        <v>0.50915183628475691</v>
      </c>
      <c r="AU34" s="9">
        <v>13442</v>
      </c>
      <c r="AV34">
        <f t="shared" si="22"/>
        <v>0.89336743203424696</v>
      </c>
    </row>
    <row r="35" spans="1:48" x14ac:dyDescent="0.3">
      <c r="A35" s="1">
        <v>33</v>
      </c>
      <c r="B35" s="1" t="s">
        <v>45</v>
      </c>
      <c r="C35" s="9">
        <v>157297</v>
      </c>
      <c r="D35">
        <f t="shared" si="0"/>
        <v>0.76870049587020428</v>
      </c>
      <c r="E35" s="9">
        <v>404306</v>
      </c>
      <c r="F35">
        <f t="shared" si="1"/>
        <v>0.57260870395883445</v>
      </c>
      <c r="G35" s="9">
        <v>461512</v>
      </c>
      <c r="H35">
        <f t="shared" si="2"/>
        <v>0.55823722233624051</v>
      </c>
      <c r="I35" s="9">
        <v>65800</v>
      </c>
      <c r="J35">
        <f t="shared" si="3"/>
        <v>0.83424032389154479</v>
      </c>
      <c r="K35" s="9">
        <v>587515</v>
      </c>
      <c r="L35">
        <f t="shared" si="4"/>
        <v>0.26697166396205219</v>
      </c>
      <c r="M35" s="9">
        <v>603035</v>
      </c>
      <c r="N35">
        <f t="shared" si="5"/>
        <v>0.71887667518963327</v>
      </c>
      <c r="O35" s="9">
        <v>397695</v>
      </c>
      <c r="P35">
        <f t="shared" si="6"/>
        <v>0.59219504376442933</v>
      </c>
      <c r="Q35" s="9">
        <v>3228825</v>
      </c>
      <c r="R35">
        <f t="shared" si="7"/>
        <v>0.51710658961975109</v>
      </c>
      <c r="S35" s="9">
        <v>3024421</v>
      </c>
      <c r="T35">
        <f t="shared" si="8"/>
        <v>0.48600823822037026</v>
      </c>
      <c r="U35" s="9">
        <v>32897</v>
      </c>
      <c r="V35">
        <f t="shared" si="9"/>
        <v>0.77593281801698633</v>
      </c>
      <c r="W35" s="9">
        <v>32897</v>
      </c>
      <c r="X35">
        <f t="shared" si="10"/>
        <v>0.77593281801698633</v>
      </c>
      <c r="Y35" s="9">
        <v>13799</v>
      </c>
      <c r="Z35">
        <f t="shared" si="11"/>
        <v>0.83066516070420116</v>
      </c>
      <c r="AA35" s="9">
        <v>1222197</v>
      </c>
      <c r="AB35">
        <f t="shared" si="12"/>
        <v>0.53449874923572904</v>
      </c>
      <c r="AC35" s="9">
        <v>117564</v>
      </c>
      <c r="AD35">
        <f t="shared" si="13"/>
        <v>0.59649947986582941</v>
      </c>
      <c r="AE35" s="9">
        <v>7913668</v>
      </c>
      <c r="AF35">
        <f t="shared" si="14"/>
        <v>0.64924829294389896</v>
      </c>
      <c r="AG35" s="9">
        <v>255661</v>
      </c>
      <c r="AH35">
        <f t="shared" si="15"/>
        <v>0.85685840980960293</v>
      </c>
      <c r="AI35" s="9">
        <v>829544</v>
      </c>
      <c r="AJ35">
        <f t="shared" si="16"/>
        <v>0.49802712879459993</v>
      </c>
      <c r="AK35" s="9">
        <v>187029</v>
      </c>
      <c r="AL35">
        <f t="shared" si="17"/>
        <v>0.90358647406955994</v>
      </c>
      <c r="AM35" s="9">
        <v>1218553</v>
      </c>
      <c r="AN35">
        <f t="shared" si="18"/>
        <v>0.90662375401913242</v>
      </c>
      <c r="AO35" s="9">
        <v>1068196</v>
      </c>
      <c r="AP35">
        <f t="shared" si="19"/>
        <v>0.65770181806527084</v>
      </c>
      <c r="AQ35" s="9">
        <v>1098780</v>
      </c>
      <c r="AR35">
        <f t="shared" si="20"/>
        <v>0.74504689749497788</v>
      </c>
      <c r="AS35" s="9">
        <v>35156</v>
      </c>
      <c r="AT35">
        <f t="shared" si="21"/>
        <v>0.88185965042791981</v>
      </c>
      <c r="AU35" s="9">
        <v>73781</v>
      </c>
      <c r="AV35">
        <f t="shared" si="22"/>
        <v>0.41414037122048464</v>
      </c>
    </row>
    <row r="36" spans="1:48" x14ac:dyDescent="0.3">
      <c r="A36" s="1">
        <v>34</v>
      </c>
      <c r="B36" s="1" t="s">
        <v>44</v>
      </c>
      <c r="C36" s="9">
        <v>4327</v>
      </c>
      <c r="D36">
        <f t="shared" si="0"/>
        <v>0.99411881727956619</v>
      </c>
      <c r="E36" s="9">
        <v>6705</v>
      </c>
      <c r="F36">
        <f t="shared" si="1"/>
        <v>0.99462503688388004</v>
      </c>
      <c r="G36" s="9">
        <v>10754</v>
      </c>
      <c r="H36">
        <f t="shared" si="2"/>
        <v>0.99052859929530324</v>
      </c>
      <c r="I36" s="9">
        <v>3593</v>
      </c>
      <c r="J36">
        <f t="shared" si="3"/>
        <v>0.99125654370970917</v>
      </c>
      <c r="K36" s="9">
        <v>24180</v>
      </c>
      <c r="L36">
        <f t="shared" si="4"/>
        <v>0.97017351142179509</v>
      </c>
      <c r="M36" s="9">
        <v>14135</v>
      </c>
      <c r="N36">
        <f t="shared" si="5"/>
        <v>0.99500953968946892</v>
      </c>
      <c r="O36" s="9">
        <v>9971</v>
      </c>
      <c r="P36">
        <f t="shared" si="6"/>
        <v>0.99056385681803472</v>
      </c>
      <c r="Q36" s="9">
        <v>52417</v>
      </c>
      <c r="R36">
        <f t="shared" si="7"/>
        <v>0.99277086169831064</v>
      </c>
      <c r="S36" s="9">
        <v>49170</v>
      </c>
      <c r="T36">
        <f t="shared" si="8"/>
        <v>0.99194832398315902</v>
      </c>
      <c r="U36" s="9">
        <v>389</v>
      </c>
      <c r="V36">
        <f t="shared" si="9"/>
        <v>0.99751884721824602</v>
      </c>
      <c r="W36" s="9">
        <v>389</v>
      </c>
      <c r="X36">
        <f t="shared" si="10"/>
        <v>0.99751884721824602</v>
      </c>
      <c r="Y36" s="9">
        <v>800</v>
      </c>
      <c r="Z36">
        <f t="shared" si="11"/>
        <v>0.99025216686718887</v>
      </c>
      <c r="AA36" s="9">
        <v>36576</v>
      </c>
      <c r="AB36">
        <f t="shared" si="12"/>
        <v>0.98813361789591525</v>
      </c>
      <c r="AC36" s="9">
        <v>846</v>
      </c>
      <c r="AD36">
        <f t="shared" si="13"/>
        <v>0.9972190846325244</v>
      </c>
      <c r="AE36" s="9">
        <v>87957</v>
      </c>
      <c r="AF36">
        <f t="shared" si="14"/>
        <v>0.99637543475110535</v>
      </c>
      <c r="AG36" s="9">
        <v>5393</v>
      </c>
      <c r="AH36">
        <f t="shared" si="15"/>
        <v>0.99722924259607626</v>
      </c>
      <c r="AI36" s="9">
        <v>1113</v>
      </c>
      <c r="AJ36">
        <f t="shared" si="16"/>
        <v>0.99937303847582992</v>
      </c>
      <c r="AK36" s="9">
        <v>1381</v>
      </c>
      <c r="AL36">
        <f t="shared" si="17"/>
        <v>0.99930139982975807</v>
      </c>
      <c r="AM36" s="9">
        <v>4900</v>
      </c>
      <c r="AN36">
        <f t="shared" si="18"/>
        <v>0.99965001700092626</v>
      </c>
      <c r="AO36" s="9">
        <v>1718</v>
      </c>
      <c r="AP36">
        <f t="shared" si="19"/>
        <v>0.99951347323381645</v>
      </c>
      <c r="AQ36" s="9">
        <v>2752</v>
      </c>
      <c r="AR36">
        <f t="shared" si="20"/>
        <v>0.99946934775271323</v>
      </c>
      <c r="AS36" s="9">
        <v>1149</v>
      </c>
      <c r="AT36">
        <f t="shared" si="21"/>
        <v>0.99685189004947028</v>
      </c>
      <c r="AU36" s="9">
        <v>988</v>
      </c>
      <c r="AV36">
        <f t="shared" si="22"/>
        <v>0.9922801388304251</v>
      </c>
    </row>
    <row r="37" spans="1:48" x14ac:dyDescent="0.3">
      <c r="A37" s="1">
        <v>35</v>
      </c>
      <c r="B37" s="1" t="s">
        <v>43</v>
      </c>
      <c r="C37" s="9">
        <v>3369</v>
      </c>
      <c r="D37">
        <f t="shared" si="0"/>
        <v>0.99553053691027915</v>
      </c>
      <c r="E37" s="9">
        <v>15668</v>
      </c>
      <c r="F37">
        <f t="shared" si="1"/>
        <v>0.98511164936220075</v>
      </c>
      <c r="G37" s="9">
        <v>19005</v>
      </c>
      <c r="H37">
        <f t="shared" si="2"/>
        <v>0.98261562570129224</v>
      </c>
      <c r="I37" s="9">
        <v>928</v>
      </c>
      <c r="J37">
        <f t="shared" si="3"/>
        <v>0.99798325012241851</v>
      </c>
      <c r="K37" s="9">
        <v>11587</v>
      </c>
      <c r="L37">
        <f t="shared" si="4"/>
        <v>0.98589314692298091</v>
      </c>
      <c r="M37" s="9">
        <v>19268</v>
      </c>
      <c r="N37">
        <f t="shared" si="5"/>
        <v>0.99260269643343624</v>
      </c>
      <c r="O37" s="9">
        <v>18115</v>
      </c>
      <c r="P37">
        <f t="shared" si="6"/>
        <v>0.98219626643542091</v>
      </c>
      <c r="Q37" s="9">
        <v>18649</v>
      </c>
      <c r="R37">
        <f t="shared" si="7"/>
        <v>0.99782758965628982</v>
      </c>
      <c r="S37" s="9">
        <v>14463</v>
      </c>
      <c r="T37">
        <f t="shared" si="8"/>
        <v>0.99785023362257064</v>
      </c>
      <c r="U37" s="9">
        <v>756</v>
      </c>
      <c r="V37">
        <f t="shared" si="9"/>
        <v>0.99501724537510394</v>
      </c>
      <c r="W37" s="9">
        <v>756</v>
      </c>
      <c r="X37">
        <f t="shared" si="10"/>
        <v>0.99501724537510394</v>
      </c>
      <c r="Y37" s="9">
        <v>504</v>
      </c>
      <c r="Z37">
        <f t="shared" si="11"/>
        <v>0.99388611977312347</v>
      </c>
      <c r="AA37" s="9">
        <v>21710</v>
      </c>
      <c r="AB37">
        <f t="shared" si="12"/>
        <v>0.99382155354946933</v>
      </c>
      <c r="AC37" s="9">
        <v>1161</v>
      </c>
      <c r="AD37">
        <f t="shared" si="13"/>
        <v>0.99613761754517272</v>
      </c>
      <c r="AE37" s="9">
        <v>52413</v>
      </c>
      <c r="AF37">
        <f t="shared" si="14"/>
        <v>0.99795206940173276</v>
      </c>
      <c r="AG37" s="9">
        <v>2663</v>
      </c>
      <c r="AH37">
        <f t="shared" si="15"/>
        <v>0.99876045063508678</v>
      </c>
      <c r="AI37" s="9">
        <v>705</v>
      </c>
      <c r="AJ37">
        <f t="shared" si="16"/>
        <v>0.99961994996411307</v>
      </c>
      <c r="AK37" s="9">
        <v>749</v>
      </c>
      <c r="AL37">
        <f t="shared" si="17"/>
        <v>0.99962724138517722</v>
      </c>
      <c r="AM37" s="9">
        <v>4394</v>
      </c>
      <c r="AN37">
        <f t="shared" si="18"/>
        <v>0.99968880180108644</v>
      </c>
      <c r="AO37" s="9">
        <v>4198</v>
      </c>
      <c r="AP37">
        <f t="shared" si="19"/>
        <v>0.99871862054598048</v>
      </c>
      <c r="AQ37" s="9">
        <v>1113</v>
      </c>
      <c r="AR37">
        <f t="shared" si="20"/>
        <v>0.99984981102187465</v>
      </c>
      <c r="AS37" s="9">
        <v>410</v>
      </c>
      <c r="AT37">
        <f t="shared" si="21"/>
        <v>0.999350765724488</v>
      </c>
      <c r="AU37" s="9">
        <v>193</v>
      </c>
      <c r="AV37">
        <f t="shared" si="22"/>
        <v>0.99859422281171317</v>
      </c>
    </row>
    <row r="38" spans="1:48" x14ac:dyDescent="0.3">
      <c r="A38" s="1">
        <v>36</v>
      </c>
      <c r="B38" s="1" t="s">
        <v>42</v>
      </c>
      <c r="C38" s="9">
        <v>196429</v>
      </c>
      <c r="D38">
        <f t="shared" si="0"/>
        <v>0.71103513826158071</v>
      </c>
      <c r="E38" s="9">
        <v>349392</v>
      </c>
      <c r="F38">
        <f t="shared" si="1"/>
        <v>0.63089478700753387</v>
      </c>
      <c r="G38" s="9">
        <v>154388</v>
      </c>
      <c r="H38">
        <f t="shared" si="2"/>
        <v>0.85277898722377476</v>
      </c>
      <c r="I38" s="9">
        <v>111635</v>
      </c>
      <c r="J38">
        <f t="shared" si="3"/>
        <v>0.71854854587033234</v>
      </c>
      <c r="K38" s="9">
        <v>167858</v>
      </c>
      <c r="L38">
        <f t="shared" si="4"/>
        <v>0.79082261889901384</v>
      </c>
      <c r="M38" s="9">
        <v>327526</v>
      </c>
      <c r="N38">
        <f t="shared" si="5"/>
        <v>0.84806174797870648</v>
      </c>
      <c r="O38" s="9">
        <v>134443</v>
      </c>
      <c r="P38">
        <f t="shared" si="6"/>
        <v>0.8626745260094999</v>
      </c>
      <c r="Q38" s="9">
        <v>1707527</v>
      </c>
      <c r="R38">
        <f t="shared" si="7"/>
        <v>0.74491961168258702</v>
      </c>
      <c r="S38" s="9">
        <v>1533030</v>
      </c>
      <c r="T38">
        <f t="shared" si="8"/>
        <v>0.73961860267226065</v>
      </c>
      <c r="U38" s="9">
        <v>88104</v>
      </c>
      <c r="V38">
        <f t="shared" si="9"/>
        <v>0.39962237399970008</v>
      </c>
      <c r="W38" s="9">
        <v>88104</v>
      </c>
      <c r="X38">
        <f t="shared" si="10"/>
        <v>0.39962237399970008</v>
      </c>
      <c r="Y38" s="9">
        <v>12979</v>
      </c>
      <c r="Z38">
        <f t="shared" si="11"/>
        <v>0.84073219240307417</v>
      </c>
      <c r="AA38" s="9">
        <v>593889</v>
      </c>
      <c r="AB38">
        <f t="shared" si="12"/>
        <v>0.7748980143112838</v>
      </c>
      <c r="AC38" s="9">
        <v>66511</v>
      </c>
      <c r="AD38">
        <f t="shared" si="13"/>
        <v>0.77177611228031628</v>
      </c>
      <c r="AE38" s="9">
        <v>4728933</v>
      </c>
      <c r="AF38">
        <f t="shared" si="14"/>
        <v>0.79051442939634065</v>
      </c>
      <c r="AG38" s="9">
        <v>107278</v>
      </c>
      <c r="AH38">
        <f t="shared" si="15"/>
        <v>0.94008377334531379</v>
      </c>
      <c r="AI38" s="9">
        <v>171264</v>
      </c>
      <c r="AJ38">
        <f t="shared" si="16"/>
        <v>0.89640187023348872</v>
      </c>
      <c r="AK38" s="9">
        <v>90134</v>
      </c>
      <c r="AL38">
        <f t="shared" si="17"/>
        <v>0.95354283089287284</v>
      </c>
      <c r="AM38" s="9">
        <v>1624336</v>
      </c>
      <c r="AN38">
        <f t="shared" si="18"/>
        <v>0.87552056713495607</v>
      </c>
      <c r="AO38" s="9">
        <v>1024917</v>
      </c>
      <c r="AP38">
        <f t="shared" si="19"/>
        <v>0.67157295898335778</v>
      </c>
      <c r="AQ38" s="9">
        <v>734952</v>
      </c>
      <c r="AR38">
        <f t="shared" si="20"/>
        <v>0.82950277930855498</v>
      </c>
      <c r="AS38" s="9">
        <v>214223</v>
      </c>
      <c r="AT38">
        <f t="shared" si="21"/>
        <v>0.27635738994295528</v>
      </c>
      <c r="AU38" s="9">
        <v>26125</v>
      </c>
      <c r="AV38">
        <f t="shared" si="22"/>
        <v>0.79263595136169773</v>
      </c>
    </row>
    <row r="40" spans="1:48" x14ac:dyDescent="0.3">
      <c r="B40" s="1" t="s">
        <v>183</v>
      </c>
      <c r="D40">
        <f>_xlfn.STDEV.P(D3:D38)</f>
        <v>0.22895883312661924</v>
      </c>
      <c r="F40">
        <f t="shared" ref="F40:AV40" si="23">_xlfn.STDEV.P(F3:F38)</f>
        <v>0.26330570116889124</v>
      </c>
      <c r="H40">
        <f t="shared" si="23"/>
        <v>0.24158965915463926</v>
      </c>
      <c r="J40">
        <f t="shared" si="23"/>
        <v>0.20974515382563569</v>
      </c>
      <c r="L40">
        <f t="shared" si="23"/>
        <v>0.25424986923383597</v>
      </c>
      <c r="N40">
        <f t="shared" si="23"/>
        <v>0.22119379699025041</v>
      </c>
      <c r="P40">
        <f t="shared" si="23"/>
        <v>0.24082207564650548</v>
      </c>
      <c r="R40">
        <f t="shared" si="23"/>
        <v>0.19979927217536733</v>
      </c>
      <c r="T40">
        <f t="shared" si="23"/>
        <v>0.19916595987725447</v>
      </c>
      <c r="V40">
        <f t="shared" si="23"/>
        <v>0.26074805489559072</v>
      </c>
      <c r="X40">
        <f t="shared" si="23"/>
        <v>0.26074805489559072</v>
      </c>
      <c r="Z40">
        <f t="shared" si="23"/>
        <v>0.23654472063290424</v>
      </c>
      <c r="AB40">
        <f t="shared" si="23"/>
        <v>0.25727950717926851</v>
      </c>
      <c r="AD40">
        <f t="shared" si="23"/>
        <v>0.24682058206364302</v>
      </c>
      <c r="AF40">
        <f t="shared" si="23"/>
        <v>0.20606707597268939</v>
      </c>
      <c r="AH40">
        <f t="shared" si="23"/>
        <v>0.16722710934730489</v>
      </c>
      <c r="AJ40">
        <f t="shared" si="23"/>
        <v>0.20007915927167019</v>
      </c>
      <c r="AL40">
        <f t="shared" si="23"/>
        <v>0.18417771067521163</v>
      </c>
      <c r="AN40">
        <f t="shared" si="23"/>
        <v>0.17746989482127509</v>
      </c>
      <c r="AP40">
        <f t="shared" si="23"/>
        <v>0.23352700770030321</v>
      </c>
      <c r="AR40">
        <f t="shared" si="23"/>
        <v>0.1900078228184221</v>
      </c>
      <c r="AT40">
        <f t="shared" si="23"/>
        <v>0.21525449853374679</v>
      </c>
      <c r="AV40">
        <f t="shared" si="23"/>
        <v>0.21585376937990253</v>
      </c>
    </row>
    <row r="41" spans="1:48" x14ac:dyDescent="0.3">
      <c r="B41" s="1" t="s">
        <v>108</v>
      </c>
      <c r="D41">
        <f>1/D40</f>
        <v>4.36759738134662</v>
      </c>
      <c r="F41">
        <f t="shared" ref="F41:AV41" si="24">1/F40</f>
        <v>3.797866873222671</v>
      </c>
      <c r="H41">
        <f t="shared" si="24"/>
        <v>4.1392500138423118</v>
      </c>
      <c r="J41">
        <f t="shared" si="24"/>
        <v>4.7676906081525727</v>
      </c>
      <c r="L41">
        <f t="shared" si="24"/>
        <v>3.9331386993961073</v>
      </c>
      <c r="N41">
        <f t="shared" si="24"/>
        <v>4.5209224381824651</v>
      </c>
      <c r="P41">
        <f t="shared" si="24"/>
        <v>4.152443239746284</v>
      </c>
      <c r="R41">
        <f t="shared" si="24"/>
        <v>5.0050232371331287</v>
      </c>
      <c r="T41">
        <f t="shared" si="24"/>
        <v>5.0209383200638191</v>
      </c>
      <c r="V41">
        <f t="shared" si="24"/>
        <v>3.8351196920737225</v>
      </c>
      <c r="X41">
        <f t="shared" si="24"/>
        <v>3.8351196920737225</v>
      </c>
      <c r="Z41">
        <f t="shared" si="24"/>
        <v>4.2275304108431504</v>
      </c>
      <c r="AB41">
        <f t="shared" si="24"/>
        <v>3.8868233656216349</v>
      </c>
      <c r="AD41">
        <f t="shared" si="24"/>
        <v>4.0515259774492742</v>
      </c>
      <c r="AF41">
        <f t="shared" si="24"/>
        <v>4.8527888081089312</v>
      </c>
      <c r="AH41">
        <f t="shared" si="24"/>
        <v>5.9798916808587199</v>
      </c>
      <c r="AJ41">
        <f t="shared" si="24"/>
        <v>4.9980218011721371</v>
      </c>
      <c r="AL41">
        <f t="shared" si="24"/>
        <v>5.4295386577122295</v>
      </c>
      <c r="AN41">
        <f t="shared" si="24"/>
        <v>5.6347585093633583</v>
      </c>
      <c r="AP41">
        <f t="shared" si="24"/>
        <v>4.2821599516375839</v>
      </c>
      <c r="AR41">
        <f t="shared" si="24"/>
        <v>5.262941205087297</v>
      </c>
      <c r="AT41">
        <f t="shared" si="24"/>
        <v>4.6456636530791195</v>
      </c>
      <c r="AV41">
        <f t="shared" si="24"/>
        <v>4.6327659826037157</v>
      </c>
    </row>
    <row r="42" spans="1:48" x14ac:dyDescent="0.3">
      <c r="B42" s="15" t="s">
        <v>127</v>
      </c>
      <c r="C42">
        <f>SUM(D41,F41,H41,J41,L41,N41,P41,R41,T41,V41,X41,Z41,AB41,AD41,AF41,AH41,AJ41,AL41,AN41,AP41,AR41,AT41,AV41)</f>
        <v>105.25952019877059</v>
      </c>
    </row>
    <row r="43" spans="1:48" x14ac:dyDescent="0.3">
      <c r="B43" s="11" t="s">
        <v>128</v>
      </c>
    </row>
    <row r="44" spans="1:48" x14ac:dyDescent="0.3">
      <c r="B44" s="1" t="s">
        <v>109</v>
      </c>
      <c r="C44">
        <f>1/C42</f>
        <v>9.5003283134068462E-3</v>
      </c>
    </row>
    <row r="45" spans="1:48" x14ac:dyDescent="0.3">
      <c r="B45" s="11" t="s">
        <v>113</v>
      </c>
    </row>
    <row r="46" spans="1:48" x14ac:dyDescent="0.3">
      <c r="B46" s="1" t="s">
        <v>111</v>
      </c>
      <c r="D46">
        <f>C44/D40</f>
        <v>4.1493609063568894E-2</v>
      </c>
      <c r="F46">
        <f>C44/F40</f>
        <v>3.6080982186227274E-2</v>
      </c>
      <c r="H46">
        <f>C44/H40</f>
        <v>3.9324234102775794E-2</v>
      </c>
      <c r="J46">
        <f>C44/J40</f>
        <v>4.5294626074195793E-2</v>
      </c>
      <c r="L46">
        <f>$C$44/L40</f>
        <v>3.7366108946429021E-2</v>
      </c>
      <c r="N46">
        <f>$C$44/N40</f>
        <v>4.2950247442181184E-2</v>
      </c>
      <c r="P46">
        <f t="shared" ref="M46:AV46" si="25">$C$44/P40</f>
        <v>3.9449574080376477E-2</v>
      </c>
      <c r="R46">
        <f t="shared" si="25"/>
        <v>4.7549363968995048E-2</v>
      </c>
      <c r="T46">
        <f t="shared" si="25"/>
        <v>4.7700562481971708E-2</v>
      </c>
      <c r="V46">
        <f t="shared" si="25"/>
        <v>3.6434896195912135E-2</v>
      </c>
      <c r="X46">
        <f t="shared" si="25"/>
        <v>3.6434896195912135E-2</v>
      </c>
      <c r="Z46">
        <f t="shared" si="25"/>
        <v>4.0162926857921659E-2</v>
      </c>
      <c r="AB46">
        <f t="shared" si="25"/>
        <v>3.692609806962651E-2</v>
      </c>
      <c r="AD46">
        <f t="shared" si="25"/>
        <v>3.8490826956064685E-2</v>
      </c>
      <c r="AF46">
        <f t="shared" si="25"/>
        <v>4.6103086912661143E-2</v>
      </c>
      <c r="AH46">
        <f t="shared" si="25"/>
        <v>5.6810934246768155E-2</v>
      </c>
      <c r="AJ46">
        <f t="shared" si="25"/>
        <v>4.7482848028700342E-2</v>
      </c>
      <c r="AL46">
        <f t="shared" si="25"/>
        <v>5.1582399838600503E-2</v>
      </c>
      <c r="AN46">
        <f t="shared" si="25"/>
        <v>5.3532055805714865E-2</v>
      </c>
      <c r="AP46">
        <f t="shared" si="25"/>
        <v>4.0681925431079423E-2</v>
      </c>
      <c r="AR46">
        <f t="shared" si="25"/>
        <v>4.9999669342486397E-2</v>
      </c>
      <c r="AT46">
        <f t="shared" si="25"/>
        <v>4.4135329937912637E-2</v>
      </c>
      <c r="AV46">
        <f t="shared" si="25"/>
        <v>4.401279783391817E-2</v>
      </c>
    </row>
  </sheetData>
  <phoneticPr fontId="1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7C4BA-3235-4FC2-95A3-5CE3B8B4C81E}">
  <dimension ref="A2:D38"/>
  <sheetViews>
    <sheetView workbookViewId="0">
      <selection activeCell="I18" sqref="I18"/>
    </sheetView>
  </sheetViews>
  <sheetFormatPr defaultRowHeight="14.4" x14ac:dyDescent="0.3"/>
  <cols>
    <col min="2" max="2" width="65.33203125" customWidth="1"/>
    <col min="4" max="4" width="9.5546875" customWidth="1"/>
  </cols>
  <sheetData>
    <row r="2" spans="1:4" x14ac:dyDescent="0.3">
      <c r="A2" s="33" t="s">
        <v>187</v>
      </c>
      <c r="B2" s="7"/>
    </row>
    <row r="3" spans="1:4" ht="15" thickBot="1" x14ac:dyDescent="0.35"/>
    <row r="4" spans="1:4" ht="15" thickBot="1" x14ac:dyDescent="0.35">
      <c r="A4" s="31" t="s">
        <v>31</v>
      </c>
      <c r="B4" s="34" t="s">
        <v>32</v>
      </c>
      <c r="C4" s="32" t="s">
        <v>78</v>
      </c>
      <c r="D4" t="s">
        <v>152</v>
      </c>
    </row>
    <row r="5" spans="1:4" x14ac:dyDescent="0.3">
      <c r="A5" s="28">
        <v>1</v>
      </c>
      <c r="B5" s="22" t="s">
        <v>2</v>
      </c>
      <c r="C5" s="25" t="s">
        <v>79</v>
      </c>
      <c r="D5">
        <v>0.15202032858161904</v>
      </c>
    </row>
    <row r="6" spans="1:4" x14ac:dyDescent="0.3">
      <c r="A6" s="29">
        <v>2</v>
      </c>
      <c r="B6" s="23" t="s">
        <v>3</v>
      </c>
      <c r="C6" s="26" t="s">
        <v>80</v>
      </c>
      <c r="D6">
        <v>0.22604298413536614</v>
      </c>
    </row>
    <row r="7" spans="1:4" x14ac:dyDescent="0.3">
      <c r="A7" s="28">
        <v>3</v>
      </c>
      <c r="B7" s="22" t="s">
        <v>4</v>
      </c>
      <c r="C7" s="25" t="s">
        <v>81</v>
      </c>
      <c r="D7">
        <v>0.16285761102467322</v>
      </c>
    </row>
    <row r="8" spans="1:4" x14ac:dyDescent="0.3">
      <c r="A8" s="29">
        <v>4</v>
      </c>
      <c r="B8" s="23" t="s">
        <v>5</v>
      </c>
      <c r="C8" s="26" t="s">
        <v>82</v>
      </c>
      <c r="D8">
        <v>0.18249060338783021</v>
      </c>
    </row>
    <row r="9" spans="1:4" x14ac:dyDescent="0.3">
      <c r="A9" s="28">
        <v>5</v>
      </c>
      <c r="B9" s="22" t="s">
        <v>6</v>
      </c>
      <c r="C9" s="25" t="s">
        <v>83</v>
      </c>
      <c r="D9">
        <v>0.14501217481953949</v>
      </c>
    </row>
    <row r="10" spans="1:4" x14ac:dyDescent="0.3">
      <c r="A10" s="29">
        <v>6</v>
      </c>
      <c r="B10" s="23" t="s">
        <v>7</v>
      </c>
      <c r="C10" s="26" t="s">
        <v>84</v>
      </c>
      <c r="D10">
        <v>0.13157629805097204</v>
      </c>
    </row>
    <row r="11" spans="1:4" x14ac:dyDescent="0.3">
      <c r="A11" s="28">
        <v>7</v>
      </c>
      <c r="B11" s="22" t="s">
        <v>8</v>
      </c>
      <c r="C11" s="25" t="s">
        <v>85</v>
      </c>
      <c r="D11">
        <v>4.1493609063568894E-2</v>
      </c>
    </row>
    <row r="12" spans="1:4" x14ac:dyDescent="0.3">
      <c r="A12" s="29">
        <v>8</v>
      </c>
      <c r="B12" s="23" t="s">
        <v>9</v>
      </c>
      <c r="C12" s="26" t="s">
        <v>86</v>
      </c>
      <c r="D12">
        <v>3.6080982186227274E-2</v>
      </c>
    </row>
    <row r="13" spans="1:4" x14ac:dyDescent="0.3">
      <c r="A13" s="28">
        <v>9</v>
      </c>
      <c r="B13" s="22" t="s">
        <v>10</v>
      </c>
      <c r="C13" s="25" t="s">
        <v>87</v>
      </c>
      <c r="D13">
        <v>3.9324234102775794E-2</v>
      </c>
    </row>
    <row r="14" spans="1:4" x14ac:dyDescent="0.3">
      <c r="A14" s="29">
        <v>10</v>
      </c>
      <c r="B14" s="23" t="s">
        <v>11</v>
      </c>
      <c r="C14" s="26" t="s">
        <v>88</v>
      </c>
      <c r="D14">
        <v>4.5294626074195793E-2</v>
      </c>
    </row>
    <row r="15" spans="1:4" x14ac:dyDescent="0.3">
      <c r="A15" s="28">
        <v>11</v>
      </c>
      <c r="B15" s="22" t="s">
        <v>12</v>
      </c>
      <c r="C15" s="25" t="s">
        <v>89</v>
      </c>
      <c r="D15">
        <v>3.7366108946429021E-2</v>
      </c>
    </row>
    <row r="16" spans="1:4" x14ac:dyDescent="0.3">
      <c r="A16" s="29">
        <v>12</v>
      </c>
      <c r="B16" s="23" t="s">
        <v>13</v>
      </c>
      <c r="C16" s="26" t="s">
        <v>90</v>
      </c>
      <c r="D16">
        <v>4.2950247442181184E-2</v>
      </c>
    </row>
    <row r="17" spans="1:4" x14ac:dyDescent="0.3">
      <c r="A17" s="28">
        <v>13</v>
      </c>
      <c r="B17" s="22" t="s">
        <v>14</v>
      </c>
      <c r="C17" s="25" t="s">
        <v>91</v>
      </c>
      <c r="D17">
        <v>3.9449574080376477E-2</v>
      </c>
    </row>
    <row r="18" spans="1:4" x14ac:dyDescent="0.3">
      <c r="A18" s="29">
        <v>14</v>
      </c>
      <c r="B18" s="23" t="s">
        <v>15</v>
      </c>
      <c r="C18" s="26" t="s">
        <v>92</v>
      </c>
      <c r="D18">
        <v>4.7549363968995048E-2</v>
      </c>
    </row>
    <row r="19" spans="1:4" x14ac:dyDescent="0.3">
      <c r="A19" s="28">
        <v>15</v>
      </c>
      <c r="B19" s="22" t="s">
        <v>16</v>
      </c>
      <c r="C19" s="25" t="s">
        <v>93</v>
      </c>
      <c r="D19">
        <v>4.7700562481971708E-2</v>
      </c>
    </row>
    <row r="20" spans="1:4" x14ac:dyDescent="0.3">
      <c r="A20" s="29">
        <v>16</v>
      </c>
      <c r="B20" s="23" t="s">
        <v>17</v>
      </c>
      <c r="C20" s="26" t="s">
        <v>94</v>
      </c>
      <c r="D20">
        <v>3.6434896195912135E-2</v>
      </c>
    </row>
    <row r="21" spans="1:4" x14ac:dyDescent="0.3">
      <c r="A21" s="28">
        <v>17</v>
      </c>
      <c r="B21" s="22" t="s">
        <v>18</v>
      </c>
      <c r="C21" s="25" t="s">
        <v>95</v>
      </c>
      <c r="D21">
        <v>3.6434896195912135E-2</v>
      </c>
    </row>
    <row r="22" spans="1:4" x14ac:dyDescent="0.3">
      <c r="A22" s="29">
        <v>18</v>
      </c>
      <c r="B22" s="23" t="s">
        <v>19</v>
      </c>
      <c r="C22" s="26" t="s">
        <v>96</v>
      </c>
      <c r="D22">
        <v>4.0162926857921659E-2</v>
      </c>
    </row>
    <row r="23" spans="1:4" x14ac:dyDescent="0.3">
      <c r="A23" s="28">
        <v>19</v>
      </c>
      <c r="B23" s="22" t="s">
        <v>20</v>
      </c>
      <c r="C23" s="25" t="s">
        <v>97</v>
      </c>
      <c r="D23">
        <v>3.692609806962651E-2</v>
      </c>
    </row>
    <row r="24" spans="1:4" x14ac:dyDescent="0.3">
      <c r="A24" s="29">
        <v>20</v>
      </c>
      <c r="B24" s="23" t="s">
        <v>21</v>
      </c>
      <c r="C24" s="26" t="s">
        <v>98</v>
      </c>
      <c r="D24">
        <v>3.8490826956064685E-2</v>
      </c>
    </row>
    <row r="25" spans="1:4" x14ac:dyDescent="0.3">
      <c r="A25" s="28">
        <v>21</v>
      </c>
      <c r="B25" s="22" t="s">
        <v>22</v>
      </c>
      <c r="C25" s="25" t="s">
        <v>99</v>
      </c>
      <c r="D25">
        <v>4.6103086912661143E-2</v>
      </c>
    </row>
    <row r="26" spans="1:4" x14ac:dyDescent="0.3">
      <c r="A26" s="29">
        <v>22</v>
      </c>
      <c r="B26" s="23" t="s">
        <v>23</v>
      </c>
      <c r="C26" s="26" t="s">
        <v>100</v>
      </c>
      <c r="D26">
        <v>5.6810934246768155E-2</v>
      </c>
    </row>
    <row r="27" spans="1:4" x14ac:dyDescent="0.3">
      <c r="A27" s="28">
        <v>23</v>
      </c>
      <c r="B27" s="22" t="s">
        <v>24</v>
      </c>
      <c r="C27" s="25" t="s">
        <v>101</v>
      </c>
      <c r="D27">
        <v>4.7482848028700342E-2</v>
      </c>
    </row>
    <row r="28" spans="1:4" x14ac:dyDescent="0.3">
      <c r="A28" s="29">
        <v>24</v>
      </c>
      <c r="B28" s="23" t="s">
        <v>25</v>
      </c>
      <c r="C28" s="26" t="s">
        <v>102</v>
      </c>
      <c r="D28">
        <v>5.1582399838600503E-2</v>
      </c>
    </row>
    <row r="29" spans="1:4" x14ac:dyDescent="0.3">
      <c r="A29" s="28">
        <v>25</v>
      </c>
      <c r="B29" s="22" t="s">
        <v>26</v>
      </c>
      <c r="C29" s="25" t="s">
        <v>103</v>
      </c>
      <c r="D29">
        <v>5.3532055805714865E-2</v>
      </c>
    </row>
    <row r="30" spans="1:4" x14ac:dyDescent="0.3">
      <c r="A30" s="29">
        <v>26</v>
      </c>
      <c r="B30" s="23" t="s">
        <v>27</v>
      </c>
      <c r="C30" s="26" t="s">
        <v>104</v>
      </c>
      <c r="D30">
        <v>4.0681925431079423E-2</v>
      </c>
    </row>
    <row r="31" spans="1:4" x14ac:dyDescent="0.3">
      <c r="A31" s="28">
        <v>27</v>
      </c>
      <c r="B31" s="22" t="s">
        <v>28</v>
      </c>
      <c r="C31" s="25" t="s">
        <v>105</v>
      </c>
      <c r="D31">
        <v>4.9999669342486397E-2</v>
      </c>
    </row>
    <row r="32" spans="1:4" x14ac:dyDescent="0.3">
      <c r="A32" s="29">
        <v>28</v>
      </c>
      <c r="B32" s="23" t="s">
        <v>29</v>
      </c>
      <c r="C32" s="26" t="s">
        <v>106</v>
      </c>
      <c r="D32">
        <v>4.4135329937912637E-2</v>
      </c>
    </row>
    <row r="33" spans="1:4" ht="15" thickBot="1" x14ac:dyDescent="0.35">
      <c r="A33" s="30">
        <v>29</v>
      </c>
      <c r="B33" s="24" t="s">
        <v>30</v>
      </c>
      <c r="C33" s="27" t="s">
        <v>107</v>
      </c>
      <c r="D33">
        <v>4.401279783391817E-2</v>
      </c>
    </row>
    <row r="34" spans="1:4" x14ac:dyDescent="0.3">
      <c r="A34" s="1"/>
      <c r="B34" s="1"/>
    </row>
    <row r="35" spans="1:4" x14ac:dyDescent="0.3">
      <c r="A35" s="1"/>
      <c r="B35" s="1"/>
    </row>
    <row r="36" spans="1:4" x14ac:dyDescent="0.3">
      <c r="A36" s="1"/>
      <c r="B36" s="1"/>
    </row>
    <row r="37" spans="1:4" x14ac:dyDescent="0.3">
      <c r="A37" s="1"/>
      <c r="B37" s="1"/>
    </row>
    <row r="38" spans="1:4" x14ac:dyDescent="0.3">
      <c r="A38" s="1"/>
      <c r="B38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414CB-21E3-4294-A7F9-630078951D4E}">
  <dimension ref="A2:U38"/>
  <sheetViews>
    <sheetView topLeftCell="D10" workbookViewId="0">
      <selection activeCell="F3" sqref="F3"/>
    </sheetView>
  </sheetViews>
  <sheetFormatPr defaultRowHeight="14.4" x14ac:dyDescent="0.3"/>
  <cols>
    <col min="2" max="2" width="27.77734375" customWidth="1"/>
  </cols>
  <sheetData>
    <row r="2" spans="1:21" x14ac:dyDescent="0.3">
      <c r="A2" s="1" t="s">
        <v>31</v>
      </c>
      <c r="B2" s="7" t="s">
        <v>41</v>
      </c>
      <c r="C2" s="1" t="s">
        <v>119</v>
      </c>
      <c r="D2" s="1" t="s">
        <v>111</v>
      </c>
      <c r="E2" s="1" t="s">
        <v>121</v>
      </c>
      <c r="F2" s="1" t="s">
        <v>120</v>
      </c>
      <c r="G2" s="1" t="s">
        <v>111</v>
      </c>
      <c r="H2" s="1" t="s">
        <v>122</v>
      </c>
      <c r="I2" s="1" t="s">
        <v>118</v>
      </c>
      <c r="J2" s="1" t="s">
        <v>111</v>
      </c>
      <c r="K2" s="1" t="s">
        <v>123</v>
      </c>
      <c r="L2" s="1" t="s">
        <v>117</v>
      </c>
      <c r="M2" s="1" t="s">
        <v>111</v>
      </c>
      <c r="N2" s="1" t="s">
        <v>124</v>
      </c>
      <c r="O2" s="1" t="s">
        <v>116</v>
      </c>
      <c r="P2" s="1" t="s">
        <v>111</v>
      </c>
      <c r="Q2" s="1" t="s">
        <v>125</v>
      </c>
      <c r="R2" s="1" t="s">
        <v>115</v>
      </c>
      <c r="S2" s="1" t="s">
        <v>111</v>
      </c>
      <c r="T2" s="1" t="s">
        <v>126</v>
      </c>
      <c r="U2" s="1" t="s">
        <v>185</v>
      </c>
    </row>
    <row r="3" spans="1:21" x14ac:dyDescent="0.3">
      <c r="A3" s="1">
        <v>1</v>
      </c>
      <c r="B3" s="1" t="s">
        <v>77</v>
      </c>
      <c r="C3">
        <v>1.7657513253674845E-2</v>
      </c>
      <c r="D3">
        <v>0.15202032858161904</v>
      </c>
      <c r="E3">
        <f>C3*D3</f>
        <v>2.6843009667579429E-3</v>
      </c>
      <c r="F3">
        <v>2.7805723934661606E-2</v>
      </c>
      <c r="G3">
        <v>0.22604298413536614</v>
      </c>
      <c r="H3">
        <f>F3*G3</f>
        <v>6.2852888142350839E-3</v>
      </c>
      <c r="I3">
        <v>5.7725320886325947E-2</v>
      </c>
      <c r="J3">
        <v>0.16285761102467322</v>
      </c>
      <c r="K3">
        <f>I3*J3</f>
        <v>9.4010078551797164E-3</v>
      </c>
      <c r="L3">
        <v>4.4287107355209958E-2</v>
      </c>
      <c r="M3">
        <v>0.18249060338783021</v>
      </c>
      <c r="N3">
        <f>L3*M3</f>
        <v>8.0819809435538782E-3</v>
      </c>
      <c r="O3">
        <v>5.7475323107538799E-2</v>
      </c>
      <c r="P3">
        <v>0.14501217481953949</v>
      </c>
      <c r="Q3">
        <f>O3*P3</f>
        <v>8.3346216022799329E-3</v>
      </c>
      <c r="R3">
        <v>0.17626425730374398</v>
      </c>
      <c r="S3">
        <v>0.13157629805097204</v>
      </c>
      <c r="T3">
        <f>R3*S3</f>
        <v>2.3192198454730643E-2</v>
      </c>
      <c r="U3">
        <f>SUM(E3,H3,K3,N3,Q3,T3)</f>
        <v>5.7979398636737192E-2</v>
      </c>
    </row>
    <row r="4" spans="1:21" x14ac:dyDescent="0.3">
      <c r="A4" s="1">
        <v>2</v>
      </c>
      <c r="B4" s="1" t="s">
        <v>76</v>
      </c>
      <c r="C4">
        <v>8.0917819029624714E-3</v>
      </c>
      <c r="D4">
        <v>0.15202032858161904</v>
      </c>
      <c r="E4">
        <f t="shared" ref="E4:E38" si="0">C4*D4</f>
        <v>1.2301153436991535E-3</v>
      </c>
      <c r="F4">
        <v>1.6840157532065057E-2</v>
      </c>
      <c r="G4">
        <v>0.22604298413536614</v>
      </c>
      <c r="H4">
        <f t="shared" ref="H4:H38" si="1">F4*G4</f>
        <v>3.806599461857648E-3</v>
      </c>
      <c r="I4">
        <v>3.6058781160928088E-2</v>
      </c>
      <c r="J4">
        <v>0.16285761102467322</v>
      </c>
      <c r="K4">
        <f t="shared" ref="K4:K38" si="2">I4*J4</f>
        <v>5.8724469563302415E-3</v>
      </c>
      <c r="L4">
        <v>5.3315275592481323E-2</v>
      </c>
      <c r="M4">
        <v>0.18249060338783021</v>
      </c>
      <c r="N4">
        <f t="shared" ref="N4:N38" si="3">L4*M4</f>
        <v>9.7295368126603735E-3</v>
      </c>
      <c r="O4">
        <v>1.7688039214184197E-2</v>
      </c>
      <c r="P4">
        <v>0.14501217481953949</v>
      </c>
      <c r="Q4">
        <f t="shared" ref="Q4:Q38" si="4">O4*P4</f>
        <v>2.5649810347421489E-3</v>
      </c>
      <c r="R4">
        <v>0.15507216760223552</v>
      </c>
      <c r="S4">
        <v>0.13157629805097204</v>
      </c>
      <c r="T4">
        <f t="shared" ref="T4:T38" si="5">R4*S4</f>
        <v>2.0403821743842032E-2</v>
      </c>
      <c r="U4">
        <f t="shared" ref="U4:U38" si="6">SUM(E4,H4,K4,N4,Q4,T4)</f>
        <v>4.36075013531316E-2</v>
      </c>
    </row>
    <row r="5" spans="1:21" x14ac:dyDescent="0.3">
      <c r="A5" s="1">
        <v>3</v>
      </c>
      <c r="B5" s="1" t="s">
        <v>75</v>
      </c>
      <c r="C5">
        <v>0.15156813322112597</v>
      </c>
      <c r="D5">
        <v>0.15202032858161904</v>
      </c>
      <c r="E5">
        <f t="shared" si="0"/>
        <v>2.3041437414778178E-2</v>
      </c>
      <c r="F5">
        <v>2.6895718424072679E-2</v>
      </c>
      <c r="G5">
        <v>0.22604298413536614</v>
      </c>
      <c r="H5">
        <f t="shared" si="1"/>
        <v>6.079588453041935E-3</v>
      </c>
      <c r="I5">
        <v>0.10075733751396823</v>
      </c>
      <c r="J5">
        <v>0.16285761102467322</v>
      </c>
      <c r="K5">
        <f t="shared" si="2"/>
        <v>1.6409099280731552E-2</v>
      </c>
      <c r="L5">
        <v>0.15556895672117182</v>
      </c>
      <c r="M5">
        <v>0.18249060338783021</v>
      </c>
      <c r="N5">
        <f t="shared" si="3"/>
        <v>2.838987278046189E-2</v>
      </c>
      <c r="O5">
        <v>6.1032732881916747E-2</v>
      </c>
      <c r="P5">
        <v>0.14501217481953949</v>
      </c>
      <c r="Q5">
        <f t="shared" si="4"/>
        <v>8.8504893303867679E-3</v>
      </c>
      <c r="R5">
        <v>4.9256584923047603E-2</v>
      </c>
      <c r="S5">
        <v>0.13157629805097204</v>
      </c>
      <c r="T5">
        <f t="shared" si="5"/>
        <v>6.4809990988079274E-3</v>
      </c>
      <c r="U5">
        <f t="shared" si="6"/>
        <v>8.9251486358208232E-2</v>
      </c>
    </row>
    <row r="6" spans="1:21" x14ac:dyDescent="0.3">
      <c r="A6" s="1">
        <v>4</v>
      </c>
      <c r="B6" s="1" t="s">
        <v>74</v>
      </c>
      <c r="C6">
        <v>1.3722342470373657E-4</v>
      </c>
      <c r="D6">
        <v>0.15202032858161904</v>
      </c>
      <c r="E6">
        <f t="shared" si="0"/>
        <v>2.0860750112557094E-5</v>
      </c>
      <c r="F6">
        <v>3.0333517019630842E-5</v>
      </c>
      <c r="G6">
        <v>0.22604298413536614</v>
      </c>
      <c r="H6">
        <f t="shared" si="1"/>
        <v>6.856678706438273E-6</v>
      </c>
      <c r="I6">
        <v>1.2522367024726924E-4</v>
      </c>
      <c r="J6">
        <v>0.16285761102467322</v>
      </c>
      <c r="K6">
        <f t="shared" si="2"/>
        <v>2.0393627780211719E-5</v>
      </c>
      <c r="L6">
        <v>6.938263055731315E-4</v>
      </c>
      <c r="M6">
        <v>0.18249060338783021</v>
      </c>
      <c r="N6">
        <f t="shared" si="3"/>
        <v>1.2661678115038984E-4</v>
      </c>
      <c r="O6">
        <v>0</v>
      </c>
      <c r="P6">
        <v>0.14501217481953949</v>
      </c>
      <c r="Q6">
        <f t="shared" si="4"/>
        <v>0</v>
      </c>
      <c r="R6">
        <v>0</v>
      </c>
      <c r="S6">
        <v>0.13157629805097204</v>
      </c>
      <c r="T6">
        <f t="shared" si="5"/>
        <v>0</v>
      </c>
      <c r="U6">
        <f t="shared" si="6"/>
        <v>1.7472783774959692E-4</v>
      </c>
    </row>
    <row r="7" spans="1:21" x14ac:dyDescent="0.3">
      <c r="A7" s="1">
        <v>5</v>
      </c>
      <c r="B7" s="1" t="s">
        <v>73</v>
      </c>
      <c r="C7">
        <v>2.8488749521099456E-2</v>
      </c>
      <c r="D7">
        <v>0.15202032858161904</v>
      </c>
      <c r="E7">
        <f t="shared" si="0"/>
        <v>4.3308690630769813E-3</v>
      </c>
      <c r="F7">
        <v>1.6193042502312932E-2</v>
      </c>
      <c r="G7">
        <v>0.22604298413536614</v>
      </c>
      <c r="H7">
        <f t="shared" si="1"/>
        <v>3.6603236494536315E-3</v>
      </c>
      <c r="I7">
        <v>5.0113246104016802E-2</v>
      </c>
      <c r="J7">
        <v>0.16285761102467322</v>
      </c>
      <c r="K7">
        <f t="shared" si="2"/>
        <v>8.1613235411916885E-3</v>
      </c>
      <c r="L7">
        <v>6.1672981258454988E-2</v>
      </c>
      <c r="M7">
        <v>0.18249060338783021</v>
      </c>
      <c r="N7">
        <f t="shared" si="3"/>
        <v>1.1254739562581795E-2</v>
      </c>
      <c r="O7">
        <v>2.3130824134709793E-2</v>
      </c>
      <c r="P7">
        <v>0.14501217481953949</v>
      </c>
      <c r="Q7">
        <f t="shared" si="4"/>
        <v>3.3542511131425595E-3</v>
      </c>
      <c r="R7">
        <v>0.12369724033351089</v>
      </c>
      <c r="S7">
        <v>0.13157629805097204</v>
      </c>
      <c r="T7">
        <f t="shared" si="5"/>
        <v>1.6275624962204749E-2</v>
      </c>
      <c r="U7">
        <f t="shared" si="6"/>
        <v>4.7037131891651401E-2</v>
      </c>
    </row>
    <row r="8" spans="1:21" x14ac:dyDescent="0.3">
      <c r="A8" s="1">
        <v>6</v>
      </c>
      <c r="B8" s="1" t="s">
        <v>72</v>
      </c>
      <c r="C8">
        <v>0.11508757740178854</v>
      </c>
      <c r="D8">
        <v>0.15202032858161904</v>
      </c>
      <c r="E8">
        <f t="shared" si="0"/>
        <v>1.7495651332282407E-2</v>
      </c>
      <c r="F8">
        <v>4.7370842412323498E-2</v>
      </c>
      <c r="G8">
        <v>0.22604298413536614</v>
      </c>
      <c r="H8">
        <f t="shared" si="1"/>
        <v>1.070784657988777E-2</v>
      </c>
      <c r="I8">
        <v>9.3716632628693897E-2</v>
      </c>
      <c r="J8">
        <v>0.16285761102467322</v>
      </c>
      <c r="K8">
        <f t="shared" si="2"/>
        <v>1.526246690318603E-2</v>
      </c>
      <c r="L8">
        <v>0.14008243951090896</v>
      </c>
      <c r="M8">
        <v>0.18249060338783021</v>
      </c>
      <c r="N8">
        <f t="shared" si="3"/>
        <v>2.5563728910385004E-2</v>
      </c>
      <c r="O8">
        <v>5.3975729191675037E-2</v>
      </c>
      <c r="P8">
        <v>0.14501217481953949</v>
      </c>
      <c r="Q8">
        <f t="shared" si="4"/>
        <v>7.8271378775553006E-3</v>
      </c>
      <c r="R8">
        <v>0.1376803731038688</v>
      </c>
      <c r="S8">
        <v>0.13157629805097204</v>
      </c>
      <c r="T8">
        <f t="shared" si="5"/>
        <v>1.8115473807283674E-2</v>
      </c>
      <c r="U8">
        <f t="shared" si="6"/>
        <v>9.4972305410580202E-2</v>
      </c>
    </row>
    <row r="9" spans="1:21" x14ac:dyDescent="0.3">
      <c r="A9" s="1">
        <v>7</v>
      </c>
      <c r="B9" s="1" t="s">
        <v>71</v>
      </c>
      <c r="C9">
        <v>1.3469998722931887E-2</v>
      </c>
      <c r="D9">
        <v>0.15202032858161904</v>
      </c>
      <c r="E9">
        <f t="shared" si="0"/>
        <v>2.0477136318540943E-3</v>
      </c>
      <c r="F9">
        <v>2.1976633080722546E-2</v>
      </c>
      <c r="G9">
        <v>0.22604298413536614</v>
      </c>
      <c r="H9">
        <f t="shared" si="1"/>
        <v>4.9676637228145294E-3</v>
      </c>
      <c r="I9">
        <v>1.6253366828652315E-2</v>
      </c>
      <c r="J9">
        <v>0.16285761102467322</v>
      </c>
      <c r="K9">
        <f t="shared" si="2"/>
        <v>2.6469844928219853E-3</v>
      </c>
      <c r="L9">
        <v>8.4737391626744041E-2</v>
      </c>
      <c r="M9">
        <v>0.18249060338783021</v>
      </c>
      <c r="N9">
        <f t="shared" si="3"/>
        <v>1.5463777727475392E-2</v>
      </c>
      <c r="O9">
        <v>5.8792946523077124E-3</v>
      </c>
      <c r="P9">
        <v>0.14501217481953949</v>
      </c>
      <c r="Q9">
        <f t="shared" si="4"/>
        <v>8.5256930393602963E-4</v>
      </c>
      <c r="R9">
        <v>1.0885684704022956E-2</v>
      </c>
      <c r="S9">
        <v>0.13157629805097204</v>
      </c>
      <c r="T9">
        <f t="shared" si="5"/>
        <v>1.4322980951054318E-3</v>
      </c>
      <c r="U9">
        <f t="shared" si="6"/>
        <v>2.7411006974007467E-2</v>
      </c>
    </row>
    <row r="10" spans="1:21" x14ac:dyDescent="0.3">
      <c r="A10" s="1">
        <v>8</v>
      </c>
      <c r="B10" s="1" t="s">
        <v>70</v>
      </c>
      <c r="C10">
        <v>0.27363660699374892</v>
      </c>
      <c r="D10">
        <v>0.15202032858161904</v>
      </c>
      <c r="E10">
        <f t="shared" si="0"/>
        <v>4.1598326907149069E-2</v>
      </c>
      <c r="F10">
        <v>0.2422586336772817</v>
      </c>
      <c r="G10">
        <v>0.22604298413536614</v>
      </c>
      <c r="H10">
        <f t="shared" si="1"/>
        <v>5.4760864488969267E-2</v>
      </c>
      <c r="I10">
        <v>0.40096366940886646</v>
      </c>
      <c r="J10">
        <v>0.16285761102467322</v>
      </c>
      <c r="K10">
        <f t="shared" si="2"/>
        <v>6.5299985307614841E-2</v>
      </c>
      <c r="L10">
        <v>0.33660936295905908</v>
      </c>
      <c r="M10">
        <v>0.18249060338783021</v>
      </c>
      <c r="N10">
        <f t="shared" si="3"/>
        <v>6.1428045752391837E-2</v>
      </c>
      <c r="O10">
        <v>0.47023444475167148</v>
      </c>
      <c r="P10">
        <v>0.14501217481953949</v>
      </c>
      <c r="Q10">
        <f t="shared" si="4"/>
        <v>6.8189719508498461E-2</v>
      </c>
      <c r="R10">
        <v>0.85043346830275091</v>
      </c>
      <c r="S10">
        <v>0.13157629805097204</v>
      </c>
      <c r="T10">
        <f t="shared" si="5"/>
        <v>0.11189688749792463</v>
      </c>
      <c r="U10">
        <f t="shared" si="6"/>
        <v>0.40317382946254815</v>
      </c>
    </row>
    <row r="11" spans="1:21" x14ac:dyDescent="0.3">
      <c r="A11" s="1">
        <v>9</v>
      </c>
      <c r="B11" s="1" t="s">
        <v>69</v>
      </c>
      <c r="C11">
        <v>0.81143649287625208</v>
      </c>
      <c r="D11">
        <v>0.15202032858161904</v>
      </c>
      <c r="E11">
        <f t="shared" si="0"/>
        <v>0.12335484227016442</v>
      </c>
      <c r="F11">
        <v>0.22846699460568956</v>
      </c>
      <c r="G11">
        <v>0.22604298413536614</v>
      </c>
      <c r="H11">
        <f t="shared" si="1"/>
        <v>5.1643361237108665E-2</v>
      </c>
      <c r="I11">
        <v>1</v>
      </c>
      <c r="J11">
        <v>0.16285761102467322</v>
      </c>
      <c r="K11">
        <f t="shared" si="2"/>
        <v>0.16285761102467322</v>
      </c>
      <c r="L11">
        <v>1</v>
      </c>
      <c r="M11">
        <v>0.18249060338783021</v>
      </c>
      <c r="N11">
        <f t="shared" si="3"/>
        <v>0.18249060338783021</v>
      </c>
      <c r="O11">
        <v>0.43120209143086591</v>
      </c>
      <c r="P11">
        <v>0.14501217481953949</v>
      </c>
      <c r="Q11">
        <f t="shared" si="4"/>
        <v>6.2529553065123783E-2</v>
      </c>
      <c r="R11">
        <v>0.93364851290361617</v>
      </c>
      <c r="S11">
        <v>0.13157629805097204</v>
      </c>
      <c r="T11">
        <f t="shared" si="5"/>
        <v>0.12284601500865301</v>
      </c>
      <c r="U11">
        <f t="shared" si="6"/>
        <v>0.70572198599355329</v>
      </c>
    </row>
    <row r="12" spans="1:21" x14ac:dyDescent="0.3">
      <c r="A12" s="1">
        <v>10</v>
      </c>
      <c r="B12" s="1" t="s">
        <v>68</v>
      </c>
      <c r="C12">
        <v>1</v>
      </c>
      <c r="D12">
        <v>0.15202032858161904</v>
      </c>
      <c r="E12">
        <f t="shared" si="0"/>
        <v>0.15202032858161904</v>
      </c>
      <c r="F12">
        <v>0.17078275640669158</v>
      </c>
      <c r="G12">
        <v>0.22604298413536614</v>
      </c>
      <c r="H12">
        <f t="shared" si="1"/>
        <v>3.8604243897031883E-2</v>
      </c>
      <c r="I12">
        <v>0.67966212474564114</v>
      </c>
      <c r="J12">
        <v>0.16285761102467322</v>
      </c>
      <c r="K12">
        <f t="shared" si="2"/>
        <v>0.11068814994002855</v>
      </c>
      <c r="L12">
        <v>0.75802257013333418</v>
      </c>
      <c r="M12">
        <v>0.18249060338783021</v>
      </c>
      <c r="N12">
        <f t="shared" si="3"/>
        <v>0.13833199620522599</v>
      </c>
      <c r="O12">
        <v>0.43262624056571664</v>
      </c>
      <c r="P12">
        <v>0.14501217481953949</v>
      </c>
      <c r="Q12">
        <f t="shared" si="4"/>
        <v>6.2736072028435841E-2</v>
      </c>
      <c r="R12">
        <v>0.69908466462091878</v>
      </c>
      <c r="S12">
        <v>0.13157629805097204</v>
      </c>
      <c r="T12">
        <f t="shared" si="5"/>
        <v>9.1982972195025839E-2</v>
      </c>
      <c r="U12">
        <f t="shared" si="6"/>
        <v>0.59436376284736703</v>
      </c>
    </row>
    <row r="13" spans="1:21" x14ac:dyDescent="0.3">
      <c r="A13" s="1">
        <v>11</v>
      </c>
      <c r="B13" s="1" t="s">
        <v>67</v>
      </c>
      <c r="C13">
        <v>8.6089535572896026E-4</v>
      </c>
      <c r="D13">
        <v>0.15202032858161904</v>
      </c>
      <c r="E13">
        <f t="shared" si="0"/>
        <v>1.3087359485230635E-4</v>
      </c>
      <c r="F13">
        <v>3.0333517019630839E-4</v>
      </c>
      <c r="G13">
        <v>0.22604298413536614</v>
      </c>
      <c r="H13">
        <f t="shared" si="1"/>
        <v>6.8566787064382724E-5</v>
      </c>
      <c r="I13">
        <v>3.2231273787733696E-3</v>
      </c>
      <c r="J13">
        <v>0.16285761102467322</v>
      </c>
      <c r="K13">
        <f t="shared" si="2"/>
        <v>5.24910824935248E-4</v>
      </c>
      <c r="L13">
        <v>1.9028038013178677E-3</v>
      </c>
      <c r="M13">
        <v>0.18249060338783021</v>
      </c>
      <c r="N13">
        <f t="shared" si="3"/>
        <v>3.4724381383115471E-4</v>
      </c>
      <c r="O13">
        <v>1.7136620463605134E-3</v>
      </c>
      <c r="P13">
        <v>0.14501217481953949</v>
      </c>
      <c r="Q13">
        <f t="shared" si="4"/>
        <v>2.4850186024844055E-4</v>
      </c>
      <c r="R13">
        <v>6.5878148559631571E-3</v>
      </c>
      <c r="S13">
        <v>0.13157629805097204</v>
      </c>
      <c r="T13">
        <f t="shared" si="5"/>
        <v>8.668002909928298E-4</v>
      </c>
      <c r="U13">
        <f t="shared" si="6"/>
        <v>2.186897171924362E-3</v>
      </c>
    </row>
    <row r="14" spans="1:21" x14ac:dyDescent="0.3">
      <c r="A14" s="1">
        <v>12</v>
      </c>
      <c r="B14" s="1" t="s">
        <v>66</v>
      </c>
      <c r="C14">
        <v>1.4807031733505356E-3</v>
      </c>
      <c r="D14">
        <v>0.15202032858161904</v>
      </c>
      <c r="E14">
        <f t="shared" si="0"/>
        <v>2.2509698294459444E-4</v>
      </c>
      <c r="F14">
        <v>1.2032295084453567E-3</v>
      </c>
      <c r="G14">
        <v>0.22604298413536614</v>
      </c>
      <c r="H14">
        <f t="shared" si="1"/>
        <v>2.7198158868871813E-4</v>
      </c>
      <c r="I14">
        <v>7.5209347085500927E-3</v>
      </c>
      <c r="J14">
        <v>0.16285761102467322</v>
      </c>
      <c r="K14">
        <f t="shared" si="2"/>
        <v>1.2248414593070151E-3</v>
      </c>
      <c r="L14">
        <v>5.2895877411635291E-3</v>
      </c>
      <c r="M14">
        <v>0.18249060338783021</v>
      </c>
      <c r="N14">
        <f t="shared" si="3"/>
        <v>9.6530005855780226E-4</v>
      </c>
      <c r="O14">
        <v>1.4442112377551431E-2</v>
      </c>
      <c r="P14">
        <v>0.14501217481953949</v>
      </c>
      <c r="Q14">
        <f t="shared" si="4"/>
        <v>2.0942821248569232E-3</v>
      </c>
      <c r="R14">
        <v>1.8451940623738276E-2</v>
      </c>
      <c r="S14">
        <v>0.13157629805097204</v>
      </c>
      <c r="T14">
        <f t="shared" si="5"/>
        <v>2.4278380391278263E-3</v>
      </c>
      <c r="U14">
        <f t="shared" si="6"/>
        <v>7.2093402534828786E-3</v>
      </c>
    </row>
    <row r="15" spans="1:21" x14ac:dyDescent="0.3">
      <c r="A15" s="1">
        <v>13</v>
      </c>
      <c r="B15" s="1" t="s">
        <v>65</v>
      </c>
      <c r="C15">
        <v>1.6155730270116279E-3</v>
      </c>
      <c r="D15">
        <v>0.15202032858161904</v>
      </c>
      <c r="E15">
        <f t="shared" si="0"/>
        <v>2.4559994241390857E-4</v>
      </c>
      <c r="F15">
        <v>2.6137380498581909E-3</v>
      </c>
      <c r="G15">
        <v>0.22604298413536614</v>
      </c>
      <c r="H15">
        <f t="shared" si="1"/>
        <v>5.9081714853809783E-4</v>
      </c>
      <c r="I15">
        <v>1.0401293824057684E-2</v>
      </c>
      <c r="J15">
        <v>0.16285761102467322</v>
      </c>
      <c r="K15">
        <f t="shared" si="2"/>
        <v>1.6939298637517221E-3</v>
      </c>
      <c r="L15">
        <v>7.81689266930281E-3</v>
      </c>
      <c r="M15">
        <v>0.18249060338783021</v>
      </c>
      <c r="N15">
        <f t="shared" si="3"/>
        <v>1.4265094598389766E-3</v>
      </c>
      <c r="O15">
        <v>1.430436609464138E-2</v>
      </c>
      <c r="P15">
        <v>0.14501217481953949</v>
      </c>
      <c r="Q15">
        <f t="shared" si="4"/>
        <v>2.0743072367988293E-3</v>
      </c>
      <c r="R15">
        <v>2.6405607060345521E-2</v>
      </c>
      <c r="S15">
        <v>0.13157629805097204</v>
      </c>
      <c r="T15">
        <f t="shared" si="5"/>
        <v>3.4743520247888741E-3</v>
      </c>
      <c r="U15">
        <f t="shared" si="6"/>
        <v>9.5055156761304094E-3</v>
      </c>
    </row>
    <row r="16" spans="1:21" x14ac:dyDescent="0.3">
      <c r="A16" s="1">
        <v>14</v>
      </c>
      <c r="B16" s="1" t="s">
        <v>64</v>
      </c>
      <c r="C16">
        <v>7.630993624483033E-3</v>
      </c>
      <c r="D16">
        <v>0.15202032858161904</v>
      </c>
      <c r="E16">
        <f t="shared" si="0"/>
        <v>1.1600661581981507E-3</v>
      </c>
      <c r="F16">
        <v>1.0717842680269564E-3</v>
      </c>
      <c r="G16">
        <v>0.22604298413536614</v>
      </c>
      <c r="H16">
        <f t="shared" si="1"/>
        <v>2.4226931429415232E-4</v>
      </c>
      <c r="I16">
        <v>1.5359356776514073E-2</v>
      </c>
      <c r="J16">
        <v>0.16285761102467322</v>
      </c>
      <c r="K16">
        <f t="shared" si="2"/>
        <v>2.5013881514987075E-3</v>
      </c>
      <c r="L16">
        <v>1.7012820178912584E-2</v>
      </c>
      <c r="M16">
        <v>0.18249060338783021</v>
      </c>
      <c r="N16">
        <f t="shared" si="3"/>
        <v>3.1046798197784109E-3</v>
      </c>
      <c r="O16">
        <v>1.2150580825341616E-2</v>
      </c>
      <c r="P16">
        <v>0.14501217481953949</v>
      </c>
      <c r="Q16">
        <f t="shared" si="4"/>
        <v>1.7619821508033826E-3</v>
      </c>
      <c r="R16">
        <v>1.8106759689256371E-2</v>
      </c>
      <c r="S16">
        <v>0.13157629805097204</v>
      </c>
      <c r="T16">
        <f t="shared" si="5"/>
        <v>2.3824204096109221E-3</v>
      </c>
      <c r="U16">
        <f t="shared" si="6"/>
        <v>1.1152806004183728E-2</v>
      </c>
    </row>
    <row r="17" spans="1:21" x14ac:dyDescent="0.3">
      <c r="A17" s="1">
        <v>15</v>
      </c>
      <c r="B17" s="1" t="s">
        <v>63</v>
      </c>
      <c r="C17">
        <v>7.2193233503718235E-4</v>
      </c>
      <c r="D17">
        <v>0.15202032858161904</v>
      </c>
      <c r="E17">
        <f t="shared" si="0"/>
        <v>1.0974839078604795E-4</v>
      </c>
      <c r="F17">
        <v>3.6400220423557007E-4</v>
      </c>
      <c r="G17">
        <v>0.22604298413536614</v>
      </c>
      <c r="H17">
        <f t="shared" si="1"/>
        <v>8.2280144477259263E-5</v>
      </c>
      <c r="I17">
        <v>4.3616805263451981E-3</v>
      </c>
      <c r="J17">
        <v>0.16285761102467322</v>
      </c>
      <c r="K17">
        <f t="shared" si="2"/>
        <v>7.1033287057341819E-4</v>
      </c>
      <c r="L17">
        <v>2.5433914337059786E-3</v>
      </c>
      <c r="M17">
        <v>0.18249060338783021</v>
      </c>
      <c r="N17">
        <f t="shared" si="3"/>
        <v>4.6414503738844261E-4</v>
      </c>
      <c r="O17">
        <v>4.6216551899778526E-3</v>
      </c>
      <c r="P17">
        <v>0.14501217481953949</v>
      </c>
      <c r="Q17">
        <f t="shared" si="4"/>
        <v>6.7019627036470032E-4</v>
      </c>
      <c r="R17">
        <v>3.8149837535452194E-3</v>
      </c>
      <c r="S17">
        <v>0.13157629805097204</v>
      </c>
      <c r="T17">
        <f t="shared" si="5"/>
        <v>5.0196143941608185E-4</v>
      </c>
      <c r="U17">
        <f t="shared" si="6"/>
        <v>2.5386641530059503E-3</v>
      </c>
    </row>
    <row r="18" spans="1:21" x14ac:dyDescent="0.3">
      <c r="A18" s="1">
        <v>16</v>
      </c>
      <c r="B18" s="1" t="s">
        <v>62</v>
      </c>
      <c r="C18">
        <v>2.5346527520817848E-2</v>
      </c>
      <c r="D18">
        <v>0.15202032858161904</v>
      </c>
      <c r="E18">
        <f t="shared" si="0"/>
        <v>3.8531874421177791E-3</v>
      </c>
      <c r="F18">
        <v>1.4544921410912988E-2</v>
      </c>
      <c r="G18">
        <v>0.22604298413536614</v>
      </c>
      <c r="H18">
        <f t="shared" si="1"/>
        <v>3.287777439737152E-3</v>
      </c>
      <c r="I18">
        <v>2.9623851818907358E-2</v>
      </c>
      <c r="J18">
        <v>0.16285761102467322</v>
      </c>
      <c r="K18">
        <f t="shared" si="2"/>
        <v>4.824469736576173E-3</v>
      </c>
      <c r="L18">
        <v>1.5745433347479243E-2</v>
      </c>
      <c r="M18">
        <v>0.18249060338783021</v>
      </c>
      <c r="N18">
        <f t="shared" si="3"/>
        <v>2.8733936321843506E-3</v>
      </c>
      <c r="O18">
        <v>3.9330394071446236E-2</v>
      </c>
      <c r="P18">
        <v>0.14501217481953949</v>
      </c>
      <c r="Q18">
        <f t="shared" si="4"/>
        <v>5.7033859808099411E-3</v>
      </c>
      <c r="R18">
        <v>5.3703176343942692E-3</v>
      </c>
      <c r="S18">
        <v>0.13157629805097204</v>
      </c>
      <c r="T18">
        <f t="shared" si="5"/>
        <v>7.0660651369145149E-4</v>
      </c>
      <c r="U18">
        <f t="shared" si="6"/>
        <v>2.1248820745116848E-2</v>
      </c>
    </row>
    <row r="19" spans="1:21" x14ac:dyDescent="0.3">
      <c r="A19" s="1">
        <v>17</v>
      </c>
      <c r="B19" s="1" t="s">
        <v>61</v>
      </c>
      <c r="C19">
        <v>1.697753588070219E-2</v>
      </c>
      <c r="D19">
        <v>0.15202032858161904</v>
      </c>
      <c r="E19">
        <f t="shared" si="0"/>
        <v>2.580930583090574E-3</v>
      </c>
      <c r="F19">
        <v>5.2729763752458279E-3</v>
      </c>
      <c r="G19">
        <v>0.22604298413536614</v>
      </c>
      <c r="H19">
        <f t="shared" si="1"/>
        <v>1.191919315135853E-3</v>
      </c>
      <c r="I19">
        <v>1.9266034708480314E-2</v>
      </c>
      <c r="J19">
        <v>0.16285761102467322</v>
      </c>
      <c r="K19">
        <f t="shared" si="2"/>
        <v>3.1376203865415403E-3</v>
      </c>
      <c r="L19">
        <v>1.4621676030034272E-2</v>
      </c>
      <c r="M19">
        <v>0.18249060338783021</v>
      </c>
      <c r="N19">
        <f t="shared" si="3"/>
        <v>2.668318481262328E-3</v>
      </c>
      <c r="O19">
        <v>2.9598684226691933E-2</v>
      </c>
      <c r="P19">
        <v>0.14501217481953949</v>
      </c>
      <c r="Q19">
        <f t="shared" si="4"/>
        <v>4.2921695715093964E-3</v>
      </c>
      <c r="R19">
        <v>1.6808475440468314E-2</v>
      </c>
      <c r="S19">
        <v>0.13157629805097204</v>
      </c>
      <c r="T19">
        <f t="shared" si="5"/>
        <v>2.2115969743375023E-3</v>
      </c>
      <c r="U19">
        <f t="shared" si="6"/>
        <v>1.6082555311877196E-2</v>
      </c>
    </row>
    <row r="20" spans="1:21" x14ac:dyDescent="0.3">
      <c r="A20" s="1">
        <v>18</v>
      </c>
      <c r="B20" s="1" t="s">
        <v>60</v>
      </c>
      <c r="C20">
        <v>0.18580727077445994</v>
      </c>
      <c r="D20">
        <v>0.15202032858161904</v>
      </c>
      <c r="E20">
        <f t="shared" si="0"/>
        <v>2.824648235598726E-2</v>
      </c>
      <c r="F20">
        <v>0.20365923326980145</v>
      </c>
      <c r="G20">
        <v>0.22604298413536614</v>
      </c>
      <c r="H20">
        <f t="shared" si="1"/>
        <v>4.603574083502656E-2</v>
      </c>
      <c r="I20">
        <v>0.2368037573327369</v>
      </c>
      <c r="J20">
        <v>0.16285761102467322</v>
      </c>
      <c r="K20">
        <f t="shared" si="2"/>
        <v>3.8565294200875976E-2</v>
      </c>
      <c r="L20">
        <v>0.15950995907899393</v>
      </c>
      <c r="M20">
        <v>0.18249060338783021</v>
      </c>
      <c r="N20">
        <f t="shared" si="3"/>
        <v>2.9109068678693707E-2</v>
      </c>
      <c r="O20">
        <v>0.29266011776801298</v>
      </c>
      <c r="P20">
        <v>0.14501217481953949</v>
      </c>
      <c r="Q20">
        <f t="shared" si="4"/>
        <v>4.243928016048211E-2</v>
      </c>
      <c r="R20">
        <v>0.37666529145113514</v>
      </c>
      <c r="S20">
        <v>0.13157629805097204</v>
      </c>
      <c r="T20">
        <f t="shared" si="5"/>
        <v>4.9560224653430809E-2</v>
      </c>
      <c r="U20">
        <f t="shared" si="6"/>
        <v>0.23395609088449643</v>
      </c>
    </row>
    <row r="21" spans="1:21" x14ac:dyDescent="0.3">
      <c r="A21" s="1">
        <v>19</v>
      </c>
      <c r="B21" s="1" t="s">
        <v>59</v>
      </c>
      <c r="C21">
        <v>0.77407038036982578</v>
      </c>
      <c r="D21">
        <v>0.15202032858161904</v>
      </c>
      <c r="E21">
        <f t="shared" si="0"/>
        <v>0.11767443356911975</v>
      </c>
      <c r="F21">
        <v>1</v>
      </c>
      <c r="G21">
        <v>0.22604298413536614</v>
      </c>
      <c r="H21">
        <f t="shared" si="1"/>
        <v>0.22604298413536614</v>
      </c>
      <c r="I21">
        <v>0.69720428092118891</v>
      </c>
      <c r="J21">
        <v>0.16285761102467322</v>
      </c>
      <c r="K21">
        <f t="shared" si="2"/>
        <v>0.11354502358699999</v>
      </c>
      <c r="L21">
        <v>0.34683080519854576</v>
      </c>
      <c r="M21">
        <v>0.18249060338783021</v>
      </c>
      <c r="N21">
        <f t="shared" si="3"/>
        <v>6.3293362914169621E-2</v>
      </c>
      <c r="O21">
        <v>1</v>
      </c>
      <c r="P21">
        <v>0.14501217481953949</v>
      </c>
      <c r="Q21">
        <f t="shared" si="4"/>
        <v>0.14501217481953949</v>
      </c>
      <c r="R21">
        <v>0.52413576700580689</v>
      </c>
      <c r="S21">
        <v>0.13157629805097204</v>
      </c>
      <c r="T21">
        <f t="shared" si="5"/>
        <v>6.8963843898730878E-2</v>
      </c>
      <c r="U21">
        <f t="shared" si="6"/>
        <v>0.73453182292392583</v>
      </c>
    </row>
    <row r="22" spans="1:21" x14ac:dyDescent="0.3">
      <c r="A22" s="1">
        <v>20</v>
      </c>
      <c r="B22" s="1" t="s">
        <v>58</v>
      </c>
      <c r="C22">
        <v>0.11841358260174795</v>
      </c>
      <c r="D22">
        <v>0.15202032858161904</v>
      </c>
      <c r="E22">
        <f t="shared" si="0"/>
        <v>1.8001271735644409E-2</v>
      </c>
      <c r="F22">
        <v>7.3341388567297439E-2</v>
      </c>
      <c r="G22">
        <v>0.22604298413536614</v>
      </c>
      <c r="H22">
        <f t="shared" si="1"/>
        <v>1.6578306332383337E-2</v>
      </c>
      <c r="I22">
        <v>0.20726567809207863</v>
      </c>
      <c r="J22">
        <v>0.16285761102467322</v>
      </c>
      <c r="K22">
        <f t="shared" si="2"/>
        <v>3.3754793181484874E-2</v>
      </c>
      <c r="L22">
        <v>0.14943750852201784</v>
      </c>
      <c r="M22">
        <v>0.18249060338783021</v>
      </c>
      <c r="N22">
        <f t="shared" si="3"/>
        <v>2.7270941098957054E-2</v>
      </c>
      <c r="O22">
        <v>0.2399939177716843</v>
      </c>
      <c r="P22">
        <v>0.14501217481953949</v>
      </c>
      <c r="Q22">
        <f t="shared" si="4"/>
        <v>3.4802039959533668E-2</v>
      </c>
      <c r="R22">
        <v>0.50396985615686196</v>
      </c>
      <c r="S22">
        <v>0.13157629805097204</v>
      </c>
      <c r="T22">
        <f t="shared" si="5"/>
        <v>6.6310488002400775E-2</v>
      </c>
      <c r="U22">
        <f t="shared" si="6"/>
        <v>0.19671784031040412</v>
      </c>
    </row>
    <row r="23" spans="1:21" x14ac:dyDescent="0.3">
      <c r="A23" s="1">
        <v>21</v>
      </c>
      <c r="B23" s="1" t="s">
        <v>57</v>
      </c>
      <c r="C23">
        <v>0.34978527245757024</v>
      </c>
      <c r="D23">
        <v>0.15202032858161904</v>
      </c>
      <c r="E23">
        <f t="shared" si="0"/>
        <v>5.3174472052010965E-2</v>
      </c>
      <c r="F23">
        <v>0.27397232572130575</v>
      </c>
      <c r="G23">
        <v>0.22604298413536614</v>
      </c>
      <c r="H23">
        <f t="shared" si="1"/>
        <v>6.1929522076550482E-2</v>
      </c>
      <c r="I23">
        <v>0.40935870076121283</v>
      </c>
      <c r="J23">
        <v>0.16285761102467322</v>
      </c>
      <c r="K23">
        <f t="shared" si="2"/>
        <v>6.6667180058135198E-2</v>
      </c>
      <c r="L23">
        <v>0.12128382570807435</v>
      </c>
      <c r="M23">
        <v>0.18249060338783021</v>
      </c>
      <c r="N23">
        <f t="shared" si="3"/>
        <v>2.2133158534650921E-2</v>
      </c>
      <c r="O23">
        <v>0.81954600964339608</v>
      </c>
      <c r="P23">
        <v>0.14501217481953949</v>
      </c>
      <c r="Q23">
        <f t="shared" si="4"/>
        <v>0.11884414922306415</v>
      </c>
      <c r="R23">
        <v>0.59760000102819855</v>
      </c>
      <c r="S23">
        <v>0.13157629805097204</v>
      </c>
      <c r="T23">
        <f t="shared" si="5"/>
        <v>7.8629995850547446E-2</v>
      </c>
      <c r="U23">
        <f t="shared" si="6"/>
        <v>0.40137847779495917</v>
      </c>
    </row>
    <row r="24" spans="1:21" x14ac:dyDescent="0.3">
      <c r="A24" s="1">
        <v>22</v>
      </c>
      <c r="B24" s="1" t="s">
        <v>56</v>
      </c>
      <c r="C24">
        <v>0.17365649978551806</v>
      </c>
      <c r="D24">
        <v>0.15202032858161904</v>
      </c>
      <c r="E24">
        <f t="shared" si="0"/>
        <v>2.6399318157728311E-2</v>
      </c>
      <c r="F24">
        <v>0.12796699713348264</v>
      </c>
      <c r="G24">
        <v>0.22604298413536614</v>
      </c>
      <c r="H24">
        <f t="shared" si="1"/>
        <v>2.8926041902894259E-2</v>
      </c>
      <c r="I24">
        <v>0.22100136747683108</v>
      </c>
      <c r="J24">
        <v>0.16285761102467322</v>
      </c>
      <c r="K24">
        <f t="shared" si="2"/>
        <v>3.5991754740462623E-2</v>
      </c>
      <c r="L24">
        <v>5.135750956381057E-2</v>
      </c>
      <c r="M24">
        <v>0.18249060338783021</v>
      </c>
      <c r="N24">
        <f t="shared" si="3"/>
        <v>9.3722629087960516E-3</v>
      </c>
      <c r="O24">
        <v>0.46429473252721648</v>
      </c>
      <c r="P24">
        <v>0.14501217481953949</v>
      </c>
      <c r="Q24">
        <f t="shared" si="4"/>
        <v>6.7328388921028048E-2</v>
      </c>
      <c r="R24">
        <v>0.36843731633574278</v>
      </c>
      <c r="S24">
        <v>0.13157629805097204</v>
      </c>
      <c r="T24">
        <f t="shared" si="5"/>
        <v>4.8477618147291963E-2</v>
      </c>
      <c r="U24">
        <f t="shared" si="6"/>
        <v>0.21649538477820124</v>
      </c>
    </row>
    <row r="25" spans="1:21" x14ac:dyDescent="0.3">
      <c r="A25" s="1">
        <v>23</v>
      </c>
      <c r="B25" s="1" t="s">
        <v>55</v>
      </c>
      <c r="C25">
        <v>0.51775104212032597</v>
      </c>
      <c r="D25">
        <v>0.15202032858161904</v>
      </c>
      <c r="E25">
        <f t="shared" si="0"/>
        <v>7.8708683546607636E-2</v>
      </c>
      <c r="F25">
        <v>0.2964494618328522</v>
      </c>
      <c r="G25">
        <v>0.22604298413536614</v>
      </c>
      <c r="H25">
        <f t="shared" si="1"/>
        <v>6.7010320998021233E-2</v>
      </c>
      <c r="I25">
        <v>0.50561217279277715</v>
      </c>
      <c r="J25">
        <v>0.16285761102467322</v>
      </c>
      <c r="K25">
        <f t="shared" si="2"/>
        <v>8.2342790566025961E-2</v>
      </c>
      <c r="L25">
        <v>0.24381952626007131</v>
      </c>
      <c r="M25">
        <v>0.18249060338783021</v>
      </c>
      <c r="N25">
        <f t="shared" si="3"/>
        <v>4.4494772464935328E-2</v>
      </c>
      <c r="O25">
        <v>0.8473029696971186</v>
      </c>
      <c r="P25">
        <v>0.14501217481953949</v>
      </c>
      <c r="Q25">
        <f t="shared" si="4"/>
        <v>0.12286924636683352</v>
      </c>
      <c r="R25">
        <v>0.69304344744684532</v>
      </c>
      <c r="S25">
        <v>0.13157629805097204</v>
      </c>
      <c r="T25">
        <f t="shared" si="5"/>
        <v>9.1188091203539295E-2</v>
      </c>
      <c r="U25">
        <f t="shared" si="6"/>
        <v>0.48661390514596303</v>
      </c>
    </row>
    <row r="26" spans="1:21" x14ac:dyDescent="0.3">
      <c r="A26" s="1">
        <v>24</v>
      </c>
      <c r="B26" s="1" t="s">
        <v>54</v>
      </c>
      <c r="C26">
        <v>0.2613635526397653</v>
      </c>
      <c r="D26">
        <v>0.15202032858161904</v>
      </c>
      <c r="E26">
        <f t="shared" si="0"/>
        <v>3.9732573151556407E-2</v>
      </c>
      <c r="F26">
        <v>0.11859899596058665</v>
      </c>
      <c r="G26">
        <v>0.22604298413536614</v>
      </c>
      <c r="H26">
        <f t="shared" si="1"/>
        <v>2.6808470962389242E-2</v>
      </c>
      <c r="I26">
        <v>0.25483623422311918</v>
      </c>
      <c r="J26">
        <v>0.16285761102467322</v>
      </c>
      <c r="K26">
        <f t="shared" si="2"/>
        <v>4.150202030810126E-2</v>
      </c>
      <c r="L26">
        <v>0.28797698404065442</v>
      </c>
      <c r="M26">
        <v>0.18249060338783021</v>
      </c>
      <c r="N26">
        <f t="shared" si="3"/>
        <v>5.2553093579386576E-2</v>
      </c>
      <c r="O26">
        <v>0.2579562932345183</v>
      </c>
      <c r="P26">
        <v>0.14501217481953949</v>
      </c>
      <c r="Q26">
        <f t="shared" si="4"/>
        <v>3.7406803090324355E-2</v>
      </c>
      <c r="R26">
        <v>0.43365117520337676</v>
      </c>
      <c r="S26">
        <v>0.13157629805097204</v>
      </c>
      <c r="T26">
        <f t="shared" si="5"/>
        <v>5.7058216278713797E-2</v>
      </c>
      <c r="U26">
        <f t="shared" si="6"/>
        <v>0.25506117737047163</v>
      </c>
    </row>
    <row r="27" spans="1:21" x14ac:dyDescent="0.3">
      <c r="A27" s="1">
        <v>25</v>
      </c>
      <c r="B27" s="1" t="s">
        <v>53</v>
      </c>
      <c r="C27">
        <v>4.2047058322718388E-4</v>
      </c>
      <c r="D27">
        <v>0.15202032858161904</v>
      </c>
      <c r="E27">
        <f t="shared" si="0"/>
        <v>6.392007622110149E-5</v>
      </c>
      <c r="F27">
        <v>6.4711502975212457E-4</v>
      </c>
      <c r="G27">
        <v>0.22604298413536614</v>
      </c>
      <c r="H27">
        <f t="shared" si="1"/>
        <v>1.4627581240401647E-4</v>
      </c>
      <c r="I27">
        <v>5.2483371096347998E-4</v>
      </c>
      <c r="J27">
        <v>0.16285761102467322</v>
      </c>
      <c r="K27">
        <f t="shared" si="2"/>
        <v>8.5473164352726198E-5</v>
      </c>
      <c r="L27">
        <v>1.9083574758587513E-3</v>
      </c>
      <c r="M27">
        <v>0.18249060338783021</v>
      </c>
      <c r="N27">
        <f t="shared" si="3"/>
        <v>3.4825730724914018E-4</v>
      </c>
      <c r="O27">
        <v>2.1926664341505558E-4</v>
      </c>
      <c r="P27">
        <v>0.14501217481953949</v>
      </c>
      <c r="Q27">
        <f t="shared" si="4"/>
        <v>3.1796332826997664E-5</v>
      </c>
      <c r="R27">
        <v>3.9567282649388523E-4</v>
      </c>
      <c r="S27">
        <v>0.13157629805097204</v>
      </c>
      <c r="T27">
        <f t="shared" si="5"/>
        <v>5.2061165749429991E-5</v>
      </c>
      <c r="U27">
        <f t="shared" si="6"/>
        <v>7.2778385880341192E-4</v>
      </c>
    </row>
    <row r="28" spans="1:21" x14ac:dyDescent="0.3">
      <c r="A28" s="1">
        <v>26</v>
      </c>
      <c r="B28" s="1" t="s">
        <v>52</v>
      </c>
      <c r="C28">
        <v>8.0021415449904544E-4</v>
      </c>
      <c r="D28">
        <v>0.15202032858161904</v>
      </c>
      <c r="E28">
        <f t="shared" si="0"/>
        <v>1.2164881870260735E-4</v>
      </c>
      <c r="F28">
        <v>4.3983599678464719E-4</v>
      </c>
      <c r="G28">
        <v>0.22604298413536614</v>
      </c>
      <c r="H28">
        <f t="shared" si="1"/>
        <v>9.9421841243354961E-5</v>
      </c>
      <c r="I28">
        <v>1.4308669530440222E-3</v>
      </c>
      <c r="J28">
        <v>0.16285761102467322</v>
      </c>
      <c r="K28">
        <f t="shared" si="2"/>
        <v>2.3302757366690274E-4</v>
      </c>
      <c r="L28">
        <v>1.588733930729975E-3</v>
      </c>
      <c r="M28">
        <v>0.18249060338783021</v>
      </c>
      <c r="N28">
        <f t="shared" si="3"/>
        <v>2.8992901364163239E-4</v>
      </c>
      <c r="O28">
        <v>2.4346258020324298E-3</v>
      </c>
      <c r="P28">
        <v>0.14501217481953949</v>
      </c>
      <c r="Q28">
        <f t="shared" si="4"/>
        <v>3.5305038242448822E-4</v>
      </c>
      <c r="R28">
        <v>2.7724638886578502E-3</v>
      </c>
      <c r="S28">
        <v>0.13157629805097204</v>
      </c>
      <c r="T28">
        <f t="shared" si="5"/>
        <v>3.6479053494960223E-4</v>
      </c>
      <c r="U28">
        <f t="shared" si="6"/>
        <v>1.461868164628588E-3</v>
      </c>
    </row>
    <row r="29" spans="1:21" x14ac:dyDescent="0.3">
      <c r="A29" s="1">
        <v>27</v>
      </c>
      <c r="B29" s="1" t="s">
        <v>51</v>
      </c>
      <c r="C29">
        <v>0.50636415842848581</v>
      </c>
      <c r="D29">
        <v>0.15202032858161904</v>
      </c>
      <c r="E29">
        <f t="shared" si="0"/>
        <v>7.6977645746253417E-2</v>
      </c>
      <c r="F29">
        <v>0.17986258916790107</v>
      </c>
      <c r="G29">
        <v>0.22604298413536614</v>
      </c>
      <c r="H29">
        <f t="shared" si="1"/>
        <v>4.0656676389825737E-2</v>
      </c>
      <c r="I29">
        <v>0.52680524573924181</v>
      </c>
      <c r="J29">
        <v>0.16285761102467322</v>
      </c>
      <c r="K29">
        <f t="shared" si="2"/>
        <v>8.5794243796358832E-2</v>
      </c>
      <c r="L29">
        <v>0.48172630419428819</v>
      </c>
      <c r="M29">
        <v>0.18249060338783021</v>
      </c>
      <c r="N29">
        <f t="shared" si="3"/>
        <v>8.7910523920205097E-2</v>
      </c>
      <c r="O29">
        <v>0.73851838479257914</v>
      </c>
      <c r="P29">
        <v>0.14501217481953949</v>
      </c>
      <c r="Q29">
        <f t="shared" si="4"/>
        <v>0.10709415712298542</v>
      </c>
      <c r="R29">
        <v>1</v>
      </c>
      <c r="S29">
        <v>0.13157629805097204</v>
      </c>
      <c r="T29">
        <f t="shared" si="5"/>
        <v>0.13157629805097204</v>
      </c>
      <c r="U29">
        <f t="shared" si="6"/>
        <v>0.53000954502660058</v>
      </c>
    </row>
    <row r="30" spans="1:21" x14ac:dyDescent="0.3">
      <c r="A30" s="1">
        <v>28</v>
      </c>
      <c r="B30" s="1" t="s">
        <v>50</v>
      </c>
      <c r="C30">
        <v>0.46277970656904188</v>
      </c>
      <c r="D30">
        <v>0.15202032858161904</v>
      </c>
      <c r="E30">
        <f t="shared" si="0"/>
        <v>7.0351923053530996E-2</v>
      </c>
      <c r="F30">
        <v>8.2896446428481152E-2</v>
      </c>
      <c r="G30">
        <v>0.22604298413536614</v>
      </c>
      <c r="H30">
        <f t="shared" si="1"/>
        <v>1.8738160124911394E-2</v>
      </c>
      <c r="I30">
        <v>0.39856219824275713</v>
      </c>
      <c r="J30">
        <v>0.16285761102467322</v>
      </c>
      <c r="K30">
        <f t="shared" si="2"/>
        <v>6.4908887450557631E-2</v>
      </c>
      <c r="L30">
        <v>0.27975582216597905</v>
      </c>
      <c r="M30">
        <v>0.18249060338783021</v>
      </c>
      <c r="N30">
        <f t="shared" si="3"/>
        <v>5.1052808788328047E-2</v>
      </c>
      <c r="O30">
        <v>0.31046957028507699</v>
      </c>
      <c r="P30">
        <v>0.14501217481953949</v>
      </c>
      <c r="Q30">
        <f t="shared" si="4"/>
        <v>4.5021867602326883E-2</v>
      </c>
      <c r="R30">
        <v>0.36440567646374616</v>
      </c>
      <c r="S30">
        <v>0.13157629805097204</v>
      </c>
      <c r="T30">
        <f t="shared" si="5"/>
        <v>4.7947149897859954E-2</v>
      </c>
      <c r="U30">
        <f t="shared" si="6"/>
        <v>0.29802079691751493</v>
      </c>
    </row>
    <row r="31" spans="1:21" x14ac:dyDescent="0.3">
      <c r="A31" s="1">
        <v>29</v>
      </c>
      <c r="B31" s="1" t="s">
        <v>49</v>
      </c>
      <c r="C31">
        <v>0.18323164542040099</v>
      </c>
      <c r="D31">
        <v>0.15202032858161904</v>
      </c>
      <c r="E31">
        <f t="shared" si="0"/>
        <v>2.7854934943360072E-2</v>
      </c>
      <c r="F31">
        <v>4.8730795092036948E-2</v>
      </c>
      <c r="G31">
        <v>0.22604298413536614</v>
      </c>
      <c r="H31">
        <f t="shared" si="1"/>
        <v>1.1015254341893085E-2</v>
      </c>
      <c r="I31">
        <v>0.29819888857417476</v>
      </c>
      <c r="J31">
        <v>0.16285761102467322</v>
      </c>
      <c r="K31">
        <f t="shared" si="2"/>
        <v>4.8563958603402825E-2</v>
      </c>
      <c r="L31">
        <v>0.34301657982507072</v>
      </c>
      <c r="M31">
        <v>0.18249060338783021</v>
      </c>
      <c r="N31">
        <f t="shared" si="3"/>
        <v>6.2597302624306989E-2</v>
      </c>
      <c r="O31">
        <v>0.19164179259803799</v>
      </c>
      <c r="P31">
        <v>0.14501217481953949</v>
      </c>
      <c r="Q31">
        <f t="shared" si="4"/>
        <v>2.7790393130956614E-2</v>
      </c>
      <c r="R31">
        <v>0.69511893961885785</v>
      </c>
      <c r="S31">
        <v>0.13157629805097204</v>
      </c>
      <c r="T31">
        <f t="shared" si="5"/>
        <v>9.1461176780166478E-2</v>
      </c>
      <c r="U31">
        <f t="shared" si="6"/>
        <v>0.26928302042408603</v>
      </c>
    </row>
    <row r="32" spans="1:21" x14ac:dyDescent="0.3">
      <c r="A32" s="1">
        <v>30</v>
      </c>
      <c r="B32" s="1" t="s">
        <v>48</v>
      </c>
      <c r="C32">
        <v>2.7694368129619141E-3</v>
      </c>
      <c r="D32">
        <v>0.15202032858161904</v>
      </c>
      <c r="E32">
        <f t="shared" si="0"/>
        <v>4.21010694292502E-4</v>
      </c>
      <c r="F32">
        <v>1.5722872988508652E-3</v>
      </c>
      <c r="G32">
        <v>0.22604298413536614</v>
      </c>
      <c r="H32">
        <f t="shared" si="1"/>
        <v>3.554045129503838E-4</v>
      </c>
      <c r="I32">
        <v>4.4884070953352543E-3</v>
      </c>
      <c r="J32">
        <v>0.16285761102467322</v>
      </c>
      <c r="K32">
        <f t="shared" si="2"/>
        <v>7.3097125685249226E-4</v>
      </c>
      <c r="L32">
        <v>1.3993727794877137E-2</v>
      </c>
      <c r="M32">
        <v>0.18249060338783021</v>
      </c>
      <c r="N32">
        <f t="shared" si="3"/>
        <v>2.5537238289321793E-3</v>
      </c>
      <c r="O32">
        <v>2.5145562264282939E-3</v>
      </c>
      <c r="P32">
        <v>0.14501217481953949</v>
      </c>
      <c r="Q32">
        <f t="shared" si="4"/>
        <v>3.6464126710038128E-4</v>
      </c>
      <c r="R32">
        <v>1.7547309525763625E-3</v>
      </c>
      <c r="S32">
        <v>0.13157629805097204</v>
      </c>
      <c r="T32">
        <f t="shared" si="5"/>
        <v>2.3088100281545357E-4</v>
      </c>
      <c r="U32">
        <f t="shared" si="6"/>
        <v>4.6566325629433915E-3</v>
      </c>
    </row>
    <row r="33" spans="1:21" x14ac:dyDescent="0.3">
      <c r="A33" s="1">
        <v>31</v>
      </c>
      <c r="B33" s="1" t="s">
        <v>47</v>
      </c>
      <c r="C33">
        <v>0</v>
      </c>
      <c r="D33">
        <v>0.15202032858161904</v>
      </c>
      <c r="E33">
        <f t="shared" si="0"/>
        <v>0</v>
      </c>
      <c r="F33">
        <v>0</v>
      </c>
      <c r="G33">
        <v>0.22604298413536614</v>
      </c>
      <c r="H33">
        <f t="shared" si="1"/>
        <v>0</v>
      </c>
      <c r="I33">
        <v>0</v>
      </c>
      <c r="J33">
        <v>0.16285761102467322</v>
      </c>
      <c r="K33">
        <f t="shared" si="2"/>
        <v>0</v>
      </c>
      <c r="L33">
        <v>0</v>
      </c>
      <c r="M33">
        <v>0.18249060338783021</v>
      </c>
      <c r="N33">
        <f t="shared" si="3"/>
        <v>0</v>
      </c>
      <c r="O33" s="14">
        <v>2.7607072440524501E-5</v>
      </c>
      <c r="P33">
        <v>0.14501217481953949</v>
      </c>
      <c r="Q33">
        <f t="shared" si="4"/>
        <v>4.0033616150010298E-6</v>
      </c>
      <c r="R33">
        <v>4.6819754411109391E-4</v>
      </c>
      <c r="S33">
        <v>0.13157629805097204</v>
      </c>
      <c r="T33">
        <f t="shared" si="5"/>
        <v>6.1603699610694422E-5</v>
      </c>
      <c r="U33">
        <f t="shared" si="6"/>
        <v>6.560706122569545E-5</v>
      </c>
    </row>
    <row r="34" spans="1:21" x14ac:dyDescent="0.3">
      <c r="A34" s="1">
        <v>32</v>
      </c>
      <c r="B34" s="1" t="s">
        <v>46</v>
      </c>
      <c r="C34">
        <v>0.26136918074443249</v>
      </c>
      <c r="D34">
        <v>0.15202032858161904</v>
      </c>
      <c r="E34">
        <f t="shared" si="0"/>
        <v>3.9733428737877205E-2</v>
      </c>
      <c r="F34">
        <v>6.9382864596235605E-2</v>
      </c>
      <c r="G34">
        <v>0.22604298413536614</v>
      </c>
      <c r="H34">
        <f t="shared" si="1"/>
        <v>1.5683509761193141E-2</v>
      </c>
      <c r="I34">
        <v>0.2397310820339566</v>
      </c>
      <c r="J34">
        <v>0.16285761102467322</v>
      </c>
      <c r="K34">
        <f t="shared" si="2"/>
        <v>3.9042031308410129E-2</v>
      </c>
      <c r="L34">
        <v>0.20538886446123228</v>
      </c>
      <c r="M34">
        <v>0.18249060338783021</v>
      </c>
      <c r="N34">
        <f t="shared" si="3"/>
        <v>3.7481537804671554E-2</v>
      </c>
      <c r="O34">
        <v>6.5344639609904845E-2</v>
      </c>
      <c r="P34">
        <v>0.14501217481953949</v>
      </c>
      <c r="Q34">
        <f t="shared" si="4"/>
        <v>9.4757683026313252E-3</v>
      </c>
      <c r="R34">
        <v>0.24973730445637768</v>
      </c>
      <c r="S34">
        <v>0.13157629805097204</v>
      </c>
      <c r="T34">
        <f t="shared" si="5"/>
        <v>3.2859510005598697E-2</v>
      </c>
      <c r="U34">
        <f t="shared" si="6"/>
        <v>0.17427578592038206</v>
      </c>
    </row>
    <row r="35" spans="1:21" x14ac:dyDescent="0.3">
      <c r="A35" s="1">
        <v>33</v>
      </c>
      <c r="B35" s="1" t="s">
        <v>45</v>
      </c>
      <c r="C35">
        <v>0.57618008052078185</v>
      </c>
      <c r="D35">
        <v>0.15202032858161904</v>
      </c>
      <c r="E35">
        <f t="shared" si="0"/>
        <v>8.759108516295297E-2</v>
      </c>
      <c r="F35">
        <v>2.3407363966815132E-2</v>
      </c>
      <c r="G35">
        <v>0.22604298413536614</v>
      </c>
      <c r="H35">
        <f t="shared" si="1"/>
        <v>5.291070401801534E-3</v>
      </c>
      <c r="I35">
        <v>0.42210843489574151</v>
      </c>
      <c r="J35">
        <v>0.16285761102467322</v>
      </c>
      <c r="K35">
        <f t="shared" si="2"/>
        <v>6.8743571300484266E-2</v>
      </c>
      <c r="L35">
        <v>0.30897676802186541</v>
      </c>
      <c r="M35">
        <v>0.18249060338783021</v>
      </c>
      <c r="N35">
        <f t="shared" si="3"/>
        <v>5.6385356829131865E-2</v>
      </c>
      <c r="O35">
        <v>0.26024348859733959</v>
      </c>
      <c r="P35">
        <v>0.14501217481953949</v>
      </c>
      <c r="Q35">
        <f t="shared" si="4"/>
        <v>3.7738474264124237E-2</v>
      </c>
      <c r="R35">
        <v>0.35461116744782212</v>
      </c>
      <c r="S35">
        <v>0.13157629805097204</v>
      </c>
      <c r="T35">
        <f t="shared" si="5"/>
        <v>4.6658424660317797E-2</v>
      </c>
      <c r="U35">
        <f t="shared" si="6"/>
        <v>0.30240798261881263</v>
      </c>
    </row>
    <row r="36" spans="1:21" x14ac:dyDescent="0.3">
      <c r="A36" s="1">
        <v>34</v>
      </c>
      <c r="B36" s="1" t="s">
        <v>44</v>
      </c>
      <c r="C36">
        <v>4.4940927413413146E-3</v>
      </c>
      <c r="D36">
        <v>0.15202032858161904</v>
      </c>
      <c r="E36">
        <f t="shared" si="0"/>
        <v>6.8319345521497576E-4</v>
      </c>
      <c r="F36">
        <v>2.1385129498839744E-3</v>
      </c>
      <c r="G36">
        <v>0.22604298413536614</v>
      </c>
      <c r="H36">
        <f t="shared" si="1"/>
        <v>4.8339584880389828E-4</v>
      </c>
      <c r="I36">
        <v>4.0482724635188773E-3</v>
      </c>
      <c r="J36">
        <v>0.16285761102467322</v>
      </c>
      <c r="K36">
        <f t="shared" si="2"/>
        <v>6.592919821856529E-4</v>
      </c>
      <c r="L36">
        <v>3.7309202553617855E-3</v>
      </c>
      <c r="M36">
        <v>0.18249060338783021</v>
      </c>
      <c r="N36">
        <f t="shared" si="3"/>
        <v>6.8085788859284979E-4</v>
      </c>
      <c r="O36">
        <v>2.9379128503984309E-3</v>
      </c>
      <c r="P36">
        <v>0.14501217481953949</v>
      </c>
      <c r="Q36">
        <f t="shared" si="4"/>
        <v>4.260331318665488E-4</v>
      </c>
      <c r="R36">
        <v>8.7764088660824662E-4</v>
      </c>
      <c r="S36">
        <v>0.13157629805097204</v>
      </c>
      <c r="T36">
        <f t="shared" si="5"/>
        <v>1.1547673887808601E-4</v>
      </c>
      <c r="U36">
        <f t="shared" si="6"/>
        <v>3.0482490455420114E-3</v>
      </c>
    </row>
    <row r="37" spans="1:21" x14ac:dyDescent="0.3">
      <c r="A37" s="1">
        <v>35</v>
      </c>
      <c r="B37" s="1" t="s">
        <v>43</v>
      </c>
      <c r="C37">
        <v>9.89523129668257E-4</v>
      </c>
      <c r="D37">
        <v>0.15202032858161904</v>
      </c>
      <c r="E37">
        <f t="shared" si="0"/>
        <v>1.5042763131128045E-4</v>
      </c>
      <c r="F37">
        <v>2.4772372232698521E-4</v>
      </c>
      <c r="G37">
        <v>0.22604298413536614</v>
      </c>
      <c r="H37">
        <f t="shared" si="1"/>
        <v>5.5996209435912566E-5</v>
      </c>
      <c r="I37">
        <v>1.6114831769540353E-3</v>
      </c>
      <c r="J37">
        <v>0.16285761102467322</v>
      </c>
      <c r="K37">
        <f t="shared" si="2"/>
        <v>2.6244230040518493E-4</v>
      </c>
      <c r="L37">
        <v>2.4859396281106325E-3</v>
      </c>
      <c r="M37">
        <v>0.18249060338783021</v>
      </c>
      <c r="N37">
        <f t="shared" si="3"/>
        <v>4.5366062271962759E-4</v>
      </c>
      <c r="O37">
        <v>1.6646631062697396E-3</v>
      </c>
      <c r="P37">
        <v>0.14501217481953949</v>
      </c>
      <c r="Q37">
        <f t="shared" si="4"/>
        <v>2.413964173820251E-4</v>
      </c>
      <c r="R37">
        <v>1.5035567406767639E-3</v>
      </c>
      <c r="S37">
        <v>0.13157629805097204</v>
      </c>
      <c r="T37">
        <f t="shared" si="5"/>
        <v>1.9783242984783398E-4</v>
      </c>
      <c r="U37">
        <f t="shared" si="6"/>
        <v>1.3617556111018645E-3</v>
      </c>
    </row>
    <row r="38" spans="1:21" x14ac:dyDescent="0.3">
      <c r="A38" s="1">
        <v>36</v>
      </c>
      <c r="B38" s="1" t="s">
        <v>42</v>
      </c>
      <c r="C38">
        <v>0.19867618791893565</v>
      </c>
      <c r="D38">
        <v>0.15202032858161904</v>
      </c>
      <c r="E38">
        <f t="shared" si="0"/>
        <v>3.0202819368780089E-2</v>
      </c>
      <c r="F38">
        <v>5.6157451175676561E-2</v>
      </c>
      <c r="G38">
        <v>0.22604298413536614</v>
      </c>
      <c r="H38">
        <f t="shared" si="1"/>
        <v>1.2693997845186055E-2</v>
      </c>
      <c r="I38">
        <v>0.22781958967321775</v>
      </c>
      <c r="J38">
        <v>0.16285761102467322</v>
      </c>
      <c r="K38">
        <f t="shared" si="2"/>
        <v>3.7102154118801557E-2</v>
      </c>
      <c r="L38">
        <v>0.20347533632286996</v>
      </c>
      <c r="M38">
        <v>0.18249060338783021</v>
      </c>
      <c r="N38">
        <f t="shared" si="3"/>
        <v>3.7132336900102224E-2</v>
      </c>
      <c r="O38">
        <v>0.1069943168456477</v>
      </c>
      <c r="P38">
        <v>0.14501217481953949</v>
      </c>
      <c r="Q38">
        <f t="shared" si="4"/>
        <v>1.5515478579118263E-2</v>
      </c>
      <c r="R38">
        <v>0.36853426076840579</v>
      </c>
      <c r="S38">
        <v>0.13157629805097204</v>
      </c>
      <c r="T38">
        <f t="shared" si="5"/>
        <v>4.8490373736858411E-2</v>
      </c>
      <c r="U38">
        <f t="shared" si="6"/>
        <v>0.1811371605488466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2CA01-ECC8-428B-8BA1-E738B89A1E15}">
  <dimension ref="A2:BT38"/>
  <sheetViews>
    <sheetView topLeftCell="A28" workbookViewId="0">
      <selection activeCell="BC3" sqref="BC3"/>
    </sheetView>
  </sheetViews>
  <sheetFormatPr defaultRowHeight="14.4" x14ac:dyDescent="0.3"/>
  <cols>
    <col min="2" max="2" width="26.5546875" customWidth="1"/>
    <col min="3" max="5" width="8.88671875" customWidth="1"/>
  </cols>
  <sheetData>
    <row r="2" spans="1:72" x14ac:dyDescent="0.3">
      <c r="A2" s="1" t="s">
        <v>31</v>
      </c>
      <c r="B2" s="7" t="s">
        <v>41</v>
      </c>
      <c r="C2" s="1" t="s">
        <v>129</v>
      </c>
      <c r="D2" s="1" t="s">
        <v>111</v>
      </c>
      <c r="E2" s="1" t="s">
        <v>154</v>
      </c>
      <c r="F2" s="1" t="s">
        <v>130</v>
      </c>
      <c r="G2" s="1" t="s">
        <v>111</v>
      </c>
      <c r="H2" s="1" t="s">
        <v>176</v>
      </c>
      <c r="I2" s="1" t="s">
        <v>131</v>
      </c>
      <c r="J2" s="1" t="s">
        <v>111</v>
      </c>
      <c r="K2" s="1" t="s">
        <v>175</v>
      </c>
      <c r="L2" s="1" t="s">
        <v>135</v>
      </c>
      <c r="M2" s="1" t="s">
        <v>111</v>
      </c>
      <c r="N2" s="1" t="s">
        <v>174</v>
      </c>
      <c r="O2" s="1" t="s">
        <v>132</v>
      </c>
      <c r="P2" s="1" t="s">
        <v>111</v>
      </c>
      <c r="Q2" s="1" t="s">
        <v>173</v>
      </c>
      <c r="R2" s="1" t="s">
        <v>133</v>
      </c>
      <c r="S2" s="1" t="s">
        <v>111</v>
      </c>
      <c r="T2" s="1" t="s">
        <v>172</v>
      </c>
      <c r="U2" s="1" t="s">
        <v>134</v>
      </c>
      <c r="V2" s="1" t="s">
        <v>111</v>
      </c>
      <c r="W2" s="1" t="s">
        <v>171</v>
      </c>
      <c r="X2" s="1" t="s">
        <v>136</v>
      </c>
      <c r="Y2" s="1" t="s">
        <v>111</v>
      </c>
      <c r="Z2" s="1" t="s">
        <v>170</v>
      </c>
      <c r="AA2" s="1" t="s">
        <v>137</v>
      </c>
      <c r="AB2" s="1" t="s">
        <v>111</v>
      </c>
      <c r="AC2" s="1" t="s">
        <v>169</v>
      </c>
      <c r="AD2" s="1" t="s">
        <v>138</v>
      </c>
      <c r="AE2" s="1" t="s">
        <v>111</v>
      </c>
      <c r="AF2" s="1" t="s">
        <v>168</v>
      </c>
      <c r="AG2" s="1" t="s">
        <v>139</v>
      </c>
      <c r="AH2" s="1" t="s">
        <v>111</v>
      </c>
      <c r="AI2" s="1" t="s">
        <v>167</v>
      </c>
      <c r="AJ2" s="1" t="s">
        <v>140</v>
      </c>
      <c r="AK2" s="1" t="s">
        <v>111</v>
      </c>
      <c r="AL2" s="1" t="s">
        <v>166</v>
      </c>
      <c r="AM2" s="1" t="s">
        <v>141</v>
      </c>
      <c r="AN2" s="1" t="s">
        <v>111</v>
      </c>
      <c r="AO2" s="1" t="s">
        <v>165</v>
      </c>
      <c r="AP2" s="1" t="s">
        <v>142</v>
      </c>
      <c r="AQ2" s="1" t="s">
        <v>111</v>
      </c>
      <c r="AR2" s="1" t="s">
        <v>164</v>
      </c>
      <c r="AS2" s="1" t="s">
        <v>143</v>
      </c>
      <c r="AT2" s="1" t="s">
        <v>111</v>
      </c>
      <c r="AU2" s="1" t="s">
        <v>163</v>
      </c>
      <c r="AV2" s="1" t="s">
        <v>144</v>
      </c>
      <c r="AW2" s="1" t="s">
        <v>111</v>
      </c>
      <c r="AX2" s="1" t="s">
        <v>162</v>
      </c>
      <c r="AY2" s="1" t="s">
        <v>145</v>
      </c>
      <c r="AZ2" s="1" t="s">
        <v>111</v>
      </c>
      <c r="BA2" s="1" t="s">
        <v>161</v>
      </c>
      <c r="BB2" s="1" t="s">
        <v>146</v>
      </c>
      <c r="BC2" s="1" t="s">
        <v>111</v>
      </c>
      <c r="BD2" s="1" t="s">
        <v>160</v>
      </c>
      <c r="BE2" s="1" t="s">
        <v>147</v>
      </c>
      <c r="BF2" s="1" t="s">
        <v>111</v>
      </c>
      <c r="BG2" s="1" t="s">
        <v>159</v>
      </c>
      <c r="BH2" s="1" t="s">
        <v>148</v>
      </c>
      <c r="BI2" s="1" t="s">
        <v>111</v>
      </c>
      <c r="BJ2" s="1" t="s">
        <v>158</v>
      </c>
      <c r="BK2" s="1" t="s">
        <v>149</v>
      </c>
      <c r="BL2" s="1" t="s">
        <v>111</v>
      </c>
      <c r="BM2" s="1" t="s">
        <v>157</v>
      </c>
      <c r="BN2" s="1" t="s">
        <v>150</v>
      </c>
      <c r="BO2" s="1" t="s">
        <v>111</v>
      </c>
      <c r="BP2" s="1" t="s">
        <v>156</v>
      </c>
      <c r="BQ2" s="1" t="s">
        <v>151</v>
      </c>
      <c r="BR2" s="1" t="s">
        <v>111</v>
      </c>
      <c r="BS2" s="1" t="s">
        <v>155</v>
      </c>
      <c r="BT2" s="1" t="s">
        <v>186</v>
      </c>
    </row>
    <row r="3" spans="1:72" x14ac:dyDescent="0.3">
      <c r="A3" s="1">
        <v>1</v>
      </c>
      <c r="B3" s="1" t="s">
        <v>77</v>
      </c>
      <c r="C3">
        <v>0.90337825391796411</v>
      </c>
      <c r="D3">
        <v>4.1493609063568894E-2</v>
      </c>
      <c r="E3">
        <f>C3*D3</f>
        <v>3.7484424104601476E-2</v>
      </c>
      <c r="F3">
        <v>0.85377319438813093</v>
      </c>
      <c r="G3">
        <v>3.6080982186227274E-2</v>
      </c>
      <c r="H3">
        <f>F3*G3</f>
        <v>3.0804975417796508E-2</v>
      </c>
      <c r="I3">
        <v>0.69452335147182653</v>
      </c>
      <c r="J3">
        <v>3.9324234102775794E-2</v>
      </c>
      <c r="K3">
        <f>I3*J3</f>
        <v>2.7311598863122542E-2</v>
      </c>
      <c r="L3">
        <v>0.97949174874173994</v>
      </c>
      <c r="M3">
        <v>4.5294626074195793E-2</v>
      </c>
      <c r="N3">
        <f>L3*M3</f>
        <v>4.4365712502017249E-2</v>
      </c>
      <c r="O3">
        <v>0.96219198601922362</v>
      </c>
      <c r="P3">
        <v>3.7366108946429021E-2</v>
      </c>
      <c r="Q3">
        <f>O3*P3</f>
        <v>3.5953370576975216E-2</v>
      </c>
      <c r="R3">
        <v>0.86628117162110019</v>
      </c>
      <c r="S3">
        <v>4.2950247442181184E-2</v>
      </c>
      <c r="T3">
        <f>R3*S3</f>
        <v>3.7206990675628875E-2</v>
      </c>
      <c r="U3">
        <v>0.69661422880797796</v>
      </c>
      <c r="V3">
        <v>3.9449574080376477E-2</v>
      </c>
      <c r="W3">
        <f>U3*V3</f>
        <v>2.7481134624804657E-2</v>
      </c>
      <c r="X3">
        <v>0.97171419004599691</v>
      </c>
      <c r="Y3">
        <v>4.7549363968995048E-2</v>
      </c>
      <c r="Z3">
        <f>X3*Y3</f>
        <v>4.6204391696334335E-2</v>
      </c>
      <c r="AA3">
        <v>0.97856763525188339</v>
      </c>
      <c r="AB3">
        <v>4.7700562481971708E-2</v>
      </c>
      <c r="AC3">
        <f>AA3*AB3</f>
        <v>4.6678226628167764E-2</v>
      </c>
      <c r="AD3">
        <v>0.97084645481439069</v>
      </c>
      <c r="AE3">
        <v>3.6434896195912135E-2</v>
      </c>
      <c r="AF3">
        <f>AD3*AE3</f>
        <v>3.5372689803331629E-2</v>
      </c>
      <c r="AG3">
        <v>0.97084645481439069</v>
      </c>
      <c r="AH3">
        <v>3.6434896195912135E-2</v>
      </c>
      <c r="AI3">
        <f>AG3*AH3</f>
        <v>3.5372689803331629E-2</v>
      </c>
      <c r="AJ3">
        <v>0.97755788543226851</v>
      </c>
      <c r="AK3">
        <v>4.0162926857921659E-2</v>
      </c>
      <c r="AL3">
        <f>AJ3*AK3</f>
        <v>3.9261585852000763E-2</v>
      </c>
      <c r="AM3">
        <v>0.8917696726586527</v>
      </c>
      <c r="AN3">
        <v>3.692609806962651E-2</v>
      </c>
      <c r="AO3">
        <f>AM3*AN3</f>
        <v>3.2929574388112143E-2</v>
      </c>
      <c r="AP3">
        <v>0.94698064688897965</v>
      </c>
      <c r="AQ3">
        <v>3.8490826956064685E-2</v>
      </c>
      <c r="AR3">
        <f>AP3*AQ3</f>
        <v>3.645006821014591E-2</v>
      </c>
      <c r="AS3">
        <v>0.94909999329761718</v>
      </c>
      <c r="AT3">
        <v>4.6103086912661143E-2</v>
      </c>
      <c r="AU3">
        <f>AS3*AT3</f>
        <v>4.3756439479806154E-2</v>
      </c>
      <c r="AV3">
        <v>0.98117791964354828</v>
      </c>
      <c r="AW3">
        <v>5.6810934246768155E-2</v>
      </c>
      <c r="AX3">
        <f>AV3*AW3</f>
        <v>5.5741634277250388E-2</v>
      </c>
      <c r="AY3">
        <v>0.98336433847691918</v>
      </c>
      <c r="AZ3">
        <v>4.7482848028700342E-2</v>
      </c>
      <c r="BA3">
        <f>AY3*AZ3</f>
        <v>4.6692939440743E-2</v>
      </c>
      <c r="BB3">
        <v>0.99358318987540173</v>
      </c>
      <c r="BC3">
        <v>5.1582399838600503E-2</v>
      </c>
      <c r="BD3">
        <f>BB3*BC3</f>
        <v>5.1251405373065093E-2</v>
      </c>
      <c r="BE3">
        <v>0.95929542888170694</v>
      </c>
      <c r="BF3">
        <v>5.3532055805714865E-2</v>
      </c>
      <c r="BG3">
        <f>BE3*BF3</f>
        <v>5.1353056433062712E-2</v>
      </c>
      <c r="BH3">
        <v>0.86736056024294284</v>
      </c>
      <c r="BI3">
        <v>4.0681925431079423E-2</v>
      </c>
      <c r="BJ3">
        <f>BH3*BI3</f>
        <v>3.5285897633662675E-2</v>
      </c>
      <c r="BK3">
        <v>0.98768543231908956</v>
      </c>
      <c r="BL3">
        <v>4.9999669342486397E-2</v>
      </c>
      <c r="BM3">
        <f>BK3*BL3</f>
        <v>4.9383945030345204E-2</v>
      </c>
      <c r="BN3">
        <v>0.99263524868716035</v>
      </c>
      <c r="BO3">
        <v>4.4135329937912637E-2</v>
      </c>
      <c r="BP3">
        <f>BN3*BO3</f>
        <v>4.3810284208809787E-2</v>
      </c>
      <c r="BQ3">
        <v>0.98183608796829458</v>
      </c>
      <c r="BR3">
        <v>4.401279783391817E-2</v>
      </c>
      <c r="BS3">
        <f>BQ3*BR3</f>
        <v>4.3213353245793645E-2</v>
      </c>
      <c r="BT3">
        <f>SUM(E3,H3,K3,N3,Q3,T3,W3,Z3,AC3,AF3,AI3,AL3,AO3,AR3,AU3,AX3,BA3,BD3,BG3,BJ3,BM3,BP3,BS3)</f>
        <v>0.9333663882689095</v>
      </c>
    </row>
    <row r="4" spans="1:72" x14ac:dyDescent="0.3">
      <c r="A4" s="1">
        <v>2</v>
      </c>
      <c r="B4" s="1" t="s">
        <v>76</v>
      </c>
      <c r="C4">
        <v>0.84106954708556525</v>
      </c>
      <c r="D4">
        <v>4.1493609063568894E-2</v>
      </c>
      <c r="E4">
        <f t="shared" ref="E4:E38" si="0">C4*D4</f>
        <v>3.4899010982041394E-2</v>
      </c>
      <c r="F4">
        <v>0.86108097895655233</v>
      </c>
      <c r="G4">
        <v>3.6080982186227274E-2</v>
      </c>
      <c r="H4">
        <f t="shared" ref="H4:H38" si="1">F4*G4</f>
        <v>3.1068647462630508E-2</v>
      </c>
      <c r="I4">
        <v>0.72154024386267424</v>
      </c>
      <c r="J4">
        <v>3.9324234102775794E-2</v>
      </c>
      <c r="K4">
        <f t="shared" ref="K4:K38" si="2">I4*J4</f>
        <v>2.8374017464229736E-2</v>
      </c>
      <c r="L4">
        <v>0.95518221423487182</v>
      </c>
      <c r="M4">
        <v>4.5294626074195793E-2</v>
      </c>
      <c r="N4">
        <f t="shared" ref="N4:N38" si="3">L4*M4</f>
        <v>4.3264621226490899E-2</v>
      </c>
      <c r="O4">
        <v>0.85184121832480342</v>
      </c>
      <c r="P4">
        <v>3.7366108946429021E-2</v>
      </c>
      <c r="Q4">
        <f t="shared" ref="Q4:Q38" si="4">O4*P4</f>
        <v>3.1829991768983434E-2</v>
      </c>
      <c r="R4">
        <v>0.8575236007087832</v>
      </c>
      <c r="S4">
        <v>4.2950247442181184E-2</v>
      </c>
      <c r="T4">
        <f t="shared" ref="T4:T38" si="5">R4*S4</f>
        <v>3.6830850837952414E-2</v>
      </c>
      <c r="U4">
        <v>0.72192660069723069</v>
      </c>
      <c r="V4">
        <v>3.9449574080376477E-2</v>
      </c>
      <c r="W4">
        <f t="shared" ref="W4:W38" si="6">U4*V4</f>
        <v>2.8479696914799769E-2</v>
      </c>
      <c r="X4">
        <v>0.962954016840186</v>
      </c>
      <c r="Y4">
        <v>4.7549363968995048E-2</v>
      </c>
      <c r="Z4">
        <f t="shared" ref="Z4:Z38" si="7">X4*Y4</f>
        <v>4.5787851032139788E-2</v>
      </c>
      <c r="AA4">
        <v>0.97323097030781858</v>
      </c>
      <c r="AB4">
        <v>4.7700562481971708E-2</v>
      </c>
      <c r="AC4">
        <f t="shared" ref="AC4:AC38" si="8">AA4*AB4</f>
        <v>4.6423664708558049E-2</v>
      </c>
      <c r="AD4">
        <v>0.98195029514811938</v>
      </c>
      <c r="AE4">
        <v>3.6434896195912135E-2</v>
      </c>
      <c r="AF4">
        <f t="shared" ref="AF4:AF38" si="9">AD4*AE4</f>
        <v>3.577725707326701E-2</v>
      </c>
      <c r="AG4">
        <v>0.98195029514811938</v>
      </c>
      <c r="AH4">
        <v>3.6434896195912135E-2</v>
      </c>
      <c r="AI4">
        <f t="shared" ref="AI4:AI38" si="10">AG4*AH4</f>
        <v>3.577725707326701E-2</v>
      </c>
      <c r="AJ4">
        <v>0.98309475286664871</v>
      </c>
      <c r="AK4">
        <v>4.0162926857921659E-2</v>
      </c>
      <c r="AL4">
        <f t="shared" ref="AL4:AL38" si="11">AJ4*AK4</f>
        <v>3.9483962653789784E-2</v>
      </c>
      <c r="AM4">
        <v>0.79885843368653686</v>
      </c>
      <c r="AN4">
        <v>3.692609806962651E-2</v>
      </c>
      <c r="AO4">
        <f t="shared" ref="AO4:AO38" si="12">AM4*AN4</f>
        <v>2.9498724866057285E-2</v>
      </c>
      <c r="AP4">
        <v>0.92791936032080091</v>
      </c>
      <c r="AQ4">
        <v>3.8490826956064685E-2</v>
      </c>
      <c r="AR4">
        <f t="shared" ref="AR4:AR38" si="13">AP4*AQ4</f>
        <v>3.5716383527290181E-2</v>
      </c>
      <c r="AS4">
        <v>0.95626169562479002</v>
      </c>
      <c r="AT4">
        <v>4.6103086912661143E-2</v>
      </c>
      <c r="AU4">
        <f t="shared" ref="AU4:AU38" si="14">AS4*AT4</f>
        <v>4.4086616064638408E-2</v>
      </c>
      <c r="AV4">
        <v>0.92883528352027533</v>
      </c>
      <c r="AW4">
        <v>5.6810934246768155E-2</v>
      </c>
      <c r="AX4">
        <f t="shared" ref="AX4:AX38" si="15">AV4*AW4</f>
        <v>5.276800021814862E-2</v>
      </c>
      <c r="AY4">
        <v>0.97703783676487854</v>
      </c>
      <c r="AZ4">
        <v>4.7482848028700342E-2</v>
      </c>
      <c r="BA4">
        <f t="shared" ref="BA4:BA38" si="16">AY4*AZ4</f>
        <v>4.6392539121396861E-2</v>
      </c>
      <c r="BB4">
        <v>0.96458329144310173</v>
      </c>
      <c r="BC4">
        <v>5.1582399838600503E-2</v>
      </c>
      <c r="BD4">
        <f t="shared" ref="BD4:BD38" si="17">BB4*BC4</f>
        <v>4.9755521016851392E-2</v>
      </c>
      <c r="BE4">
        <v>0.96225963005126036</v>
      </c>
      <c r="BF4">
        <v>5.3532055805714865E-2</v>
      </c>
      <c r="BG4">
        <f t="shared" ref="BG4:BG38" si="18">BE4*BF4</f>
        <v>5.1511736215490607E-2</v>
      </c>
      <c r="BH4">
        <v>0.92142528625113174</v>
      </c>
      <c r="BI4">
        <v>4.0681925431079423E-2</v>
      </c>
      <c r="BJ4">
        <f t="shared" ref="BJ4:BJ38" si="19">BH4*BI4</f>
        <v>3.7485354785579551E-2</v>
      </c>
      <c r="BK4">
        <v>0.98988905514651437</v>
      </c>
      <c r="BL4">
        <v>4.9999669342486397E-2</v>
      </c>
      <c r="BM4">
        <f t="shared" ref="BM4:BM38" si="20">BK4*BL4</f>
        <v>4.9494125443072003E-2</v>
      </c>
      <c r="BN4">
        <v>0.98821910304227123</v>
      </c>
      <c r="BO4">
        <v>4.4135329937912637E-2</v>
      </c>
      <c r="BP4">
        <f t="shared" ref="BP4:BP38" si="21">BN4*BO4</f>
        <v>4.3615376163718723E-2</v>
      </c>
      <c r="BQ4">
        <v>0.96544329634895043</v>
      </c>
      <c r="BR4">
        <v>4.401279783391817E-2</v>
      </c>
      <c r="BS4">
        <f t="shared" ref="BS4:BS38" si="22">BQ4*BR4</f>
        <v>4.2491860622317905E-2</v>
      </c>
      <c r="BT4">
        <f t="shared" ref="BT4:BT38" si="23">SUM(E4,H4,K4,N4,Q4,T4,W4,Z4,AC4,AF4,AI4,AL4,AO4,AR4,AU4,AX4,BA4,BD4,BG4,BJ4,BM4,BP4,BS4)</f>
        <v>0.92081306724271139</v>
      </c>
    </row>
    <row r="5" spans="1:72" x14ac:dyDescent="0.3">
      <c r="A5" s="1">
        <v>3</v>
      </c>
      <c r="B5" s="1" t="s">
        <v>75</v>
      </c>
      <c r="C5">
        <v>0.7310747784056999</v>
      </c>
      <c r="D5">
        <v>4.1493609063568894E-2</v>
      </c>
      <c r="E5">
        <f t="shared" si="0"/>
        <v>3.0334931051401372E-2</v>
      </c>
      <c r="F5">
        <v>0.75916046982102559</v>
      </c>
      <c r="G5">
        <v>3.6080982186227274E-2</v>
      </c>
      <c r="H5">
        <f t="shared" si="1"/>
        <v>2.7391255388100354E-2</v>
      </c>
      <c r="I5">
        <v>0.76628484403261476</v>
      </c>
      <c r="J5">
        <v>3.9324234102775794E-2</v>
      </c>
      <c r="K5">
        <f t="shared" si="2"/>
        <v>3.0133564596147581E-2</v>
      </c>
      <c r="L5">
        <v>0.92977722359925485</v>
      </c>
      <c r="M5">
        <v>4.5294626074195793E-2</v>
      </c>
      <c r="N5">
        <f t="shared" si="3"/>
        <v>4.211391167523218E-2</v>
      </c>
      <c r="O5">
        <v>0.81736237673199352</v>
      </c>
      <c r="P5">
        <v>3.7366108946429021E-2</v>
      </c>
      <c r="Q5">
        <f t="shared" si="4"/>
        <v>3.054165161767983E-2</v>
      </c>
      <c r="R5">
        <v>0.73345183898673449</v>
      </c>
      <c r="S5">
        <v>4.2950247442181184E-2</v>
      </c>
      <c r="T5">
        <f t="shared" si="5"/>
        <v>3.1501937971403077E-2</v>
      </c>
      <c r="U5">
        <v>0.760384226927736</v>
      </c>
      <c r="V5">
        <v>3.9449574080376477E-2</v>
      </c>
      <c r="W5">
        <f t="shared" si="6"/>
        <v>2.9996833889735518E-2</v>
      </c>
      <c r="X5">
        <v>0.75013702043596164</v>
      </c>
      <c r="Y5">
        <v>4.7549363968995048E-2</v>
      </c>
      <c r="Z5">
        <f t="shared" si="7"/>
        <v>3.5668538211327018E-2</v>
      </c>
      <c r="AA5">
        <v>0.77259308044584951</v>
      </c>
      <c r="AB5">
        <v>4.7700562481971708E-2</v>
      </c>
      <c r="AC5">
        <f t="shared" si="8"/>
        <v>3.6853124506946236E-2</v>
      </c>
      <c r="AD5">
        <v>0.87403378184941316</v>
      </c>
      <c r="AE5">
        <v>3.6434896195912135E-2</v>
      </c>
      <c r="AF5">
        <f t="shared" si="9"/>
        <v>3.1845330113403882E-2</v>
      </c>
      <c r="AG5">
        <v>0.87403378184941316</v>
      </c>
      <c r="AH5">
        <v>3.6434896195912135E-2</v>
      </c>
      <c r="AI5">
        <f t="shared" si="10"/>
        <v>3.1845330113403882E-2</v>
      </c>
      <c r="AJ5">
        <v>0.92631423871141993</v>
      </c>
      <c r="AK5">
        <v>4.0162926857921659E-2</v>
      </c>
      <c r="AL5">
        <f t="shared" si="11"/>
        <v>3.7203491016818142E-2</v>
      </c>
      <c r="AM5">
        <v>0.17121619894689399</v>
      </c>
      <c r="AN5">
        <v>3.692609806962651E-2</v>
      </c>
      <c r="AO5">
        <f t="shared" si="12"/>
        <v>6.3223461534216907E-3</v>
      </c>
      <c r="AP5">
        <v>0.85340799461669714</v>
      </c>
      <c r="AQ5">
        <v>3.8490826956064685E-2</v>
      </c>
      <c r="AR5">
        <f t="shared" si="13"/>
        <v>3.2848379443713473E-2</v>
      </c>
      <c r="AS5">
        <v>0.88496191551706316</v>
      </c>
      <c r="AT5">
        <v>4.6103086912661143E-2</v>
      </c>
      <c r="AU5">
        <f t="shared" si="14"/>
        <v>4.0799476105478252E-2</v>
      </c>
      <c r="AV5">
        <v>0.88579936351103195</v>
      </c>
      <c r="AW5">
        <v>5.6810934246768155E-2</v>
      </c>
      <c r="AX5">
        <f t="shared" si="15"/>
        <v>5.0323089396254315E-2</v>
      </c>
      <c r="AY5">
        <v>0.68026535722887849</v>
      </c>
      <c r="AZ5">
        <v>4.7482848028700342E-2</v>
      </c>
      <c r="BA5">
        <f t="shared" si="16"/>
        <v>3.2300936576488387E-2</v>
      </c>
      <c r="BB5">
        <v>0.86174264394643618</v>
      </c>
      <c r="BC5">
        <v>5.1582399838600503E-2</v>
      </c>
      <c r="BD5">
        <f t="shared" si="17"/>
        <v>4.445075361801782E-2</v>
      </c>
      <c r="BE5">
        <v>0.95327504677937458</v>
      </c>
      <c r="BF5">
        <v>5.3532055805714865E-2</v>
      </c>
      <c r="BG5">
        <f t="shared" si="18"/>
        <v>5.1030773002388931E-2</v>
      </c>
      <c r="BH5">
        <v>0.95905386889738231</v>
      </c>
      <c r="BI5">
        <v>4.0681925431079423E-2</v>
      </c>
      <c r="BJ5">
        <f t="shared" si="19"/>
        <v>3.9016157978871528E-2</v>
      </c>
      <c r="BK5">
        <v>0.82669399007313527</v>
      </c>
      <c r="BL5">
        <v>4.9999669342486397E-2</v>
      </c>
      <c r="BM5">
        <f t="shared" si="20"/>
        <v>4.1334426151077498E-2</v>
      </c>
      <c r="BN5">
        <v>0.85219775946546383</v>
      </c>
      <c r="BO5">
        <v>4.4135329937912637E-2</v>
      </c>
      <c r="BP5">
        <f t="shared" si="21"/>
        <v>3.7612029286358158E-2</v>
      </c>
      <c r="BQ5">
        <v>0.88613998999277255</v>
      </c>
      <c r="BR5">
        <v>4.401279783391817E-2</v>
      </c>
      <c r="BS5">
        <f t="shared" si="22"/>
        <v>3.9001500232102165E-2</v>
      </c>
      <c r="BT5">
        <f t="shared" si="23"/>
        <v>0.81046976809577131</v>
      </c>
    </row>
    <row r="6" spans="1:72" x14ac:dyDescent="0.3">
      <c r="A6" s="1">
        <v>4</v>
      </c>
      <c r="B6" s="1" t="s">
        <v>74</v>
      </c>
      <c r="C6">
        <v>0.99875332483550816</v>
      </c>
      <c r="D6">
        <v>4.1493609063568894E-2</v>
      </c>
      <c r="E6">
        <f t="shared" si="0"/>
        <v>4.1441880011664212E-2</v>
      </c>
      <c r="F6">
        <v>0.999853525886646</v>
      </c>
      <c r="G6">
        <v>3.6080982186227274E-2</v>
      </c>
      <c r="H6">
        <f t="shared" si="1"/>
        <v>3.6075697256352603E-2</v>
      </c>
      <c r="I6">
        <v>0.99892972021198445</v>
      </c>
      <c r="J6">
        <v>3.9324234102775794E-2</v>
      </c>
      <c r="K6">
        <f t="shared" si="2"/>
        <v>3.9282146169836399E-2</v>
      </c>
      <c r="L6">
        <v>0.99953809107935243</v>
      </c>
      <c r="M6">
        <v>4.5294626074195793E-2</v>
      </c>
      <c r="N6">
        <f t="shared" si="3"/>
        <v>4.5273704082354725E-2</v>
      </c>
      <c r="O6">
        <v>0.99144551242042189</v>
      </c>
      <c r="P6">
        <v>3.7366108946429021E-2</v>
      </c>
      <c r="Q6">
        <f t="shared" si="4"/>
        <v>3.7046461031549634E-2</v>
      </c>
      <c r="R6">
        <v>1</v>
      </c>
      <c r="S6">
        <v>4.2950247442181184E-2</v>
      </c>
      <c r="T6">
        <f t="shared" si="5"/>
        <v>4.2950247442181184E-2</v>
      </c>
      <c r="U6">
        <v>0.99879787810072962</v>
      </c>
      <c r="V6">
        <v>3.9449574080376477E-2</v>
      </c>
      <c r="W6">
        <f t="shared" si="6"/>
        <v>3.9402150883457568E-2</v>
      </c>
      <c r="X6">
        <v>0.99975231497149675</v>
      </c>
      <c r="Y6">
        <v>4.7549363968995048E-2</v>
      </c>
      <c r="Z6">
        <f t="shared" si="7"/>
        <v>4.7537586703425075E-2</v>
      </c>
      <c r="AA6">
        <v>0.99950124467766177</v>
      </c>
      <c r="AB6">
        <v>4.7700562481971708E-2</v>
      </c>
      <c r="AC6">
        <f t="shared" si="8"/>
        <v>4.7676771572555295E-2</v>
      </c>
      <c r="AD6">
        <v>0.99921611931345689</v>
      </c>
      <c r="AE6">
        <v>3.6434896195912135E-2</v>
      </c>
      <c r="AF6">
        <f t="shared" si="9"/>
        <v>3.6406335584467958E-2</v>
      </c>
      <c r="AG6">
        <v>0.99921611931345689</v>
      </c>
      <c r="AH6">
        <v>3.6434896195912135E-2</v>
      </c>
      <c r="AI6">
        <f t="shared" si="10"/>
        <v>3.6406335584467958E-2</v>
      </c>
      <c r="AJ6">
        <v>1</v>
      </c>
      <c r="AK6">
        <v>4.0162926857921659E-2</v>
      </c>
      <c r="AL6">
        <f t="shared" si="11"/>
        <v>4.0162926857921659E-2</v>
      </c>
      <c r="AM6">
        <v>0.99930708654186828</v>
      </c>
      <c r="AN6">
        <v>3.692609806962651E-2</v>
      </c>
      <c r="AO6">
        <f t="shared" si="12"/>
        <v>3.6900511479317777E-2</v>
      </c>
      <c r="AP6">
        <v>1</v>
      </c>
      <c r="AQ6">
        <v>3.8490826956064685E-2</v>
      </c>
      <c r="AR6">
        <f t="shared" si="13"/>
        <v>3.8490826956064685E-2</v>
      </c>
      <c r="AS6">
        <v>0.99964070614815215</v>
      </c>
      <c r="AT6">
        <v>4.6103086912661143E-2</v>
      </c>
      <c r="AU6">
        <f t="shared" si="14"/>
        <v>4.6086522356982219E-2</v>
      </c>
      <c r="AV6">
        <v>0.9999455944396396</v>
      </c>
      <c r="AW6">
        <v>5.6810934246768155E-2</v>
      </c>
      <c r="AX6">
        <f t="shared" si="15"/>
        <v>5.680784341605586E-2</v>
      </c>
      <c r="AY6">
        <v>0.99985899417458335</v>
      </c>
      <c r="AZ6">
        <v>4.7482848028700342E-2</v>
      </c>
      <c r="BA6">
        <f t="shared" si="16"/>
        <v>4.7476152670520924E-2</v>
      </c>
      <c r="BB6">
        <v>0.99998762627004734</v>
      </c>
      <c r="BC6">
        <v>5.1582399838600503E-2</v>
      </c>
      <c r="BD6">
        <f t="shared" si="17"/>
        <v>5.1581761571914589E-2</v>
      </c>
      <c r="BE6">
        <v>1</v>
      </c>
      <c r="BF6">
        <v>5.3532055805714865E-2</v>
      </c>
      <c r="BG6">
        <f t="shared" si="18"/>
        <v>5.3532055805714865E-2</v>
      </c>
      <c r="BH6">
        <v>1</v>
      </c>
      <c r="BI6">
        <v>4.0681925431079423E-2</v>
      </c>
      <c r="BJ6">
        <f t="shared" si="19"/>
        <v>4.0681925431079423E-2</v>
      </c>
      <c r="BK6">
        <v>1</v>
      </c>
      <c r="BL6">
        <v>4.9999669342486397E-2</v>
      </c>
      <c r="BM6">
        <f t="shared" si="20"/>
        <v>4.9999669342486397E-2</v>
      </c>
      <c r="BN6">
        <v>0.9998410728596403</v>
      </c>
      <c r="BO6">
        <v>4.4135329937912637E-2</v>
      </c>
      <c r="BP6">
        <f t="shared" si="21"/>
        <v>4.4128315636136776E-2</v>
      </c>
      <c r="BQ6">
        <v>0.99988880858397733</v>
      </c>
      <c r="BR6">
        <v>4.401279783391817E-2</v>
      </c>
      <c r="BS6">
        <f t="shared" si="22"/>
        <v>4.4007903988603894E-2</v>
      </c>
      <c r="BT6">
        <f t="shared" si="23"/>
        <v>0.99935573183511139</v>
      </c>
    </row>
    <row r="7" spans="1:72" x14ac:dyDescent="0.3">
      <c r="A7" s="1">
        <v>5</v>
      </c>
      <c r="B7" s="1" t="s">
        <v>73</v>
      </c>
      <c r="C7">
        <v>0.88875266171042067</v>
      </c>
      <c r="D7">
        <v>4.1493609063568894E-2</v>
      </c>
      <c r="E7">
        <f t="shared" si="0"/>
        <v>3.6877555499218492E-2</v>
      </c>
      <c r="F7">
        <v>0.88464420588741022</v>
      </c>
      <c r="G7">
        <v>3.6080982186227274E-2</v>
      </c>
      <c r="H7">
        <f t="shared" si="1"/>
        <v>3.1918831833772823E-2</v>
      </c>
      <c r="I7">
        <v>0.82430436608939328</v>
      </c>
      <c r="J7">
        <v>3.9324234102775794E-2</v>
      </c>
      <c r="K7">
        <f t="shared" si="2"/>
        <v>3.2415137864039503E-2</v>
      </c>
      <c r="L7">
        <v>0.92552412779984961</v>
      </c>
      <c r="M7">
        <v>4.5294626074195793E-2</v>
      </c>
      <c r="N7">
        <f t="shared" si="3"/>
        <v>4.1921269291340386E-2</v>
      </c>
      <c r="O7">
        <v>0.82984770939957553</v>
      </c>
      <c r="P7">
        <v>3.7366108946429021E-2</v>
      </c>
      <c r="Q7">
        <f t="shared" si="4"/>
        <v>3.100817991836911E-2</v>
      </c>
      <c r="R7">
        <v>0.89948932534772152</v>
      </c>
      <c r="S7">
        <v>4.2950247442181184E-2</v>
      </c>
      <c r="T7">
        <f t="shared" si="5"/>
        <v>3.8633289095285253E-2</v>
      </c>
      <c r="U7">
        <v>0.82140783886223789</v>
      </c>
      <c r="V7">
        <v>3.9449574080376477E-2</v>
      </c>
      <c r="W7">
        <f t="shared" si="6"/>
        <v>3.2404189389397799E-2</v>
      </c>
      <c r="X7">
        <v>0.94902330635253696</v>
      </c>
      <c r="Y7">
        <v>4.7549363968995048E-2</v>
      </c>
      <c r="Z7">
        <f t="shared" si="7"/>
        <v>4.5125454608815868E-2</v>
      </c>
      <c r="AA7">
        <v>0.95023687051696248</v>
      </c>
      <c r="AB7">
        <v>4.7700562481971708E-2</v>
      </c>
      <c r="AC7">
        <f t="shared" si="8"/>
        <v>4.5326833214767631E-2</v>
      </c>
      <c r="AD7">
        <v>0.96970130737665805</v>
      </c>
      <c r="AE7">
        <v>3.6434896195912135E-2</v>
      </c>
      <c r="AF7">
        <f t="shared" si="9"/>
        <v>3.5330966475308825E-2</v>
      </c>
      <c r="AG7">
        <v>0.96970130737665805</v>
      </c>
      <c r="AH7">
        <v>3.6434896195912135E-2</v>
      </c>
      <c r="AI7">
        <f t="shared" si="10"/>
        <v>3.5330966475308825E-2</v>
      </c>
      <c r="AJ7">
        <v>0.97865052667763397</v>
      </c>
      <c r="AK7">
        <v>4.0162926857921659E-2</v>
      </c>
      <c r="AL7">
        <f t="shared" si="11"/>
        <v>3.9305469522420325E-2</v>
      </c>
      <c r="AM7">
        <v>0.87166906055321358</v>
      </c>
      <c r="AN7">
        <v>3.692609806962651E-2</v>
      </c>
      <c r="AO7">
        <f t="shared" si="12"/>
        <v>3.2187337214247172E-2</v>
      </c>
      <c r="AP7">
        <v>0.96169889896350824</v>
      </c>
      <c r="AQ7">
        <v>3.8490826956064685E-2</v>
      </c>
      <c r="AR7">
        <f t="shared" si="13"/>
        <v>3.7016585903842332E-2</v>
      </c>
      <c r="AS7">
        <v>0.94343237674967784</v>
      </c>
      <c r="AT7">
        <v>4.6103086912661143E-2</v>
      </c>
      <c r="AU7">
        <f t="shared" si="14"/>
        <v>4.3495144861508871E-2</v>
      </c>
      <c r="AV7">
        <v>0.98556738268871158</v>
      </c>
      <c r="AW7">
        <v>5.6810934246768155E-2</v>
      </c>
      <c r="AX7">
        <f t="shared" si="15"/>
        <v>5.5991003773687778E-2</v>
      </c>
      <c r="AY7">
        <v>0.96720918607564443</v>
      </c>
      <c r="AZ7">
        <v>4.7482848028700342E-2</v>
      </c>
      <c r="BA7">
        <f t="shared" si="16"/>
        <v>4.5925846794392773E-2</v>
      </c>
      <c r="BB7">
        <v>0.96952504984293097</v>
      </c>
      <c r="BC7">
        <v>5.1582399838600503E-2</v>
      </c>
      <c r="BD7">
        <f t="shared" si="17"/>
        <v>5.0010428774537145E-2</v>
      </c>
      <c r="BE7">
        <v>0.96390882720589699</v>
      </c>
      <c r="BF7">
        <v>5.3532055805714865E-2</v>
      </c>
      <c r="BG7">
        <f t="shared" si="18"/>
        <v>5.1600021129607244E-2</v>
      </c>
      <c r="BH7">
        <v>0.94140878023765451</v>
      </c>
      <c r="BI7">
        <v>4.0681925431079423E-2</v>
      </c>
      <c r="BJ7">
        <f t="shared" si="19"/>
        <v>3.8298321797791697E-2</v>
      </c>
      <c r="BK7">
        <v>0.97977486045424389</v>
      </c>
      <c r="BL7">
        <v>4.9999669342486397E-2</v>
      </c>
      <c r="BM7">
        <f t="shared" si="20"/>
        <v>4.8988419052792949E-2</v>
      </c>
      <c r="BN7">
        <v>0.93988158237328945</v>
      </c>
      <c r="BO7">
        <v>4.4135329937912637E-2</v>
      </c>
      <c r="BP7">
        <f t="shared" si="21"/>
        <v>4.1481983740612544E-2</v>
      </c>
      <c r="BQ7">
        <v>0.94573064673692908</v>
      </c>
      <c r="BR7">
        <v>4.401279783391817E-2</v>
      </c>
      <c r="BS7">
        <f t="shared" si="22"/>
        <v>4.1624251760173141E-2</v>
      </c>
      <c r="BT7">
        <f t="shared" si="23"/>
        <v>0.93221748799123849</v>
      </c>
    </row>
    <row r="8" spans="1:72" x14ac:dyDescent="0.3">
      <c r="A8" s="1">
        <v>6</v>
      </c>
      <c r="B8" s="1" t="s">
        <v>72</v>
      </c>
      <c r="C8">
        <v>0.66902100632916051</v>
      </c>
      <c r="D8">
        <v>4.1493609063568894E-2</v>
      </c>
      <c r="E8">
        <f t="shared" si="0"/>
        <v>2.7760096091937636E-2</v>
      </c>
      <c r="F8">
        <v>0.78597372381775221</v>
      </c>
      <c r="G8">
        <v>3.6080982186227274E-2</v>
      </c>
      <c r="H8">
        <f t="shared" si="1"/>
        <v>2.8358703927911032E-2</v>
      </c>
      <c r="I8">
        <v>0.74654125084634582</v>
      </c>
      <c r="J8">
        <v>3.9324234102775794E-2</v>
      </c>
      <c r="K8">
        <f t="shared" si="2"/>
        <v>2.9357162915660772E-2</v>
      </c>
      <c r="L8">
        <v>0.93795275908547082</v>
      </c>
      <c r="M8">
        <v>4.5294626074195793E-2</v>
      </c>
      <c r="N8">
        <f t="shared" si="3"/>
        <v>4.248421949803665E-2</v>
      </c>
      <c r="O8">
        <v>0.79553613781051058</v>
      </c>
      <c r="P8">
        <v>3.7366108946429021E-2</v>
      </c>
      <c r="Q8">
        <f t="shared" si="4"/>
        <v>2.972608999624891E-2</v>
      </c>
      <c r="R8">
        <v>0.7749838348098087</v>
      </c>
      <c r="S8">
        <v>4.2950247442181184E-2</v>
      </c>
      <c r="T8">
        <f t="shared" si="5"/>
        <v>3.3285747468771755E-2</v>
      </c>
      <c r="U8">
        <v>0.73591745018643162</v>
      </c>
      <c r="V8">
        <v>3.9449574080376477E-2</v>
      </c>
      <c r="W8">
        <f t="shared" si="6"/>
        <v>2.90316299681714E-2</v>
      </c>
      <c r="X8">
        <v>0.84851484822328671</v>
      </c>
      <c r="Y8">
        <v>4.7549363968995048E-2</v>
      </c>
      <c r="Z8">
        <f t="shared" si="7"/>
        <v>4.0346341351265649E-2</v>
      </c>
      <c r="AA8">
        <v>0.8635553041089582</v>
      </c>
      <c r="AB8">
        <v>4.7700562481971708E-2</v>
      </c>
      <c r="AC8">
        <f t="shared" si="8"/>
        <v>4.1192073740287438E-2</v>
      </c>
      <c r="AD8">
        <v>0.89292189821820511</v>
      </c>
      <c r="AE8">
        <v>3.6434896195912135E-2</v>
      </c>
      <c r="AF8">
        <f t="shared" si="9"/>
        <v>3.2533516672637125E-2</v>
      </c>
      <c r="AG8">
        <v>0.89292189821820511</v>
      </c>
      <c r="AH8">
        <v>3.6434896195912135E-2</v>
      </c>
      <c r="AI8">
        <f t="shared" si="10"/>
        <v>3.2533516672637125E-2</v>
      </c>
      <c r="AJ8">
        <v>0.94718491418469319</v>
      </c>
      <c r="AK8">
        <v>4.0162926857921659E-2</v>
      </c>
      <c r="AL8">
        <f t="shared" si="11"/>
        <v>3.8041718429326639E-2</v>
      </c>
      <c r="AM8">
        <v>0.55937782416756643</v>
      </c>
      <c r="AN8">
        <v>3.692609806962651E-2</v>
      </c>
      <c r="AO8">
        <f t="shared" si="12"/>
        <v>2.0655640393185851E-2</v>
      </c>
      <c r="AP8">
        <v>0.93558919356887571</v>
      </c>
      <c r="AQ8">
        <v>3.8490826956064685E-2</v>
      </c>
      <c r="AR8">
        <f t="shared" si="13"/>
        <v>3.6011601751623698E-2</v>
      </c>
      <c r="AS8">
        <v>0.88897128004556025</v>
      </c>
      <c r="AT8">
        <v>4.6103086912661143E-2</v>
      </c>
      <c r="AU8">
        <f t="shared" si="14"/>
        <v>4.0984320186800094E-2</v>
      </c>
      <c r="AV8">
        <v>0.96285782873578307</v>
      </c>
      <c r="AW8">
        <v>5.6810934246768155E-2</v>
      </c>
      <c r="AX8">
        <f t="shared" si="15"/>
        <v>5.4700852797294523E-2</v>
      </c>
      <c r="AY8">
        <v>0.79285457518515334</v>
      </c>
      <c r="AZ8">
        <v>4.7482848028700342E-2</v>
      </c>
      <c r="BA8">
        <f t="shared" si="16"/>
        <v>3.7646993302376405E-2</v>
      </c>
      <c r="BB8">
        <v>0.85254432244290423</v>
      </c>
      <c r="BC8">
        <v>5.1582399838600503E-2</v>
      </c>
      <c r="BD8">
        <f t="shared" si="17"/>
        <v>4.3976282120378636E-2</v>
      </c>
      <c r="BE8">
        <v>0.90992184172919499</v>
      </c>
      <c r="BF8">
        <v>5.3532055805714865E-2</v>
      </c>
      <c r="BG8">
        <f t="shared" si="18"/>
        <v>4.8709986810286113E-2</v>
      </c>
      <c r="BH8">
        <v>0.92022595610682434</v>
      </c>
      <c r="BI8">
        <v>4.0681925431079423E-2</v>
      </c>
      <c r="BJ8">
        <f t="shared" si="19"/>
        <v>3.7436563726081597E-2</v>
      </c>
      <c r="BK8">
        <v>0.83784581186311868</v>
      </c>
      <c r="BL8">
        <v>4.9999669342486397E-2</v>
      </c>
      <c r="BM8">
        <f t="shared" si="20"/>
        <v>4.1892013553143002E-2</v>
      </c>
      <c r="BN8">
        <v>0.83451965117183402</v>
      </c>
      <c r="BO8">
        <v>4.4135329937912637E-2</v>
      </c>
      <c r="BP8">
        <f t="shared" si="21"/>
        <v>3.6831800144140656E-2</v>
      </c>
      <c r="BQ8">
        <v>0.90860065602935458</v>
      </c>
      <c r="BR8">
        <v>4.401279783391817E-2</v>
      </c>
      <c r="BS8">
        <f t="shared" si="22"/>
        <v>3.9990056985585408E-2</v>
      </c>
      <c r="BT8">
        <f t="shared" si="23"/>
        <v>0.84348692850378826</v>
      </c>
    </row>
    <row r="9" spans="1:72" x14ac:dyDescent="0.3">
      <c r="A9" s="1">
        <v>7</v>
      </c>
      <c r="B9" s="1" t="s">
        <v>71</v>
      </c>
      <c r="C9">
        <v>0.69777411012297286</v>
      </c>
      <c r="D9">
        <v>4.1493609063568894E-2</v>
      </c>
      <c r="E9">
        <f t="shared" si="0"/>
        <v>2.8953166140122305E-2</v>
      </c>
      <c r="F9">
        <v>0.80413651387364593</v>
      </c>
      <c r="G9">
        <v>3.6080982186227274E-2</v>
      </c>
      <c r="H9">
        <f t="shared" si="1"/>
        <v>2.9014035232369919E-2</v>
      </c>
      <c r="I9">
        <v>0.9066526136500952</v>
      </c>
      <c r="J9">
        <v>3.9324234102775794E-2</v>
      </c>
      <c r="K9">
        <f t="shared" si="2"/>
        <v>3.5653419629069878E-2</v>
      </c>
      <c r="L9">
        <v>0.78207742906038136</v>
      </c>
      <c r="M9">
        <v>4.5294626074195793E-2</v>
      </c>
      <c r="N9">
        <f t="shared" si="3"/>
        <v>3.5423904710358362E-2</v>
      </c>
      <c r="O9">
        <v>0.40252777431032333</v>
      </c>
      <c r="P9">
        <v>3.7366108946429021E-2</v>
      </c>
      <c r="Q9">
        <f t="shared" si="4"/>
        <v>1.5040896668843133E-2</v>
      </c>
      <c r="R9">
        <v>0.86115707594568125</v>
      </c>
      <c r="S9">
        <v>4.2950247442181184E-2</v>
      </c>
      <c r="T9">
        <f t="shared" si="5"/>
        <v>3.6986909498452222E-2</v>
      </c>
      <c r="U9">
        <v>0.91119915255543371</v>
      </c>
      <c r="V9">
        <v>3.9449574080376477E-2</v>
      </c>
      <c r="W9">
        <f t="shared" si="6"/>
        <v>3.5946418470711852E-2</v>
      </c>
      <c r="X9">
        <v>0.92107158666370359</v>
      </c>
      <c r="Y9">
        <v>4.7549363968995048E-2</v>
      </c>
      <c r="Z9">
        <f t="shared" si="7"/>
        <v>4.3796368115772207E-2</v>
      </c>
      <c r="AA9">
        <v>0.93533695912978165</v>
      </c>
      <c r="AB9">
        <v>4.7700562481971708E-2</v>
      </c>
      <c r="AC9">
        <f t="shared" si="8"/>
        <v>4.4616099060667568E-2</v>
      </c>
      <c r="AD9">
        <v>0.79414611535997159</v>
      </c>
      <c r="AE9">
        <v>3.6434896195912135E-2</v>
      </c>
      <c r="AF9">
        <f t="shared" si="9"/>
        <v>2.8934631277527427E-2</v>
      </c>
      <c r="AG9">
        <v>0.79414611535997159</v>
      </c>
      <c r="AH9">
        <v>3.6434896195912135E-2</v>
      </c>
      <c r="AI9">
        <f t="shared" si="10"/>
        <v>2.8934631277527427E-2</v>
      </c>
      <c r="AJ9">
        <v>0.8224519360620719</v>
      </c>
      <c r="AK9">
        <v>4.0162926857921659E-2</v>
      </c>
      <c r="AL9">
        <f t="shared" si="11"/>
        <v>3.3032076952217056E-2</v>
      </c>
      <c r="AM9">
        <v>0.73707205611259863</v>
      </c>
      <c r="AN9">
        <v>3.692609806962651E-2</v>
      </c>
      <c r="AO9">
        <f t="shared" si="12"/>
        <v>2.7217195028395071E-2</v>
      </c>
      <c r="AP9">
        <v>0.85002626420069283</v>
      </c>
      <c r="AQ9">
        <v>3.8490826956064685E-2</v>
      </c>
      <c r="AR9">
        <f t="shared" si="13"/>
        <v>3.2718213843458986E-2</v>
      </c>
      <c r="AS9">
        <v>0.95925776277654484</v>
      </c>
      <c r="AT9">
        <v>4.6103086912661143E-2</v>
      </c>
      <c r="AU9">
        <f t="shared" si="14"/>
        <v>4.4224744008931928E-2</v>
      </c>
      <c r="AV9">
        <v>0.97712947289425245</v>
      </c>
      <c r="AW9">
        <v>5.6810934246768155E-2</v>
      </c>
      <c r="AX9">
        <f t="shared" si="15"/>
        <v>5.5511638235174604E-2</v>
      </c>
      <c r="AY9">
        <v>0.97053825494095303</v>
      </c>
      <c r="AZ9">
        <v>4.7482848028700342E-2</v>
      </c>
      <c r="BA9">
        <f t="shared" si="16"/>
        <v>4.6083920465401301E-2</v>
      </c>
      <c r="BB9">
        <v>0.97990093798028766</v>
      </c>
      <c r="BC9">
        <v>5.1582399838600503E-2</v>
      </c>
      <c r="BD9">
        <f t="shared" si="17"/>
        <v>5.0545641985118871E-2</v>
      </c>
      <c r="BE9">
        <v>0.99522770663483762</v>
      </c>
      <c r="BF9">
        <v>5.3532055805714865E-2</v>
      </c>
      <c r="BG9">
        <f t="shared" si="18"/>
        <v>5.327658513096975E-2</v>
      </c>
      <c r="BH9">
        <v>0.98238343629560188</v>
      </c>
      <c r="BI9">
        <v>4.0681925431079423E-2</v>
      </c>
      <c r="BJ9">
        <f t="shared" si="19"/>
        <v>3.9965249700105239E-2</v>
      </c>
      <c r="BK9">
        <v>0.97929202726336184</v>
      </c>
      <c r="BL9">
        <v>4.9999669342486397E-2</v>
      </c>
      <c r="BM9">
        <f t="shared" si="20"/>
        <v>4.8964277552901267E-2</v>
      </c>
      <c r="BN9">
        <v>0.77459735639918437</v>
      </c>
      <c r="BO9">
        <v>4.4135329937912637E-2</v>
      </c>
      <c r="BP9">
        <f t="shared" si="21"/>
        <v>3.4187109893712909E-2</v>
      </c>
      <c r="BQ9">
        <v>0.83543670428642913</v>
      </c>
      <c r="BR9">
        <v>4.401279783391817E-2</v>
      </c>
      <c r="BS9">
        <f t="shared" si="22"/>
        <v>3.6769906768793485E-2</v>
      </c>
      <c r="BT9">
        <f t="shared" si="23"/>
        <v>0.86579703964660271</v>
      </c>
    </row>
    <row r="10" spans="1:72" x14ac:dyDescent="0.3">
      <c r="A10" s="1">
        <v>8</v>
      </c>
      <c r="B10" s="1" t="s">
        <v>70</v>
      </c>
      <c r="C10">
        <v>0.72689119590925499</v>
      </c>
      <c r="D10">
        <v>4.1493609063568894E-2</v>
      </c>
      <c r="E10">
        <f t="shared" si="0"/>
        <v>3.0161339114808696E-2</v>
      </c>
      <c r="F10">
        <v>0.64414220301312108</v>
      </c>
      <c r="G10">
        <v>3.6080982186227274E-2</v>
      </c>
      <c r="H10">
        <f t="shared" si="1"/>
        <v>2.3241283352313614E-2</v>
      </c>
      <c r="I10">
        <v>0.45406811812973402</v>
      </c>
      <c r="J10">
        <v>3.9324234102775794E-2</v>
      </c>
      <c r="K10">
        <f t="shared" si="2"/>
        <v>1.7855880975940513E-2</v>
      </c>
      <c r="L10">
        <v>0.84227198610739507</v>
      </c>
      <c r="M10">
        <v>4.5294626074195793E-2</v>
      </c>
      <c r="N10">
        <f t="shared" si="3"/>
        <v>3.8150394663504693E-2</v>
      </c>
      <c r="O10">
        <v>0.63495318936462364</v>
      </c>
      <c r="P10">
        <v>3.7366108946429021E-2</v>
      </c>
      <c r="Q10">
        <f t="shared" si="4"/>
        <v>2.3725730049681103E-2</v>
      </c>
      <c r="R10">
        <v>0.5412809020058903</v>
      </c>
      <c r="S10">
        <v>4.2950247442181184E-2</v>
      </c>
      <c r="T10">
        <f t="shared" si="5"/>
        <v>2.3248148676880014E-2</v>
      </c>
      <c r="U10">
        <v>0.43669903491188033</v>
      </c>
      <c r="V10">
        <v>3.9449574080376477E-2</v>
      </c>
      <c r="W10">
        <f t="shared" si="6"/>
        <v>1.7227590928585137E-2</v>
      </c>
      <c r="X10">
        <v>0.68908954936898725</v>
      </c>
      <c r="Y10">
        <v>4.7549363968995048E-2</v>
      </c>
      <c r="Z10">
        <f t="shared" si="7"/>
        <v>3.2765769790176758E-2</v>
      </c>
      <c r="AA10">
        <v>0.7189359863783511</v>
      </c>
      <c r="AB10">
        <v>4.7700562481971708E-2</v>
      </c>
      <c r="AC10">
        <f t="shared" si="8"/>
        <v>3.4293650938778494E-2</v>
      </c>
      <c r="AD10">
        <v>0.84385096724060371</v>
      </c>
      <c r="AE10">
        <v>3.6434896195912135E-2</v>
      </c>
      <c r="AF10">
        <f t="shared" si="9"/>
        <v>3.0745622396231447E-2</v>
      </c>
      <c r="AG10">
        <v>0.84385096724060371</v>
      </c>
      <c r="AH10">
        <v>3.6434896195912135E-2</v>
      </c>
      <c r="AI10">
        <f t="shared" si="10"/>
        <v>3.0745622396231447E-2</v>
      </c>
      <c r="AJ10">
        <v>0.90771478380435588</v>
      </c>
      <c r="AK10">
        <v>4.0162926857921659E-2</v>
      </c>
      <c r="AL10">
        <f t="shared" si="11"/>
        <v>3.6456482469788519E-2</v>
      </c>
      <c r="AM10">
        <v>0.6433056754624461</v>
      </c>
      <c r="AN10">
        <v>3.692609806962651E-2</v>
      </c>
      <c r="AO10">
        <f t="shared" si="12"/>
        <v>2.3754768460873609E-2</v>
      </c>
      <c r="AP10">
        <v>0.89409862293190878</v>
      </c>
      <c r="AQ10">
        <v>3.8490826956064685E-2</v>
      </c>
      <c r="AR10">
        <f t="shared" si="13"/>
        <v>3.4414595376927828E-2</v>
      </c>
      <c r="AS10">
        <v>0.70133179585136252</v>
      </c>
      <c r="AT10">
        <v>4.6103086912661143E-2</v>
      </c>
      <c r="AU10">
        <f t="shared" si="14"/>
        <v>3.2333560738748088E-2</v>
      </c>
      <c r="AV10">
        <v>0.88883317460370881</v>
      </c>
      <c r="AW10">
        <v>5.6810934246768155E-2</v>
      </c>
      <c r="AX10">
        <f t="shared" si="15"/>
        <v>5.0495443038757498E-2</v>
      </c>
      <c r="AY10">
        <v>0.68384738933463407</v>
      </c>
      <c r="AZ10">
        <v>4.7482848028700342E-2</v>
      </c>
      <c r="BA10">
        <f t="shared" si="16"/>
        <v>3.2471021662599901E-2</v>
      </c>
      <c r="BB10">
        <v>0.55637394030603327</v>
      </c>
      <c r="BC10">
        <v>5.1582399838600503E-2</v>
      </c>
      <c r="BD10">
        <f t="shared" si="17"/>
        <v>2.8699103048643457E-2</v>
      </c>
      <c r="BE10">
        <v>0.74047810161127081</v>
      </c>
      <c r="BF10">
        <v>5.3532055805714865E-2</v>
      </c>
      <c r="BG10">
        <f t="shared" si="18"/>
        <v>3.9639315058364349E-2</v>
      </c>
      <c r="BH10">
        <v>0.59252133362178794</v>
      </c>
      <c r="BI10">
        <v>4.0681925431079423E-2</v>
      </c>
      <c r="BJ10">
        <f t="shared" si="19"/>
        <v>2.410490871072531E-2</v>
      </c>
      <c r="BK10">
        <v>0.59694036963666341</v>
      </c>
      <c r="BL10">
        <v>4.9999669342486397E-2</v>
      </c>
      <c r="BM10">
        <f t="shared" si="20"/>
        <v>2.9846821099014778E-2</v>
      </c>
      <c r="BN10">
        <v>0.87249309343225134</v>
      </c>
      <c r="BO10">
        <v>4.4135329937912637E-2</v>
      </c>
      <c r="BP10">
        <f t="shared" si="21"/>
        <v>3.8507770547182449E-2</v>
      </c>
      <c r="BQ10">
        <v>0.8642273387923024</v>
      </c>
      <c r="BR10">
        <v>4.401279783391817E-2</v>
      </c>
      <c r="BS10">
        <f t="shared" si="22"/>
        <v>3.8037063144810715E-2</v>
      </c>
      <c r="BT10">
        <f t="shared" si="23"/>
        <v>0.71092188663956846</v>
      </c>
    </row>
    <row r="11" spans="1:72" x14ac:dyDescent="0.3">
      <c r="A11" s="1">
        <v>9</v>
      </c>
      <c r="B11" s="1" t="s">
        <v>69</v>
      </c>
      <c r="C11">
        <v>0</v>
      </c>
      <c r="D11">
        <v>4.1493609063568894E-2</v>
      </c>
      <c r="E11">
        <f t="shared" si="0"/>
        <v>0</v>
      </c>
      <c r="F11">
        <v>0.19893413547369515</v>
      </c>
      <c r="G11">
        <v>3.6080982186227274E-2</v>
      </c>
      <c r="H11">
        <f t="shared" si="1"/>
        <v>7.1777389982589177E-3</v>
      </c>
      <c r="I11">
        <v>0</v>
      </c>
      <c r="J11">
        <v>3.9324234102775794E-2</v>
      </c>
      <c r="K11">
        <f t="shared" si="2"/>
        <v>0</v>
      </c>
      <c r="L11">
        <v>0</v>
      </c>
      <c r="M11">
        <v>4.5294626074195793E-2</v>
      </c>
      <c r="N11">
        <f t="shared" si="3"/>
        <v>0</v>
      </c>
      <c r="O11">
        <v>0</v>
      </c>
      <c r="P11">
        <v>3.7366108946429021E-2</v>
      </c>
      <c r="Q11">
        <f t="shared" si="4"/>
        <v>0</v>
      </c>
      <c r="R11">
        <v>0</v>
      </c>
      <c r="S11">
        <v>4.2950247442181184E-2</v>
      </c>
      <c r="T11">
        <f t="shared" si="5"/>
        <v>0</v>
      </c>
      <c r="U11">
        <v>0</v>
      </c>
      <c r="V11">
        <v>3.9449574080376477E-2</v>
      </c>
      <c r="W11">
        <f t="shared" si="6"/>
        <v>0</v>
      </c>
      <c r="X11">
        <v>0</v>
      </c>
      <c r="Y11">
        <v>4.7549363968995048E-2</v>
      </c>
      <c r="Z11">
        <f t="shared" si="7"/>
        <v>0</v>
      </c>
      <c r="AA11">
        <v>0</v>
      </c>
      <c r="AB11">
        <v>4.7700562481971708E-2</v>
      </c>
      <c r="AC11">
        <f t="shared" si="8"/>
        <v>0</v>
      </c>
      <c r="AD11">
        <v>3.4817935190108104E-2</v>
      </c>
      <c r="AE11">
        <v>3.6434896195912135E-2</v>
      </c>
      <c r="AF11">
        <f t="shared" si="9"/>
        <v>1.2685878544075851E-3</v>
      </c>
      <c r="AG11">
        <v>3.4817935190108104E-2</v>
      </c>
      <c r="AH11">
        <v>3.6434896195912135E-2</v>
      </c>
      <c r="AI11">
        <f t="shared" si="10"/>
        <v>1.2685878544075851E-3</v>
      </c>
      <c r="AJ11">
        <v>0</v>
      </c>
      <c r="AK11">
        <v>4.0162926857921659E-2</v>
      </c>
      <c r="AL11">
        <f t="shared" si="11"/>
        <v>0</v>
      </c>
      <c r="AM11">
        <v>0.1506533894602162</v>
      </c>
      <c r="AN11">
        <v>3.692609806962651E-2</v>
      </c>
      <c r="AO11">
        <f t="shared" si="12"/>
        <v>5.5630418337295805E-3</v>
      </c>
      <c r="AP11">
        <v>0.33320172622746513</v>
      </c>
      <c r="AQ11">
        <v>3.8490826956064685E-2</v>
      </c>
      <c r="AR11">
        <f t="shared" si="13"/>
        <v>1.28252099856834E-2</v>
      </c>
      <c r="AS11">
        <v>0</v>
      </c>
      <c r="AT11">
        <v>4.6103086912661143E-2</v>
      </c>
      <c r="AU11">
        <f t="shared" si="14"/>
        <v>0</v>
      </c>
      <c r="AV11">
        <v>0.83974701975314459</v>
      </c>
      <c r="AW11">
        <v>5.6810934246768155E-2</v>
      </c>
      <c r="AX11">
        <f t="shared" si="15"/>
        <v>4.7706812723115416E-2</v>
      </c>
      <c r="AY11">
        <v>0</v>
      </c>
      <c r="AZ11">
        <v>4.7482848028700342E-2</v>
      </c>
      <c r="BA11">
        <f t="shared" si="16"/>
        <v>0</v>
      </c>
      <c r="BB11">
        <v>0</v>
      </c>
      <c r="BC11">
        <v>5.1582399838600503E-2</v>
      </c>
      <c r="BD11">
        <f t="shared" si="17"/>
        <v>0</v>
      </c>
      <c r="BE11">
        <v>0</v>
      </c>
      <c r="BF11">
        <v>5.3532055805714865E-2</v>
      </c>
      <c r="BG11">
        <f t="shared" si="18"/>
        <v>0</v>
      </c>
      <c r="BH11">
        <v>0</v>
      </c>
      <c r="BI11">
        <v>4.0681925431079423E-2</v>
      </c>
      <c r="BJ11">
        <f t="shared" si="19"/>
        <v>0</v>
      </c>
      <c r="BK11">
        <v>0</v>
      </c>
      <c r="BL11">
        <v>4.9999669342486397E-2</v>
      </c>
      <c r="BM11">
        <f t="shared" si="20"/>
        <v>0</v>
      </c>
      <c r="BN11">
        <v>0</v>
      </c>
      <c r="BO11">
        <v>4.4135329937912637E-2</v>
      </c>
      <c r="BP11">
        <f t="shared" si="21"/>
        <v>0</v>
      </c>
      <c r="BQ11">
        <v>0</v>
      </c>
      <c r="BR11">
        <v>4.401279783391817E-2</v>
      </c>
      <c r="BS11">
        <f t="shared" si="22"/>
        <v>0</v>
      </c>
      <c r="BT11">
        <f t="shared" si="23"/>
        <v>7.5809979249602477E-2</v>
      </c>
    </row>
    <row r="12" spans="1:72" x14ac:dyDescent="0.3">
      <c r="A12" s="1">
        <v>10</v>
      </c>
      <c r="B12" s="1" t="s">
        <v>68</v>
      </c>
      <c r="C12">
        <v>0.56705594565321504</v>
      </c>
      <c r="D12">
        <v>4.1493609063568894E-2</v>
      </c>
      <c r="E12">
        <f t="shared" si="0"/>
        <v>2.3529197726106874E-2</v>
      </c>
      <c r="F12">
        <v>0.48977653145053951</v>
      </c>
      <c r="G12">
        <v>3.6080982186227274E-2</v>
      </c>
      <c r="H12">
        <f t="shared" si="1"/>
        <v>1.7671618306499097E-2</v>
      </c>
      <c r="I12">
        <v>0.34541170287652079</v>
      </c>
      <c r="J12">
        <v>3.9324234102775794E-2</v>
      </c>
      <c r="K12">
        <f t="shared" si="2"/>
        <v>1.3583050665754739E-2</v>
      </c>
      <c r="L12">
        <v>0.63533931374974129</v>
      </c>
      <c r="M12">
        <v>4.5294626074195793E-2</v>
      </c>
      <c r="N12">
        <f t="shared" si="3"/>
        <v>2.8777456646530693E-2</v>
      </c>
      <c r="O12">
        <v>0.71096617151416797</v>
      </c>
      <c r="P12">
        <v>3.7366108946429021E-2</v>
      </c>
      <c r="Q12">
        <f t="shared" si="4"/>
        <v>2.656603942202394E-2</v>
      </c>
      <c r="R12">
        <v>0.4407486581368229</v>
      </c>
      <c r="S12">
        <v>4.2950247442181184E-2</v>
      </c>
      <c r="T12">
        <f t="shared" si="5"/>
        <v>1.8930263926785866E-2</v>
      </c>
      <c r="U12">
        <v>0.34950615393941509</v>
      </c>
      <c r="V12">
        <v>3.9449574080376477E-2</v>
      </c>
      <c r="W12">
        <f t="shared" si="6"/>
        <v>1.3787868911380421E-2</v>
      </c>
      <c r="X12">
        <v>0.68874228118210745</v>
      </c>
      <c r="Y12">
        <v>4.7549363968995048E-2</v>
      </c>
      <c r="Z12">
        <f t="shared" si="7"/>
        <v>3.2749257408763957E-2</v>
      </c>
      <c r="AA12">
        <v>0.70248947435814368</v>
      </c>
      <c r="AB12">
        <v>4.7700562481971708E-2</v>
      </c>
      <c r="AC12">
        <f t="shared" si="8"/>
        <v>3.3509143064548094E-2</v>
      </c>
      <c r="AD12">
        <v>0.61574168745654578</v>
      </c>
      <c r="AE12">
        <v>3.6434896195912135E-2</v>
      </c>
      <c r="AF12">
        <f t="shared" si="9"/>
        <v>2.243448446597502E-2</v>
      </c>
      <c r="AG12">
        <v>0.61574168745654578</v>
      </c>
      <c r="AH12">
        <v>3.6434896195912135E-2</v>
      </c>
      <c r="AI12">
        <f t="shared" si="10"/>
        <v>2.243448446597502E-2</v>
      </c>
      <c r="AJ12">
        <v>5.4190095022957741E-2</v>
      </c>
      <c r="AK12">
        <v>4.0162926857921659E-2</v>
      </c>
      <c r="AL12">
        <f t="shared" si="11"/>
        <v>2.1764328228308762E-3</v>
      </c>
      <c r="AM12">
        <v>0.82733101673475917</v>
      </c>
      <c r="AN12">
        <v>3.692609806962651E-2</v>
      </c>
      <c r="AO12">
        <f t="shared" si="12"/>
        <v>3.0550106259991529E-2</v>
      </c>
      <c r="AP12">
        <v>0.62372155140745211</v>
      </c>
      <c r="AQ12">
        <v>3.8490826956064685E-2</v>
      </c>
      <c r="AR12">
        <f t="shared" si="13"/>
        <v>2.4007558303992444E-2</v>
      </c>
      <c r="AS12">
        <v>0.35404350409801255</v>
      </c>
      <c r="AT12">
        <v>4.6103086912661143E-2</v>
      </c>
      <c r="AU12">
        <f t="shared" si="14"/>
        <v>1.6322498440293775E-2</v>
      </c>
      <c r="AV12">
        <v>0.91370717244767807</v>
      </c>
      <c r="AW12">
        <v>5.6810934246768155E-2</v>
      </c>
      <c r="AX12">
        <f t="shared" si="15"/>
        <v>5.1908558094725492E-2</v>
      </c>
      <c r="AY12">
        <v>0.73111096855872681</v>
      </c>
      <c r="AZ12">
        <v>4.7482848028700342E-2</v>
      </c>
      <c r="BA12">
        <f t="shared" si="16"/>
        <v>3.4715231012189936E-2</v>
      </c>
      <c r="BB12">
        <v>0.78213883015663599</v>
      </c>
      <c r="BC12">
        <v>5.1582399838600503E-2</v>
      </c>
      <c r="BD12">
        <f t="shared" si="17"/>
        <v>4.0344597866434843E-2</v>
      </c>
      <c r="BE12">
        <v>0.61496481620757015</v>
      </c>
      <c r="BF12">
        <v>5.3532055805714865E-2</v>
      </c>
      <c r="BG12">
        <f t="shared" si="18"/>
        <v>3.2920330859774832E-2</v>
      </c>
      <c r="BH12">
        <v>0.31559369566436707</v>
      </c>
      <c r="BI12">
        <v>4.0681925431079423E-2</v>
      </c>
      <c r="BJ12">
        <f t="shared" si="19"/>
        <v>1.2838959193536555E-2</v>
      </c>
      <c r="BK12">
        <v>0.78700347686323702</v>
      </c>
      <c r="BL12">
        <v>4.9999669342486397E-2</v>
      </c>
      <c r="BM12">
        <f t="shared" si="20"/>
        <v>3.9349913614548995E-2</v>
      </c>
      <c r="BN12">
        <v>0.59581446778005831</v>
      </c>
      <c r="BO12">
        <v>4.4135329937912637E-2</v>
      </c>
      <c r="BP12">
        <f t="shared" si="21"/>
        <v>2.6296468117254692E-2</v>
      </c>
      <c r="BQ12">
        <v>0.30209913508962821</v>
      </c>
      <c r="BR12">
        <v>4.401279783391817E-2</v>
      </c>
      <c r="BS12">
        <f t="shared" si="22"/>
        <v>1.3296228158501341E-2</v>
      </c>
      <c r="BT12">
        <f t="shared" si="23"/>
        <v>0.57869974775441901</v>
      </c>
    </row>
    <row r="13" spans="1:72" x14ac:dyDescent="0.3">
      <c r="A13" s="1">
        <v>11</v>
      </c>
      <c r="B13" s="1" t="s">
        <v>67</v>
      </c>
      <c r="C13">
        <v>0.99341443107551519</v>
      </c>
      <c r="D13">
        <v>4.1493609063568894E-2</v>
      </c>
      <c r="E13">
        <f t="shared" si="0"/>
        <v>4.1220350041155131E-2</v>
      </c>
      <c r="F13">
        <v>0.98737987530595051</v>
      </c>
      <c r="G13">
        <v>3.6080982186227274E-2</v>
      </c>
      <c r="H13">
        <f t="shared" si="1"/>
        <v>3.562563569195331E-2</v>
      </c>
      <c r="I13">
        <v>0.9833291455599692</v>
      </c>
      <c r="J13">
        <v>3.9324234102775794E-2</v>
      </c>
      <c r="K13">
        <f t="shared" si="2"/>
        <v>3.8668665520082725E-2</v>
      </c>
      <c r="L13">
        <v>0.99765006991736116</v>
      </c>
      <c r="M13">
        <v>4.5294626074195793E-2</v>
      </c>
      <c r="N13">
        <f t="shared" si="3"/>
        <v>4.5188186869802166E-2</v>
      </c>
      <c r="O13">
        <v>0.99472475346398703</v>
      </c>
      <c r="P13">
        <v>3.7366108946429021E-2</v>
      </c>
      <c r="Q13">
        <f t="shared" si="4"/>
        <v>3.7168993509645087E-2</v>
      </c>
      <c r="R13">
        <v>0.99582307427922478</v>
      </c>
      <c r="S13">
        <v>4.2950247442181184E-2</v>
      </c>
      <c r="T13">
        <f t="shared" si="5"/>
        <v>4.2770847448926279E-2</v>
      </c>
      <c r="U13">
        <v>0.98558686666413231</v>
      </c>
      <c r="V13">
        <v>3.9449574080376477E-2</v>
      </c>
      <c r="W13">
        <f t="shared" si="6"/>
        <v>3.8880982109112824E-2</v>
      </c>
      <c r="X13">
        <v>0.99943200162447832</v>
      </c>
      <c r="Y13">
        <v>4.7549363968995048E-2</v>
      </c>
      <c r="Z13">
        <f t="shared" si="7"/>
        <v>4.7522356007503569E-2</v>
      </c>
      <c r="AA13">
        <v>1</v>
      </c>
      <c r="AB13">
        <v>4.7700562481971708E-2</v>
      </c>
      <c r="AC13">
        <f t="shared" si="8"/>
        <v>4.7700562481971708E-2</v>
      </c>
      <c r="AD13">
        <v>1</v>
      </c>
      <c r="AE13">
        <v>3.6434896195912135E-2</v>
      </c>
      <c r="AF13">
        <f t="shared" si="9"/>
        <v>3.6434896195912135E-2</v>
      </c>
      <c r="AG13">
        <v>1</v>
      </c>
      <c r="AH13">
        <v>3.6434896195912135E-2</v>
      </c>
      <c r="AI13">
        <f t="shared" si="10"/>
        <v>3.6434896195912135E-2</v>
      </c>
      <c r="AJ13">
        <v>0.99980357011319276</v>
      </c>
      <c r="AK13">
        <v>4.0162926857921659E-2</v>
      </c>
      <c r="AL13">
        <f t="shared" si="11"/>
        <v>4.0155037658745112E-2</v>
      </c>
      <c r="AM13">
        <v>0.99839302234999816</v>
      </c>
      <c r="AN13">
        <v>3.692609806962651E-2</v>
      </c>
      <c r="AO13">
        <f t="shared" si="12"/>
        <v>3.6866758655326848E-2</v>
      </c>
      <c r="AP13">
        <v>0.99964294419973154</v>
      </c>
      <c r="AQ13">
        <v>3.8490826956064685E-2</v>
      </c>
      <c r="AR13">
        <f t="shared" si="13"/>
        <v>3.8477083583042894E-2</v>
      </c>
      <c r="AS13">
        <v>0.99693553394459711</v>
      </c>
      <c r="AT13">
        <v>4.6103086912661143E-2</v>
      </c>
      <c r="AU13">
        <f t="shared" si="14"/>
        <v>4.5961805567768001E-2</v>
      </c>
      <c r="AV13">
        <v>0.99987828859177097</v>
      </c>
      <c r="AW13">
        <v>5.6810934246768155E-2</v>
      </c>
      <c r="AX13">
        <f t="shared" si="15"/>
        <v>5.6804019707958175E-2</v>
      </c>
      <c r="AY13">
        <v>0.99976216613996249</v>
      </c>
      <c r="AZ13">
        <v>4.7482848028700342E-2</v>
      </c>
      <c r="BA13">
        <f t="shared" si="16"/>
        <v>4.7471554999668104E-2</v>
      </c>
      <c r="BB13">
        <v>0.99945658702624729</v>
      </c>
      <c r="BC13">
        <v>5.1582399838600503E-2</v>
      </c>
      <c r="BD13">
        <f t="shared" si="17"/>
        <v>5.1554369293310906E-2</v>
      </c>
      <c r="BE13">
        <v>0.99774021051715012</v>
      </c>
      <c r="BF13">
        <v>5.3532055805714865E-2</v>
      </c>
      <c r="BG13">
        <f t="shared" si="18"/>
        <v>5.3411084629009779E-2</v>
      </c>
      <c r="BH13">
        <v>0.99308285858513012</v>
      </c>
      <c r="BI13">
        <v>4.0681925431079423E-2</v>
      </c>
      <c r="BJ13">
        <f t="shared" si="19"/>
        <v>4.0400522799843457E-2</v>
      </c>
      <c r="BK13">
        <v>0.99995798422713955</v>
      </c>
      <c r="BL13">
        <v>4.9999669342486397E-2</v>
      </c>
      <c r="BM13">
        <f t="shared" si="20"/>
        <v>4.9997568567736204E-2</v>
      </c>
      <c r="BN13">
        <v>1</v>
      </c>
      <c r="BO13">
        <v>4.4135329937912637E-2</v>
      </c>
      <c r="BP13">
        <f t="shared" si="21"/>
        <v>4.4135329937912637E-2</v>
      </c>
      <c r="BQ13">
        <v>0.99709313869540706</v>
      </c>
      <c r="BR13">
        <v>4.401279783391817E-2</v>
      </c>
      <c r="BS13">
        <f t="shared" si="22"/>
        <v>4.3884858734987882E-2</v>
      </c>
      <c r="BT13">
        <f t="shared" si="23"/>
        <v>0.99673636620728712</v>
      </c>
    </row>
    <row r="14" spans="1:72" x14ac:dyDescent="0.3">
      <c r="A14" s="1">
        <v>12</v>
      </c>
      <c r="B14" s="1" t="s">
        <v>66</v>
      </c>
      <c r="C14">
        <v>0.99191576837777495</v>
      </c>
      <c r="D14">
        <v>4.1493609063568894E-2</v>
      </c>
      <c r="E14">
        <f t="shared" si="0"/>
        <v>4.1158165117056944E-2</v>
      </c>
      <c r="F14">
        <v>0.99230798623567895</v>
      </c>
      <c r="G14">
        <v>3.6080982186227274E-2</v>
      </c>
      <c r="H14">
        <f t="shared" si="1"/>
        <v>3.5803446774620593E-2</v>
      </c>
      <c r="I14">
        <v>0.97024411202261784</v>
      </c>
      <c r="J14">
        <v>3.9324234102775794E-2</v>
      </c>
      <c r="K14">
        <f t="shared" si="2"/>
        <v>3.8154106598017247E-2</v>
      </c>
      <c r="L14">
        <v>0.99525470617039646</v>
      </c>
      <c r="M14">
        <v>4.5294626074195793E-2</v>
      </c>
      <c r="N14">
        <f t="shared" si="3"/>
        <v>4.5079689764571711E-2</v>
      </c>
      <c r="O14">
        <v>0.99549369616776928</v>
      </c>
      <c r="P14">
        <v>3.7366108946429021E-2</v>
      </c>
      <c r="Q14">
        <f t="shared" si="4"/>
        <v>3.7197725906488177E-2</v>
      </c>
      <c r="R14">
        <v>0.98856034386958314</v>
      </c>
      <c r="S14">
        <v>4.2950247442181184E-2</v>
      </c>
      <c r="T14">
        <f t="shared" si="5"/>
        <v>4.2458911380726314E-2</v>
      </c>
      <c r="U14">
        <v>0.97315158346167951</v>
      </c>
      <c r="V14">
        <v>3.9449574080376477E-2</v>
      </c>
      <c r="W14">
        <f t="shared" si="6"/>
        <v>3.8390415483207201E-2</v>
      </c>
      <c r="X14">
        <v>0.98732373780967364</v>
      </c>
      <c r="Y14">
        <v>4.7549363968995048E-2</v>
      </c>
      <c r="Z14">
        <f t="shared" si="7"/>
        <v>4.694661576434081E-2</v>
      </c>
      <c r="AA14">
        <v>0.98588996876019763</v>
      </c>
      <c r="AB14">
        <v>4.7700562481971708E-2</v>
      </c>
      <c r="AC14">
        <f t="shared" si="8"/>
        <v>4.7027506055194943E-2</v>
      </c>
      <c r="AD14">
        <v>0.99469006039289465</v>
      </c>
      <c r="AE14">
        <v>3.6434896195912135E-2</v>
      </c>
      <c r="AF14">
        <f t="shared" si="9"/>
        <v>3.6241429097520692E-2</v>
      </c>
      <c r="AG14">
        <v>0.99469006039289465</v>
      </c>
      <c r="AH14">
        <v>3.6434896195912135E-2</v>
      </c>
      <c r="AI14">
        <f t="shared" si="10"/>
        <v>3.6241429097520692E-2</v>
      </c>
      <c r="AJ14">
        <v>0.99145529992388337</v>
      </c>
      <c r="AK14">
        <v>4.0162926857921659E-2</v>
      </c>
      <c r="AL14">
        <f t="shared" si="11"/>
        <v>3.9819746693741706E-2</v>
      </c>
      <c r="AM14">
        <v>0.99664600807621051</v>
      </c>
      <c r="AN14">
        <v>3.692609806962651E-2</v>
      </c>
      <c r="AO14">
        <f t="shared" si="12"/>
        <v>3.6802248234923923E-2</v>
      </c>
      <c r="AP14">
        <v>0.97872428082438689</v>
      </c>
      <c r="AQ14">
        <v>3.8490826956064685E-2</v>
      </c>
      <c r="AR14">
        <f t="shared" si="13"/>
        <v>3.7671906930910333E-2</v>
      </c>
      <c r="AS14">
        <v>0.99632149631606259</v>
      </c>
      <c r="AT14">
        <v>4.6103086912661143E-2</v>
      </c>
      <c r="AU14">
        <f t="shared" si="14"/>
        <v>4.5933496537612035E-2</v>
      </c>
      <c r="AV14">
        <v>0.99700601153397883</v>
      </c>
      <c r="AW14">
        <v>5.6810934246768155E-2</v>
      </c>
      <c r="AX14">
        <f t="shared" si="15"/>
        <v>5.6640842964889443E-2</v>
      </c>
      <c r="AY14">
        <v>0.99915638574836574</v>
      </c>
      <c r="AZ14">
        <v>4.7482848028700342E-2</v>
      </c>
      <c r="BA14">
        <f t="shared" si="16"/>
        <v>4.7442790821395145E-2</v>
      </c>
      <c r="BB14">
        <v>0.999490614783617</v>
      </c>
      <c r="BC14">
        <v>5.1582399838600503E-2</v>
      </c>
      <c r="BD14">
        <f t="shared" si="17"/>
        <v>5.155612452669716E-2</v>
      </c>
      <c r="BE14">
        <v>0.99661966705165306</v>
      </c>
      <c r="BF14">
        <v>5.3532055805714865E-2</v>
      </c>
      <c r="BG14">
        <f t="shared" si="18"/>
        <v>5.3351099633682057E-2</v>
      </c>
      <c r="BH14">
        <v>0.98066905442978136</v>
      </c>
      <c r="BI14">
        <v>4.0681925431079423E-2</v>
      </c>
      <c r="BJ14">
        <f t="shared" si="19"/>
        <v>3.9895505344879532E-2</v>
      </c>
      <c r="BK14">
        <v>0.99975278012101476</v>
      </c>
      <c r="BL14">
        <v>4.9999669342486397E-2</v>
      </c>
      <c r="BM14">
        <f t="shared" si="20"/>
        <v>4.9987308430282248E-2</v>
      </c>
      <c r="BN14">
        <v>0.99857980002231739</v>
      </c>
      <c r="BO14">
        <v>4.4135329937912637E-2</v>
      </c>
      <c r="BP14">
        <f t="shared" si="21"/>
        <v>4.4072648943319796E-2</v>
      </c>
      <c r="BQ14">
        <v>0.99810974592761437</v>
      </c>
      <c r="BR14">
        <v>4.401279783391817E-2</v>
      </c>
      <c r="BS14">
        <f t="shared" si="22"/>
        <v>4.3929602463575523E-2</v>
      </c>
      <c r="BT14">
        <f t="shared" si="23"/>
        <v>0.99180276256517419</v>
      </c>
    </row>
    <row r="15" spans="1:72" x14ac:dyDescent="0.3">
      <c r="A15" s="1">
        <v>13</v>
      </c>
      <c r="B15" s="1" t="s">
        <v>65</v>
      </c>
      <c r="C15">
        <v>0.99202481561438538</v>
      </c>
      <c r="D15">
        <v>4.1493609063568894E-2</v>
      </c>
      <c r="E15">
        <f t="shared" si="0"/>
        <v>4.1162689880462323E-2</v>
      </c>
      <c r="F15">
        <v>0.96294735635453532</v>
      </c>
      <c r="G15">
        <v>3.6080982186227274E-2</v>
      </c>
      <c r="H15">
        <f t="shared" si="1"/>
        <v>3.4744086410902639E-2</v>
      </c>
      <c r="I15">
        <v>0.95055134753595893</v>
      </c>
      <c r="J15">
        <v>3.9324234102775794E-2</v>
      </c>
      <c r="K15">
        <f t="shared" si="2"/>
        <v>3.7379703717213039E-2</v>
      </c>
      <c r="L15">
        <v>0.99395479855218061</v>
      </c>
      <c r="M15">
        <v>4.5294626074195793E-2</v>
      </c>
      <c r="N15">
        <f t="shared" si="3"/>
        <v>4.5020810935073624E-2</v>
      </c>
      <c r="O15">
        <v>0.98969417051554109</v>
      </c>
      <c r="P15">
        <v>3.7366108946429021E-2</v>
      </c>
      <c r="Q15">
        <f t="shared" si="4"/>
        <v>3.6981020199129411E-2</v>
      </c>
      <c r="R15">
        <v>0.98124275262593497</v>
      </c>
      <c r="S15">
        <v>4.2950247442181184E-2</v>
      </c>
      <c r="T15">
        <f t="shared" si="5"/>
        <v>4.214461902613089E-2</v>
      </c>
      <c r="U15">
        <v>0.95085273595752096</v>
      </c>
      <c r="V15">
        <v>3.9449574080376477E-2</v>
      </c>
      <c r="W15">
        <f t="shared" si="6"/>
        <v>3.751073544668488E-2</v>
      </c>
      <c r="X15">
        <v>0.99516205549222836</v>
      </c>
      <c r="Y15">
        <v>4.7549363968995048E-2</v>
      </c>
      <c r="Z15">
        <f t="shared" si="7"/>
        <v>4.7319322784733213E-2</v>
      </c>
      <c r="AA15">
        <v>0.99718602009067381</v>
      </c>
      <c r="AB15">
        <v>4.7700562481971708E-2</v>
      </c>
      <c r="AC15">
        <f t="shared" si="8"/>
        <v>4.7566334057483881E-2</v>
      </c>
      <c r="AD15">
        <v>0.98778509399751879</v>
      </c>
      <c r="AE15">
        <v>3.6434896195912135E-2</v>
      </c>
      <c r="AF15">
        <f t="shared" si="9"/>
        <v>3.5989847363668906E-2</v>
      </c>
      <c r="AG15">
        <v>0.98778509399751879</v>
      </c>
      <c r="AH15">
        <v>3.6434896195912135E-2</v>
      </c>
      <c r="AI15">
        <f t="shared" si="10"/>
        <v>3.5989847363668906E-2</v>
      </c>
      <c r="AJ15">
        <v>0.99830579222628724</v>
      </c>
      <c r="AK15">
        <v>4.0162926857921659E-2</v>
      </c>
      <c r="AL15">
        <f t="shared" si="11"/>
        <v>4.0094882515023911E-2</v>
      </c>
      <c r="AM15">
        <v>0.99128520715854973</v>
      </c>
      <c r="AN15">
        <v>3.692609806962651E-2</v>
      </c>
      <c r="AO15">
        <f t="shared" si="12"/>
        <v>3.6604294774506642E-2</v>
      </c>
      <c r="AP15">
        <v>0.99755897428854912</v>
      </c>
      <c r="AQ15">
        <v>3.8490826956064685E-2</v>
      </c>
      <c r="AR15">
        <f t="shared" si="13"/>
        <v>3.839686985780992E-2</v>
      </c>
      <c r="AS15">
        <v>0.99221933638780424</v>
      </c>
      <c r="AT15">
        <v>4.6103086912661143E-2</v>
      </c>
      <c r="AU15">
        <f t="shared" si="14"/>
        <v>4.5744374301909904E-2</v>
      </c>
      <c r="AV15">
        <v>0.99901004315426611</v>
      </c>
      <c r="AW15">
        <v>5.6810934246768155E-2</v>
      </c>
      <c r="AX15">
        <f t="shared" si="15"/>
        <v>5.6754693873498026E-2</v>
      </c>
      <c r="AY15">
        <v>0.99928286736858918</v>
      </c>
      <c r="AZ15">
        <v>4.7482848028700342E-2</v>
      </c>
      <c r="BA15">
        <f t="shared" si="16"/>
        <v>4.7448796528946638E-2</v>
      </c>
      <c r="BB15">
        <v>0.99942462155720302</v>
      </c>
      <c r="BC15">
        <v>5.1582399838600503E-2</v>
      </c>
      <c r="BD15">
        <f t="shared" si="17"/>
        <v>5.1552720437705639E-2</v>
      </c>
      <c r="BE15">
        <v>0.99427180694551454</v>
      </c>
      <c r="BF15">
        <v>5.3532055805714865E-2</v>
      </c>
      <c r="BG15">
        <f t="shared" si="18"/>
        <v>5.322541385545624E-2</v>
      </c>
      <c r="BH15">
        <v>0.96992764597004877</v>
      </c>
      <c r="BI15">
        <v>4.0681925431079423E-2</v>
      </c>
      <c r="BJ15">
        <f t="shared" si="19"/>
        <v>3.9458524166895929E-2</v>
      </c>
      <c r="BK15">
        <v>0.9994556520035488</v>
      </c>
      <c r="BL15">
        <v>4.9999669342486397E-2</v>
      </c>
      <c r="BM15">
        <f t="shared" si="20"/>
        <v>4.9972452122656594E-2</v>
      </c>
      <c r="BN15">
        <v>0.99854936716565279</v>
      </c>
      <c r="BO15">
        <v>4.4135329937912637E-2</v>
      </c>
      <c r="BP15">
        <f t="shared" si="21"/>
        <v>4.4071305779149951E-2</v>
      </c>
      <c r="BQ15">
        <v>0.99621154961122715</v>
      </c>
      <c r="BR15">
        <v>4.401279783391817E-2</v>
      </c>
      <c r="BS15">
        <f t="shared" si="22"/>
        <v>4.3846057532853283E-2</v>
      </c>
      <c r="BT15">
        <f t="shared" si="23"/>
        <v>0.98897940293156439</v>
      </c>
    </row>
    <row r="16" spans="1:72" x14ac:dyDescent="0.3">
      <c r="A16" s="1">
        <v>14</v>
      </c>
      <c r="B16" s="1" t="s">
        <v>64</v>
      </c>
      <c r="C16">
        <v>0.98884328880571171</v>
      </c>
      <c r="D16">
        <v>4.1493609063568894E-2</v>
      </c>
      <c r="E16">
        <f t="shared" si="0"/>
        <v>4.1030676850837951E-2</v>
      </c>
      <c r="F16">
        <v>0.96426668478133959</v>
      </c>
      <c r="G16">
        <v>3.6080982186227274E-2</v>
      </c>
      <c r="H16">
        <f t="shared" si="1"/>
        <v>3.4791689076367947E-2</v>
      </c>
      <c r="I16">
        <v>0.93559428340164841</v>
      </c>
      <c r="J16">
        <v>3.9324234102775794E-2</v>
      </c>
      <c r="K16">
        <f t="shared" si="2"/>
        <v>3.6791528625705186E-2</v>
      </c>
      <c r="L16">
        <v>0.99237471667062105</v>
      </c>
      <c r="M16">
        <v>4.5294626074195793E-2</v>
      </c>
      <c r="N16">
        <f t="shared" si="3"/>
        <v>4.4949241717081777E-2</v>
      </c>
      <c r="O16">
        <v>0.98235051803769813</v>
      </c>
      <c r="P16">
        <v>3.7366108946429021E-2</v>
      </c>
      <c r="Q16">
        <f t="shared" si="4"/>
        <v>3.6706616480577617E-2</v>
      </c>
      <c r="R16">
        <v>0.97024385875163943</v>
      </c>
      <c r="S16">
        <v>4.2950247442181184E-2</v>
      </c>
      <c r="T16">
        <f t="shared" si="5"/>
        <v>4.1672213812639601E-2</v>
      </c>
      <c r="U16">
        <v>0.93441140721211491</v>
      </c>
      <c r="V16">
        <v>3.9449574080376477E-2</v>
      </c>
      <c r="W16">
        <f t="shared" si="6"/>
        <v>3.6862132030363155E-2</v>
      </c>
      <c r="X16">
        <v>0.98837093333828507</v>
      </c>
      <c r="Y16">
        <v>4.7549363968995048E-2</v>
      </c>
      <c r="Z16">
        <f t="shared" si="7"/>
        <v>4.699640924567746E-2</v>
      </c>
      <c r="AA16">
        <v>0.99124329855990145</v>
      </c>
      <c r="AB16">
        <v>4.7700562481971708E-2</v>
      </c>
      <c r="AC16">
        <f t="shared" si="8"/>
        <v>4.7282862897792315E-2</v>
      </c>
      <c r="AD16">
        <v>0.97068286232328604</v>
      </c>
      <c r="AE16">
        <v>3.6434896195912135E-2</v>
      </c>
      <c r="AF16">
        <f t="shared" si="9"/>
        <v>3.5366729327899797E-2</v>
      </c>
      <c r="AG16">
        <v>0.97068286232328604</v>
      </c>
      <c r="AH16">
        <v>3.6434896195912135E-2</v>
      </c>
      <c r="AI16">
        <f t="shared" si="10"/>
        <v>3.5366729327899797E-2</v>
      </c>
      <c r="AJ16">
        <v>0.96903773909200286</v>
      </c>
      <c r="AK16">
        <v>4.0162926857921659E-2</v>
      </c>
      <c r="AL16">
        <f t="shared" si="11"/>
        <v>3.8919391837717886E-2</v>
      </c>
      <c r="AM16">
        <v>0.98848638775146336</v>
      </c>
      <c r="AN16">
        <v>3.692609806962651E-2</v>
      </c>
      <c r="AO16">
        <f t="shared" si="12"/>
        <v>3.6500945294601392E-2</v>
      </c>
      <c r="AP16">
        <v>0.9958698256949714</v>
      </c>
      <c r="AQ16">
        <v>3.8490826956064685E-2</v>
      </c>
      <c r="AR16">
        <f t="shared" si="13"/>
        <v>3.8331853131591445E-2</v>
      </c>
      <c r="AS16">
        <v>0.98434206265100044</v>
      </c>
      <c r="AT16">
        <v>4.6103086912661143E-2</v>
      </c>
      <c r="AU16">
        <f t="shared" si="14"/>
        <v>4.5381207666187209E-2</v>
      </c>
      <c r="AV16">
        <v>0.99863256952413648</v>
      </c>
      <c r="AW16">
        <v>5.6810934246768155E-2</v>
      </c>
      <c r="AX16">
        <f t="shared" si="15"/>
        <v>5.6733249243916845E-2</v>
      </c>
      <c r="AY16">
        <v>0.99749699530505065</v>
      </c>
      <c r="AZ16">
        <v>4.7482848028700342E-2</v>
      </c>
      <c r="BA16">
        <f t="shared" si="16"/>
        <v>4.7363998237154939E-2</v>
      </c>
      <c r="BB16">
        <v>0.99797947301315271</v>
      </c>
      <c r="BC16">
        <v>5.1582399838600503E-2</v>
      </c>
      <c r="BD16">
        <f t="shared" si="17"/>
        <v>5.1478176207680262E-2</v>
      </c>
      <c r="BE16">
        <v>0.99814982706271516</v>
      </c>
      <c r="BF16">
        <v>5.3532055805714865E-2</v>
      </c>
      <c r="BG16">
        <f t="shared" si="18"/>
        <v>5.3433012244785909E-2</v>
      </c>
      <c r="BH16">
        <v>0.98548272076793031</v>
      </c>
      <c r="BI16">
        <v>4.0681925431079423E-2</v>
      </c>
      <c r="BJ16">
        <f t="shared" si="19"/>
        <v>4.0091334559898203E-2</v>
      </c>
      <c r="BK16">
        <v>0.99881868360173132</v>
      </c>
      <c r="BL16">
        <v>4.9999669342486397E-2</v>
      </c>
      <c r="BM16">
        <f t="shared" si="20"/>
        <v>4.9940603913184105E-2</v>
      </c>
      <c r="BN16">
        <v>0.99412984009224536</v>
      </c>
      <c r="BO16">
        <v>4.4135329937912637E-2</v>
      </c>
      <c r="BP16">
        <f t="shared" si="21"/>
        <v>4.3876248493595581E-2</v>
      </c>
      <c r="BQ16">
        <v>0.98606930402115811</v>
      </c>
      <c r="BR16">
        <v>4.401279783391817E-2</v>
      </c>
      <c r="BS16">
        <f t="shared" si="22"/>
        <v>4.3399668928115628E-2</v>
      </c>
      <c r="BT16">
        <f t="shared" si="23"/>
        <v>0.98326651915127217</v>
      </c>
    </row>
    <row r="17" spans="1:72" x14ac:dyDescent="0.3">
      <c r="A17" s="1">
        <v>15</v>
      </c>
      <c r="B17" s="1" t="s">
        <v>63</v>
      </c>
      <c r="C17">
        <v>0.99493372433153304</v>
      </c>
      <c r="D17">
        <v>4.1493609063568894E-2</v>
      </c>
      <c r="E17">
        <f t="shared" si="0"/>
        <v>4.1283391001573258E-2</v>
      </c>
      <c r="F17">
        <v>0.99000048824704456</v>
      </c>
      <c r="G17">
        <v>3.6080982186227274E-2</v>
      </c>
      <c r="H17">
        <f t="shared" si="1"/>
        <v>3.5720189980797921E-2</v>
      </c>
      <c r="I17">
        <v>0.99025623418795883</v>
      </c>
      <c r="J17">
        <v>3.9324234102775794E-2</v>
      </c>
      <c r="K17">
        <f t="shared" si="2"/>
        <v>3.8941067974940465E-2</v>
      </c>
      <c r="L17">
        <v>0.99757182305102199</v>
      </c>
      <c r="M17">
        <v>4.5294626074195793E-2</v>
      </c>
      <c r="N17">
        <f t="shared" si="3"/>
        <v>4.5184642707249853E-2</v>
      </c>
      <c r="O17">
        <v>0.99331544126825611</v>
      </c>
      <c r="P17">
        <v>3.7366108946429021E-2</v>
      </c>
      <c r="Q17">
        <f t="shared" si="4"/>
        <v>3.7116332996599874E-2</v>
      </c>
      <c r="R17">
        <v>0.99653814070537905</v>
      </c>
      <c r="S17">
        <v>4.2950247442181184E-2</v>
      </c>
      <c r="T17">
        <f t="shared" si="5"/>
        <v>4.2801559728867199E-2</v>
      </c>
      <c r="U17">
        <v>0.99091421884166819</v>
      </c>
      <c r="V17">
        <v>3.9449574080376477E-2</v>
      </c>
      <c r="W17">
        <f t="shared" si="6"/>
        <v>3.9091143883492781E-2</v>
      </c>
      <c r="X17">
        <v>0.9982720450157806</v>
      </c>
      <c r="Y17">
        <v>4.7549363968995048E-2</v>
      </c>
      <c r="Z17">
        <f t="shared" si="7"/>
        <v>4.7467200808528363E-2</v>
      </c>
      <c r="AA17">
        <v>0.99826073322984121</v>
      </c>
      <c r="AB17">
        <v>4.7700562481971708E-2</v>
      </c>
      <c r="AC17">
        <f t="shared" si="8"/>
        <v>4.7617598478728929E-2</v>
      </c>
      <c r="AD17">
        <v>0.99749839815685792</v>
      </c>
      <c r="AE17">
        <v>3.6434896195912135E-2</v>
      </c>
      <c r="AF17">
        <f t="shared" si="9"/>
        <v>3.6343750592433749E-2</v>
      </c>
      <c r="AG17">
        <v>0.99749839815685792</v>
      </c>
      <c r="AH17">
        <v>3.6434896195912135E-2</v>
      </c>
      <c r="AI17">
        <f t="shared" si="10"/>
        <v>3.6343750592433749E-2</v>
      </c>
      <c r="AJ17">
        <v>0.99362830554668891</v>
      </c>
      <c r="AK17">
        <v>4.0162926857921659E-2</v>
      </c>
      <c r="AL17">
        <f t="shared" si="11"/>
        <v>3.9907020959632299E-2</v>
      </c>
      <c r="AM17">
        <v>0.99317417112475426</v>
      </c>
      <c r="AN17">
        <v>3.692609806962651E-2</v>
      </c>
      <c r="AO17">
        <f t="shared" si="12"/>
        <v>3.66740468431727E-2</v>
      </c>
      <c r="AP17">
        <v>0.99599685516237457</v>
      </c>
      <c r="AQ17">
        <v>3.8490826956064685E-2</v>
      </c>
      <c r="AR17">
        <f t="shared" si="13"/>
        <v>3.833674260083958E-2</v>
      </c>
      <c r="AS17">
        <v>0.9968932614704229</v>
      </c>
      <c r="AT17">
        <v>4.6103086912661143E-2</v>
      </c>
      <c r="AU17">
        <f t="shared" si="14"/>
        <v>4.5959856676217138E-2</v>
      </c>
      <c r="AV17">
        <v>0.99944697028334639</v>
      </c>
      <c r="AW17">
        <v>5.6810934246768155E-2</v>
      </c>
      <c r="AX17">
        <f t="shared" si="15"/>
        <v>5.677951611189884E-2</v>
      </c>
      <c r="AY17">
        <v>0.99955519621596045</v>
      </c>
      <c r="AZ17">
        <v>4.7482848028700342E-2</v>
      </c>
      <c r="BA17">
        <f t="shared" si="16"/>
        <v>4.7461727478220202E-2</v>
      </c>
      <c r="BB17">
        <v>0.99936636191200934</v>
      </c>
      <c r="BC17">
        <v>5.1582399838600503E-2</v>
      </c>
      <c r="BD17">
        <f t="shared" si="17"/>
        <v>5.1549715265392801E-2</v>
      </c>
      <c r="BE17">
        <v>0.99946582752506674</v>
      </c>
      <c r="BF17">
        <v>5.3532055805714865E-2</v>
      </c>
      <c r="BG17">
        <f t="shared" si="18"/>
        <v>5.3503460454976857E-2</v>
      </c>
      <c r="BH17">
        <v>0.99854939384469921</v>
      </c>
      <c r="BI17">
        <v>4.0681925431079423E-2</v>
      </c>
      <c r="BJ17">
        <f t="shared" si="19"/>
        <v>4.062291197963961E-2</v>
      </c>
      <c r="BK17">
        <v>0.99981452705792562</v>
      </c>
      <c r="BL17">
        <v>4.9999669342486397E-2</v>
      </c>
      <c r="BM17">
        <f t="shared" si="20"/>
        <v>4.9990395756710701E-2</v>
      </c>
      <c r="BN17">
        <v>0.99791027717569569</v>
      </c>
      <c r="BO17">
        <v>4.4135329937912637E-2</v>
      </c>
      <c r="BP17">
        <f t="shared" si="21"/>
        <v>4.404309933158318E-2</v>
      </c>
      <c r="BQ17">
        <v>0.99340793747865519</v>
      </c>
      <c r="BR17">
        <v>4.401279783391817E-2</v>
      </c>
      <c r="BS17">
        <f t="shared" si="22"/>
        <v>4.372266271885767E-2</v>
      </c>
      <c r="BT17">
        <f t="shared" si="23"/>
        <v>0.99646178492278759</v>
      </c>
    </row>
    <row r="18" spans="1:72" x14ac:dyDescent="0.3">
      <c r="A18" s="1">
        <v>16</v>
      </c>
      <c r="B18" s="1" t="s">
        <v>62</v>
      </c>
      <c r="C18">
        <v>0.92983841852034688</v>
      </c>
      <c r="D18">
        <v>4.1493609063568894E-2</v>
      </c>
      <c r="E18">
        <f t="shared" si="0"/>
        <v>3.8582351830370433E-2</v>
      </c>
      <c r="F18">
        <v>0.93844372315968017</v>
      </c>
      <c r="G18">
        <v>3.6080982186227274E-2</v>
      </c>
      <c r="H18">
        <f t="shared" si="1"/>
        <v>3.3859971258101217E-2</v>
      </c>
      <c r="I18">
        <v>0.92473995845473078</v>
      </c>
      <c r="J18">
        <v>3.9324234102775794E-2</v>
      </c>
      <c r="K18">
        <f t="shared" si="2"/>
        <v>3.6364690610464996E-2</v>
      </c>
      <c r="L18">
        <v>0.99061037603929503</v>
      </c>
      <c r="M18">
        <v>4.5294626074195793E-2</v>
      </c>
      <c r="N18">
        <f t="shared" si="3"/>
        <v>4.4869326567918352E-2</v>
      </c>
      <c r="O18">
        <v>0.99605292722506555</v>
      </c>
      <c r="P18">
        <v>3.7366108946429021E-2</v>
      </c>
      <c r="Q18">
        <f t="shared" si="4"/>
        <v>3.7218622195101338E-2</v>
      </c>
      <c r="R18">
        <v>0.97527276853557676</v>
      </c>
      <c r="S18">
        <v>4.2950247442181184E-2</v>
      </c>
      <c r="T18">
        <f t="shared" si="5"/>
        <v>4.1888206732224119E-2</v>
      </c>
      <c r="U18">
        <v>0.92857135518181322</v>
      </c>
      <c r="V18">
        <v>3.9449574080376477E-2</v>
      </c>
      <c r="W18">
        <f t="shared" si="6"/>
        <v>3.6631744465160522E-2</v>
      </c>
      <c r="X18">
        <v>0.99218010145801727</v>
      </c>
      <c r="Y18">
        <v>4.7549363968995048E-2</v>
      </c>
      <c r="Z18">
        <f t="shared" si="7"/>
        <v>4.7177532767021697E-2</v>
      </c>
      <c r="AA18">
        <v>0.99297049181219932</v>
      </c>
      <c r="AB18">
        <v>4.7700562481971708E-2</v>
      </c>
      <c r="AC18">
        <f t="shared" si="8"/>
        <v>4.7365250987441987E-2</v>
      </c>
      <c r="AD18">
        <v>0.9660818235109675</v>
      </c>
      <c r="AE18">
        <v>3.6434896195912135E-2</v>
      </c>
      <c r="AF18">
        <f t="shared" si="9"/>
        <v>3.519909095637961E-2</v>
      </c>
      <c r="AG18">
        <v>0.9660818235109675</v>
      </c>
      <c r="AH18">
        <v>3.6434896195912135E-2</v>
      </c>
      <c r="AI18">
        <f t="shared" si="10"/>
        <v>3.519909095637961E-2</v>
      </c>
      <c r="AJ18">
        <v>0.98865617403687966</v>
      </c>
      <c r="AK18">
        <v>4.0162926857921659E-2</v>
      </c>
      <c r="AL18">
        <f t="shared" si="11"/>
        <v>3.9707325605475866E-2</v>
      </c>
      <c r="AM18">
        <v>0.98442915179893498</v>
      </c>
      <c r="AN18">
        <v>3.692609806962651E-2</v>
      </c>
      <c r="AO18">
        <f t="shared" si="12"/>
        <v>3.6351127401926718E-2</v>
      </c>
      <c r="AP18">
        <v>0.97160376419210981</v>
      </c>
      <c r="AQ18">
        <v>3.8490826956064685E-2</v>
      </c>
      <c r="AR18">
        <f t="shared" si="13"/>
        <v>3.7397832357379576E-2</v>
      </c>
      <c r="AS18">
        <v>0.9822410364057379</v>
      </c>
      <c r="AT18">
        <v>4.6103086912661143E-2</v>
      </c>
      <c r="AU18">
        <f t="shared" si="14"/>
        <v>4.5284343870596093E-2</v>
      </c>
      <c r="AV18">
        <v>0.99534860503021472</v>
      </c>
      <c r="AW18">
        <v>5.6810934246768155E-2</v>
      </c>
      <c r="AX18">
        <f t="shared" si="15"/>
        <v>5.6546684152983938E-2</v>
      </c>
      <c r="AY18">
        <v>0.99275060608297916</v>
      </c>
      <c r="AZ18">
        <v>4.7482848028700342E-2</v>
      </c>
      <c r="BA18">
        <f t="shared" si="16"/>
        <v>4.7138626159038258E-2</v>
      </c>
      <c r="BB18">
        <v>0.99725096966219207</v>
      </c>
      <c r="BC18">
        <v>5.1582399838600503E-2</v>
      </c>
      <c r="BD18">
        <f t="shared" si="17"/>
        <v>5.1440598256547253E-2</v>
      </c>
      <c r="BE18">
        <v>0.99845037093905509</v>
      </c>
      <c r="BF18">
        <v>5.3532055805714865E-2</v>
      </c>
      <c r="BG18">
        <f t="shared" si="18"/>
        <v>5.3449100976346205E-2</v>
      </c>
      <c r="BH18">
        <v>0.99565298911083866</v>
      </c>
      <c r="BI18">
        <v>4.0681925431079423E-2</v>
      </c>
      <c r="BJ18">
        <f t="shared" si="19"/>
        <v>4.050508065823847E-2</v>
      </c>
      <c r="BK18">
        <v>0.99602382224681785</v>
      </c>
      <c r="BL18">
        <v>4.9999669342486397E-2</v>
      </c>
      <c r="BM18">
        <f t="shared" si="20"/>
        <v>4.9800861769580339E-2</v>
      </c>
      <c r="BN18">
        <v>0.97069654046048293</v>
      </c>
      <c r="BO18">
        <v>4.4135329937912637E-2</v>
      </c>
      <c r="BP18">
        <f t="shared" si="21"/>
        <v>4.2842012082813775E-2</v>
      </c>
      <c r="BQ18">
        <v>0.97448951226679581</v>
      </c>
      <c r="BR18">
        <v>4.401279783391817E-2</v>
      </c>
      <c r="BS18">
        <f t="shared" si="22"/>
        <v>4.2890009894672003E-2</v>
      </c>
      <c r="BT18">
        <f t="shared" si="23"/>
        <v>0.97770948251216239</v>
      </c>
    </row>
    <row r="19" spans="1:72" x14ac:dyDescent="0.3">
      <c r="A19" s="1">
        <v>17</v>
      </c>
      <c r="B19" s="1" t="s">
        <v>61</v>
      </c>
      <c r="C19">
        <v>0.98436940488207425</v>
      </c>
      <c r="D19">
        <v>4.1493609063568894E-2</v>
      </c>
      <c r="E19">
        <f t="shared" si="0"/>
        <v>4.0845039260314756E-2</v>
      </c>
      <c r="F19">
        <v>0.96876280321733577</v>
      </c>
      <c r="G19">
        <v>3.6080982186227274E-2</v>
      </c>
      <c r="H19">
        <f t="shared" si="1"/>
        <v>3.495391344556429E-2</v>
      </c>
      <c r="I19">
        <v>0.959119340032492</v>
      </c>
      <c r="J19">
        <v>3.9324234102775794E-2</v>
      </c>
      <c r="K19">
        <f t="shared" si="2"/>
        <v>3.7716633459937532E-2</v>
      </c>
      <c r="L19">
        <v>0.98881827039088099</v>
      </c>
      <c r="M19">
        <v>4.5294626074195793E-2</v>
      </c>
      <c r="N19">
        <f t="shared" si="3"/>
        <v>4.4788153812687984E-2</v>
      </c>
      <c r="O19">
        <v>0.98312320559231059</v>
      </c>
      <c r="P19">
        <v>3.7366108946429021E-2</v>
      </c>
      <c r="Q19">
        <f t="shared" si="4"/>
        <v>3.6735488807924814E-2</v>
      </c>
      <c r="R19">
        <v>0.98082168400253389</v>
      </c>
      <c r="S19">
        <v>4.2950247442181184E-2</v>
      </c>
      <c r="T19">
        <f t="shared" si="5"/>
        <v>4.2126534024565676E-2</v>
      </c>
      <c r="U19">
        <v>0.95842507646830966</v>
      </c>
      <c r="V19">
        <v>3.9449574080376477E-2</v>
      </c>
      <c r="W19">
        <f t="shared" si="6"/>
        <v>3.7809461054627069E-2</v>
      </c>
      <c r="X19">
        <v>0.99149709576575407</v>
      </c>
      <c r="Y19">
        <v>4.7549363968995048E-2</v>
      </c>
      <c r="Z19">
        <f t="shared" si="7"/>
        <v>4.7145056280767379E-2</v>
      </c>
      <c r="AA19">
        <v>0.99313884086406257</v>
      </c>
      <c r="AB19">
        <v>4.7700562481971708E-2</v>
      </c>
      <c r="AC19">
        <f t="shared" si="8"/>
        <v>4.737328133190917E-2</v>
      </c>
      <c r="AD19">
        <v>0.99028669584066087</v>
      </c>
      <c r="AE19">
        <v>3.6434896195912135E-2</v>
      </c>
      <c r="AF19">
        <f t="shared" si="9"/>
        <v>3.6080992967147292E-2</v>
      </c>
      <c r="AG19">
        <v>0.99028669584066087</v>
      </c>
      <c r="AH19">
        <v>3.6434896195912135E-2</v>
      </c>
      <c r="AI19">
        <f t="shared" si="10"/>
        <v>3.6080992967147292E-2</v>
      </c>
      <c r="AJ19">
        <v>0.99653792324502177</v>
      </c>
      <c r="AK19">
        <v>4.0162926857921659E-2</v>
      </c>
      <c r="AL19">
        <f t="shared" si="11"/>
        <v>4.0023879722434957E-2</v>
      </c>
      <c r="AM19">
        <v>0.99393289414379082</v>
      </c>
      <c r="AN19">
        <v>3.692609806962651E-2</v>
      </c>
      <c r="AO19">
        <f t="shared" si="12"/>
        <v>3.6702063523781324E-2</v>
      </c>
      <c r="AP19">
        <v>0.99398154982816689</v>
      </c>
      <c r="AQ19">
        <v>3.8490826956064685E-2</v>
      </c>
      <c r="AR19">
        <f t="shared" si="13"/>
        <v>3.8259171831956956E-2</v>
      </c>
      <c r="AS19">
        <v>0.98810089734304862</v>
      </c>
      <c r="AT19">
        <v>4.6103086912661143E-2</v>
      </c>
      <c r="AU19">
        <f t="shared" si="14"/>
        <v>4.5554501548685039E-2</v>
      </c>
      <c r="AV19">
        <v>0.99795334134272928</v>
      </c>
      <c r="AW19">
        <v>5.6810934246768155E-2</v>
      </c>
      <c r="AX19">
        <f t="shared" si="15"/>
        <v>5.6694661656364366E-2</v>
      </c>
      <c r="AY19">
        <v>0.99846890670255761</v>
      </c>
      <c r="AZ19">
        <v>4.7482848028700342E-2</v>
      </c>
      <c r="BA19">
        <f t="shared" si="16"/>
        <v>4.7410147358340121E-2</v>
      </c>
      <c r="BB19">
        <v>0.99747833695007149</v>
      </c>
      <c r="BC19">
        <v>5.1582399838600503E-2</v>
      </c>
      <c r="BD19">
        <f t="shared" si="17"/>
        <v>5.1452326406900867E-2</v>
      </c>
      <c r="BE19">
        <v>0.99607905599329405</v>
      </c>
      <c r="BF19">
        <v>5.3532055805714865E-2</v>
      </c>
      <c r="BG19">
        <f t="shared" si="18"/>
        <v>5.33221596123368E-2</v>
      </c>
      <c r="BH19">
        <v>0.98281451567670652</v>
      </c>
      <c r="BI19">
        <v>4.0681925431079423E-2</v>
      </c>
      <c r="BJ19">
        <f t="shared" si="19"/>
        <v>3.9982786839342213E-2</v>
      </c>
      <c r="BK19">
        <v>0.9987167779426942</v>
      </c>
      <c r="BL19">
        <v>4.9999669342486397E-2</v>
      </c>
      <c r="BM19">
        <f t="shared" si="20"/>
        <v>4.9935508663928124E-2</v>
      </c>
      <c r="BN19">
        <v>0.98997406444326475</v>
      </c>
      <c r="BO19">
        <v>4.4135329937912637E-2</v>
      </c>
      <c r="BP19">
        <f t="shared" si="21"/>
        <v>4.3692831964179876E-2</v>
      </c>
      <c r="BQ19">
        <v>0.98086713420009686</v>
      </c>
      <c r="BR19">
        <v>4.401279783391817E-2</v>
      </c>
      <c r="BS19">
        <f t="shared" si="22"/>
        <v>4.3170706879483545E-2</v>
      </c>
      <c r="BT19">
        <f t="shared" si="23"/>
        <v>0.98785629342032744</v>
      </c>
    </row>
    <row r="20" spans="1:72" x14ac:dyDescent="0.3">
      <c r="A20" s="1">
        <v>18</v>
      </c>
      <c r="B20" s="1" t="s">
        <v>60</v>
      </c>
      <c r="C20">
        <v>0.72822923497469072</v>
      </c>
      <c r="D20">
        <v>4.1493609063568894E-2</v>
      </c>
      <c r="E20">
        <f t="shared" si="0"/>
        <v>3.0216859184701669E-2</v>
      </c>
      <c r="F20">
        <v>0.56789605857266279</v>
      </c>
      <c r="G20">
        <v>3.6080982186227274E-2</v>
      </c>
      <c r="H20">
        <f t="shared" si="1"/>
        <v>2.0490247572988927E-2</v>
      </c>
      <c r="I20">
        <v>0.58268007265626953</v>
      </c>
      <c r="J20">
        <v>3.9324234102775794E-2</v>
      </c>
      <c r="K20">
        <f t="shared" si="2"/>
        <v>2.2913447584157552E-2</v>
      </c>
      <c r="L20">
        <v>0.87346724485211347</v>
      </c>
      <c r="M20">
        <v>4.5294626074195793E-2</v>
      </c>
      <c r="N20">
        <f t="shared" si="3"/>
        <v>3.9563372243634501E-2</v>
      </c>
      <c r="O20">
        <v>0.72766570964923227</v>
      </c>
      <c r="P20">
        <v>3.7366108946429021E-2</v>
      </c>
      <c r="Q20">
        <f t="shared" si="4"/>
        <v>2.71900361833338E-2</v>
      </c>
      <c r="R20">
        <v>0.77059543698529875</v>
      </c>
      <c r="S20">
        <v>4.2950247442181184E-2</v>
      </c>
      <c r="T20">
        <f t="shared" si="5"/>
        <v>3.3097264696334318E-2</v>
      </c>
      <c r="U20">
        <v>0.57795966007691524</v>
      </c>
      <c r="V20">
        <v>3.9449574080376477E-2</v>
      </c>
      <c r="W20">
        <f t="shared" si="6"/>
        <v>2.2800262425673474E-2</v>
      </c>
      <c r="X20">
        <v>0.89435784287005549</v>
      </c>
      <c r="Y20">
        <v>4.7549363968995048E-2</v>
      </c>
      <c r="Z20">
        <f t="shared" si="7"/>
        <v>4.2526146589153553E-2</v>
      </c>
      <c r="AA20">
        <v>0.91032811230208144</v>
      </c>
      <c r="AB20">
        <v>4.7700562481971708E-2</v>
      </c>
      <c r="AC20">
        <f t="shared" si="8"/>
        <v>4.3423162999960796E-2</v>
      </c>
      <c r="AD20">
        <v>0.81924393003694462</v>
      </c>
      <c r="AE20">
        <v>3.6434896195912135E-2</v>
      </c>
      <c r="AF20">
        <f t="shared" si="9"/>
        <v>2.984906755002718E-2</v>
      </c>
      <c r="AG20">
        <v>0.81924393003694462</v>
      </c>
      <c r="AH20">
        <v>3.6434896195912135E-2</v>
      </c>
      <c r="AI20">
        <f t="shared" si="10"/>
        <v>2.984906755002718E-2</v>
      </c>
      <c r="AJ20">
        <v>0.79560242590910202</v>
      </c>
      <c r="AK20">
        <v>4.0162926857921659E-2</v>
      </c>
      <c r="AL20">
        <f t="shared" si="11"/>
        <v>3.19537220397723E-2</v>
      </c>
      <c r="AM20">
        <v>0.88535285785670503</v>
      </c>
      <c r="AN20">
        <v>3.692609806962651E-2</v>
      </c>
      <c r="AO20">
        <f t="shared" si="12"/>
        <v>3.2692626455440792E-2</v>
      </c>
      <c r="AP20">
        <v>0.86508097270239748</v>
      </c>
      <c r="AQ20">
        <v>3.8490826956064685E-2</v>
      </c>
      <c r="AR20">
        <f t="shared" si="13"/>
        <v>3.3297682023272102E-2</v>
      </c>
      <c r="AS20">
        <v>0.83893615130902066</v>
      </c>
      <c r="AT20">
        <v>4.6103086912661143E-2</v>
      </c>
      <c r="AU20">
        <f t="shared" si="14"/>
        <v>3.8677546297973216E-2</v>
      </c>
      <c r="AV20">
        <v>0.97689390242671237</v>
      </c>
      <c r="AW20">
        <v>5.6810934246768155E-2</v>
      </c>
      <c r="AX20">
        <f t="shared" si="15"/>
        <v>5.5498255256832704E-2</v>
      </c>
      <c r="AY20">
        <v>0.94663504424436007</v>
      </c>
      <c r="AZ20">
        <v>4.7482848028700342E-2</v>
      </c>
      <c r="BA20">
        <f t="shared" si="16"/>
        <v>4.4948927944496973E-2</v>
      </c>
      <c r="BB20">
        <v>0.97167086084554855</v>
      </c>
      <c r="BC20">
        <v>5.1582399838600503E-2</v>
      </c>
      <c r="BD20">
        <f t="shared" si="17"/>
        <v>5.0121114855652238E-2</v>
      </c>
      <c r="BE20">
        <v>0.91936402432312858</v>
      </c>
      <c r="BF20">
        <v>5.3532055805714865E-2</v>
      </c>
      <c r="BG20">
        <f t="shared" si="18"/>
        <v>4.9215446255832317E-2</v>
      </c>
      <c r="BH20">
        <v>0.7729737265931107</v>
      </c>
      <c r="BI20">
        <v>4.0681925431079423E-2</v>
      </c>
      <c r="BJ20">
        <f t="shared" si="19"/>
        <v>3.1446059505444504E-2</v>
      </c>
      <c r="BK20">
        <v>0.95050170546896795</v>
      </c>
      <c r="BL20">
        <v>4.9999669342486397E-2</v>
      </c>
      <c r="BM20">
        <f t="shared" si="20"/>
        <v>4.752477098291779E-2</v>
      </c>
      <c r="BN20">
        <v>0.79514629750484389</v>
      </c>
      <c r="BO20">
        <v>4.4135329937912637E-2</v>
      </c>
      <c r="BP20">
        <f t="shared" si="21"/>
        <v>3.5094044189285925E-2</v>
      </c>
      <c r="BQ20">
        <v>0.84787425839296637</v>
      </c>
      <c r="BR20">
        <v>4.401279783391817E-2</v>
      </c>
      <c r="BS20">
        <f t="shared" si="22"/>
        <v>3.7317318323232922E-2</v>
      </c>
      <c r="BT20">
        <f t="shared" si="23"/>
        <v>0.82970644871014687</v>
      </c>
    </row>
    <row r="21" spans="1:72" x14ac:dyDescent="0.3">
      <c r="A21" s="1">
        <v>19</v>
      </c>
      <c r="B21" s="1" t="s">
        <v>59</v>
      </c>
      <c r="C21">
        <v>0.62868679128506277</v>
      </c>
      <c r="D21">
        <v>4.1493609063568894E-2</v>
      </c>
      <c r="E21">
        <f t="shared" si="0"/>
        <v>2.6086483941011925E-2</v>
      </c>
      <c r="F21">
        <v>0</v>
      </c>
      <c r="G21">
        <v>3.6080982186227274E-2</v>
      </c>
      <c r="H21">
        <f t="shared" si="1"/>
        <v>0</v>
      </c>
      <c r="I21">
        <v>0.34678599583012859</v>
      </c>
      <c r="J21">
        <v>3.9324234102775794E-2</v>
      </c>
      <c r="K21">
        <f t="shared" si="2"/>
        <v>1.3637093683588206E-2</v>
      </c>
      <c r="L21">
        <v>0.32177383121898523</v>
      </c>
      <c r="M21">
        <v>4.5294626074195793E-2</v>
      </c>
      <c r="N21">
        <f t="shared" si="3"/>
        <v>1.4574625365525324E-2</v>
      </c>
      <c r="O21">
        <v>0.51597054050680313</v>
      </c>
      <c r="P21">
        <v>3.7366108946429021E-2</v>
      </c>
      <c r="Q21">
        <f t="shared" si="4"/>
        <v>1.9279811429725072E-2</v>
      </c>
      <c r="R21">
        <v>0.55676291070016026</v>
      </c>
      <c r="S21">
        <v>4.2950247442181184E-2</v>
      </c>
      <c r="T21">
        <f t="shared" si="5"/>
        <v>2.3913104781200911E-2</v>
      </c>
      <c r="U21">
        <v>0.34402160120582076</v>
      </c>
      <c r="V21">
        <v>3.9449574080376477E-2</v>
      </c>
      <c r="W21">
        <f t="shared" si="6"/>
        <v>1.357150564201876E-2</v>
      </c>
      <c r="X21">
        <v>0.80813290413241656</v>
      </c>
      <c r="Y21">
        <v>4.7549363968995048E-2</v>
      </c>
      <c r="Z21">
        <f t="shared" si="7"/>
        <v>3.8426205593913257E-2</v>
      </c>
      <c r="AA21">
        <v>0.80987882439306336</v>
      </c>
      <c r="AB21">
        <v>4.7700562481971708E-2</v>
      </c>
      <c r="AC21">
        <f t="shared" si="8"/>
        <v>3.8631675465787108E-2</v>
      </c>
      <c r="AD21">
        <v>0.8113165105721647</v>
      </c>
      <c r="AE21">
        <v>3.6434896195912135E-2</v>
      </c>
      <c r="AF21">
        <f t="shared" si="9"/>
        <v>2.9560232844726472E-2</v>
      </c>
      <c r="AG21">
        <v>0.8113165105721647</v>
      </c>
      <c r="AH21">
        <v>3.6434896195912135E-2</v>
      </c>
      <c r="AI21">
        <f t="shared" si="10"/>
        <v>2.9560232844726472E-2</v>
      </c>
      <c r="AJ21">
        <v>0.81458246372185528</v>
      </c>
      <c r="AK21">
        <v>4.0162926857921659E-2</v>
      </c>
      <c r="AL21">
        <f t="shared" si="11"/>
        <v>3.2716015910206495E-2</v>
      </c>
      <c r="AM21">
        <v>0.66588792019595944</v>
      </c>
      <c r="AN21">
        <v>3.692609806962651E-2</v>
      </c>
      <c r="AO21">
        <f t="shared" si="12"/>
        <v>2.4588642644535631E-2</v>
      </c>
      <c r="AP21">
        <v>0.81248390673977156</v>
      </c>
      <c r="AQ21">
        <v>3.8490826956064685E-2</v>
      </c>
      <c r="AR21">
        <f t="shared" si="13"/>
        <v>3.1273177458907946E-2</v>
      </c>
      <c r="AS21">
        <v>0.61715989210716127</v>
      </c>
      <c r="AT21">
        <v>4.6103086912661143E-2</v>
      </c>
      <c r="AU21">
        <f t="shared" si="14"/>
        <v>2.8452976144825028E-2</v>
      </c>
      <c r="AV21">
        <v>0.9185195405702824</v>
      </c>
      <c r="AW21">
        <v>5.6810934246768155E-2</v>
      </c>
      <c r="AX21">
        <f t="shared" si="15"/>
        <v>5.2181953223710005E-2</v>
      </c>
      <c r="AY21">
        <v>0.89237503434369359</v>
      </c>
      <c r="AZ21">
        <v>4.7482848028700342E-2</v>
      </c>
      <c r="BA21">
        <f t="shared" si="16"/>
        <v>4.2372508140347848E-2</v>
      </c>
      <c r="BB21">
        <v>0.92161396746637048</v>
      </c>
      <c r="BC21">
        <v>5.1582399838600503E-2</v>
      </c>
      <c r="BD21">
        <f t="shared" si="17"/>
        <v>4.7539060166689275E-2</v>
      </c>
      <c r="BE21">
        <v>0.79309880435505786</v>
      </c>
      <c r="BF21">
        <v>5.3532055805714865E-2</v>
      </c>
      <c r="BG21">
        <f t="shared" si="18"/>
        <v>4.2456209454180695E-2</v>
      </c>
      <c r="BH21">
        <v>0.625659639591997</v>
      </c>
      <c r="BI21">
        <v>4.0681925431079423E-2</v>
      </c>
      <c r="BJ21">
        <f t="shared" si="19"/>
        <v>2.545303880311765E-2</v>
      </c>
      <c r="BK21">
        <v>0.86839127873263711</v>
      </c>
      <c r="BL21">
        <v>4.9999669342486397E-2</v>
      </c>
      <c r="BM21">
        <f t="shared" si="20"/>
        <v>4.3419276796530792E-2</v>
      </c>
      <c r="BN21">
        <v>0.78892785045970526</v>
      </c>
      <c r="BO21">
        <v>4.4135329937912637E-2</v>
      </c>
      <c r="BP21">
        <f t="shared" si="21"/>
        <v>3.4819590977247294E-2</v>
      </c>
      <c r="BQ21">
        <v>0.70818607089246999</v>
      </c>
      <c r="BR21">
        <v>4.401279783391817E-2</v>
      </c>
      <c r="BS21">
        <f t="shared" si="22"/>
        <v>3.1169250366987124E-2</v>
      </c>
      <c r="BT21">
        <f t="shared" si="23"/>
        <v>0.68368267167950936</v>
      </c>
    </row>
    <row r="22" spans="1:72" x14ac:dyDescent="0.3">
      <c r="A22" s="1">
        <v>20</v>
      </c>
      <c r="B22" s="1" t="s">
        <v>58</v>
      </c>
      <c r="C22">
        <v>0.82093706942919664</v>
      </c>
      <c r="D22">
        <v>4.1493609063568894E-2</v>
      </c>
      <c r="E22">
        <f t="shared" si="0"/>
        <v>3.4063641824686998E-2</v>
      </c>
      <c r="F22">
        <v>0.74502571788236638</v>
      </c>
      <c r="G22">
        <v>3.6080982186227274E-2</v>
      </c>
      <c r="H22">
        <f t="shared" si="1"/>
        <v>2.6881259655194847E-2</v>
      </c>
      <c r="I22">
        <v>0.77296258432289455</v>
      </c>
      <c r="J22">
        <v>3.9324234102775794E-2</v>
      </c>
      <c r="K22">
        <f t="shared" si="2"/>
        <v>3.0396161618600082E-2</v>
      </c>
      <c r="L22">
        <v>0.82447965833884429</v>
      </c>
      <c r="M22">
        <v>4.5294626074195793E-2</v>
      </c>
      <c r="N22">
        <f t="shared" si="3"/>
        <v>3.7344497830238653E-2</v>
      </c>
      <c r="O22">
        <v>0.867861690176008</v>
      </c>
      <c r="P22">
        <v>3.7366108946429021E-2</v>
      </c>
      <c r="Q22">
        <f t="shared" si="4"/>
        <v>3.2428614465548747E-2</v>
      </c>
      <c r="R22">
        <v>0.8198337388502388</v>
      </c>
      <c r="S22">
        <v>4.2950247442181184E-2</v>
      </c>
      <c r="T22">
        <f t="shared" si="5"/>
        <v>3.5212061945066306E-2</v>
      </c>
      <c r="U22">
        <v>0.77223694336361925</v>
      </c>
      <c r="V22">
        <v>3.9449574080376477E-2</v>
      </c>
      <c r="W22">
        <f t="shared" si="6"/>
        <v>3.046441850482659E-2</v>
      </c>
      <c r="X22">
        <v>0.86058133203630638</v>
      </c>
      <c r="Y22">
        <v>4.7549363968995048E-2</v>
      </c>
      <c r="Z22">
        <f t="shared" si="7"/>
        <v>4.0920094981916913E-2</v>
      </c>
      <c r="AA22">
        <v>0.86423176120826328</v>
      </c>
      <c r="AB22">
        <v>4.7700562481971708E-2</v>
      </c>
      <c r="AC22">
        <f t="shared" si="8"/>
        <v>4.1224341124419216E-2</v>
      </c>
      <c r="AD22">
        <v>0.75102586124630211</v>
      </c>
      <c r="AE22">
        <v>3.6434896195912135E-2</v>
      </c>
      <c r="AF22">
        <f t="shared" si="9"/>
        <v>2.7363549294954527E-2</v>
      </c>
      <c r="AG22">
        <v>0.75102586124630211</v>
      </c>
      <c r="AH22">
        <v>3.6434896195912135E-2</v>
      </c>
      <c r="AI22">
        <f t="shared" si="10"/>
        <v>2.7363549294954527E-2</v>
      </c>
      <c r="AJ22">
        <v>0.56523927615586711</v>
      </c>
      <c r="AK22">
        <v>4.0162926857921659E-2</v>
      </c>
      <c r="AL22">
        <f t="shared" si="11"/>
        <v>2.2701663705472674E-2</v>
      </c>
      <c r="AM22">
        <v>0.9001672787210907</v>
      </c>
      <c r="AN22">
        <v>3.692609806962651E-2</v>
      </c>
      <c r="AO22">
        <f t="shared" si="12"/>
        <v>3.3239665213123819E-2</v>
      </c>
      <c r="AP22">
        <v>0.84892763096909751</v>
      </c>
      <c r="AQ22">
        <v>3.8490826956064685E-2</v>
      </c>
      <c r="AR22">
        <f t="shared" si="13"/>
        <v>3.2675926541853473E-2</v>
      </c>
      <c r="AS22">
        <v>0.8539977939357497</v>
      </c>
      <c r="AT22">
        <v>4.6103086912661143E-2</v>
      </c>
      <c r="AU22">
        <f t="shared" si="14"/>
        <v>3.9371934517040748E-2</v>
      </c>
      <c r="AV22">
        <v>0.9770890893855313</v>
      </c>
      <c r="AW22">
        <v>5.6810934246768155E-2</v>
      </c>
      <c r="AX22">
        <f t="shared" si="15"/>
        <v>5.5509344010315993E-2</v>
      </c>
      <c r="AY22">
        <v>0.93934328806219269</v>
      </c>
      <c r="AZ22">
        <v>4.7482848028700342E-2</v>
      </c>
      <c r="BA22">
        <f t="shared" si="16"/>
        <v>4.4602694593836784E-2</v>
      </c>
      <c r="BB22">
        <v>0.94698217615757529</v>
      </c>
      <c r="BC22">
        <v>5.1582399838600503E-2</v>
      </c>
      <c r="BD22">
        <f t="shared" si="17"/>
        <v>4.8847613250588062E-2</v>
      </c>
      <c r="BE22">
        <v>0.88838409032167465</v>
      </c>
      <c r="BF22">
        <v>5.3532055805714865E-2</v>
      </c>
      <c r="BG22">
        <f t="shared" si="18"/>
        <v>4.7557026700009122E-2</v>
      </c>
      <c r="BH22">
        <v>0.52186021169362917</v>
      </c>
      <c r="BI22">
        <v>4.0681925431079423E-2</v>
      </c>
      <c r="BJ22">
        <f t="shared" si="19"/>
        <v>2.1230278217567546E-2</v>
      </c>
      <c r="BK22">
        <v>0.93310114008987199</v>
      </c>
      <c r="BL22">
        <v>4.9999669342486397E-2</v>
      </c>
      <c r="BM22">
        <f t="shared" si="20"/>
        <v>4.6654748467590677E-2</v>
      </c>
      <c r="BN22">
        <v>0.84239499819093577</v>
      </c>
      <c r="BO22">
        <v>4.4135329937912637E-2</v>
      </c>
      <c r="BP22">
        <f t="shared" si="21"/>
        <v>3.7179381183204269E-2</v>
      </c>
      <c r="BQ22">
        <v>0.75552978738612808</v>
      </c>
      <c r="BR22">
        <v>4.401279783391817E-2</v>
      </c>
      <c r="BS22">
        <f t="shared" si="22"/>
        <v>3.3252979789728833E-2</v>
      </c>
      <c r="BT22">
        <f t="shared" si="23"/>
        <v>0.82648544673073954</v>
      </c>
    </row>
    <row r="23" spans="1:72" x14ac:dyDescent="0.3">
      <c r="A23" s="1">
        <v>21</v>
      </c>
      <c r="B23" s="1" t="s">
        <v>57</v>
      </c>
      <c r="C23">
        <v>0.77945343756677299</v>
      </c>
      <c r="D23">
        <v>4.1493609063568894E-2</v>
      </c>
      <c r="E23">
        <f t="shared" si="0"/>
        <v>3.2342336221650586E-2</v>
      </c>
      <c r="F23">
        <v>0.76779819688243645</v>
      </c>
      <c r="G23">
        <v>3.6080982186227274E-2</v>
      </c>
      <c r="H23">
        <f t="shared" si="1"/>
        <v>2.7702913064332611E-2</v>
      </c>
      <c r="I23">
        <v>0.63637148298964819</v>
      </c>
      <c r="J23">
        <v>3.9324234102775794E-2</v>
      </c>
      <c r="K23">
        <f t="shared" si="2"/>
        <v>2.5024821173415531E-2</v>
      </c>
      <c r="L23">
        <v>0.89172148154131181</v>
      </c>
      <c r="M23">
        <v>4.5294626074195793E-2</v>
      </c>
      <c r="N23">
        <f t="shared" si="3"/>
        <v>4.0390191068741602E-2</v>
      </c>
      <c r="O23">
        <v>0.796067906628386</v>
      </c>
      <c r="P23">
        <v>3.7366108946429021E-2</v>
      </c>
      <c r="Q23">
        <f t="shared" si="4"/>
        <v>2.9745960127831955E-2</v>
      </c>
      <c r="R23">
        <v>0.80965541300595634</v>
      </c>
      <c r="S23">
        <v>4.2950247442181184E-2</v>
      </c>
      <c r="T23">
        <f t="shared" si="5"/>
        <v>3.4774900331507229E-2</v>
      </c>
      <c r="U23">
        <v>0.66199311810899031</v>
      </c>
      <c r="V23">
        <v>3.9449574080376477E-2</v>
      </c>
      <c r="W23">
        <f t="shared" si="6"/>
        <v>2.6115346553540027E-2</v>
      </c>
      <c r="X23">
        <v>0.8843239037316879</v>
      </c>
      <c r="Y23">
        <v>4.7549363968995048E-2</v>
      </c>
      <c r="Z23">
        <f t="shared" si="7"/>
        <v>4.2049039165020563E-2</v>
      </c>
      <c r="AA23">
        <v>0.88509003868457148</v>
      </c>
      <c r="AB23">
        <v>4.7700562481971708E-2</v>
      </c>
      <c r="AC23">
        <f t="shared" si="8"/>
        <v>4.2219292692444156E-2</v>
      </c>
      <c r="AD23">
        <v>0.91395034967894972</v>
      </c>
      <c r="AE23">
        <v>3.6434896195912135E-2</v>
      </c>
      <c r="AF23">
        <f t="shared" si="9"/>
        <v>3.3299686118770128E-2</v>
      </c>
      <c r="AG23">
        <v>0.91395034967894972</v>
      </c>
      <c r="AH23">
        <v>3.6434896195912135E-2</v>
      </c>
      <c r="AI23">
        <f t="shared" si="10"/>
        <v>3.3299686118770128E-2</v>
      </c>
      <c r="AJ23">
        <v>0.85535394210229088</v>
      </c>
      <c r="AK23">
        <v>4.0162926857921659E-2</v>
      </c>
      <c r="AL23">
        <f t="shared" si="11"/>
        <v>3.4353517814289268E-2</v>
      </c>
      <c r="AM23">
        <v>0.84255100814890715</v>
      </c>
      <c r="AN23">
        <v>3.692609806962651E-2</v>
      </c>
      <c r="AO23">
        <f t="shared" si="12"/>
        <v>3.1112121155569231E-2</v>
      </c>
      <c r="AP23">
        <v>0.88654551946469096</v>
      </c>
      <c r="AQ23">
        <v>3.8490826956064685E-2</v>
      </c>
      <c r="AR23">
        <f t="shared" si="13"/>
        <v>3.4123870178389894E-2</v>
      </c>
      <c r="AS23">
        <v>0.87103639553568957</v>
      </c>
      <c r="AT23">
        <v>4.6103086912661143E-2</v>
      </c>
      <c r="AU23">
        <f t="shared" si="14"/>
        <v>4.0157466647472981E-2</v>
      </c>
      <c r="AV23">
        <v>0.96707341834061922</v>
      </c>
      <c r="AW23">
        <v>5.6810934246768155E-2</v>
      </c>
      <c r="AX23">
        <f t="shared" si="15"/>
        <v>5.4940344381146228E-2</v>
      </c>
      <c r="AY23">
        <v>0.95381242231063157</v>
      </c>
      <c r="AZ23">
        <v>4.7482848028700342E-2</v>
      </c>
      <c r="BA23">
        <f t="shared" si="16"/>
        <v>4.5289730296462272E-2</v>
      </c>
      <c r="BB23">
        <v>0.93278538332526462</v>
      </c>
      <c r="BC23">
        <v>5.1582399838600503E-2</v>
      </c>
      <c r="BD23">
        <f t="shared" si="17"/>
        <v>4.8115308606286038E-2</v>
      </c>
      <c r="BE23">
        <v>0.93375893391775233</v>
      </c>
      <c r="BF23">
        <v>5.3532055805714865E-2</v>
      </c>
      <c r="BG23">
        <f t="shared" si="18"/>
        <v>4.9986035359569934E-2</v>
      </c>
      <c r="BH23">
        <v>0.80237590442537443</v>
      </c>
      <c r="BI23">
        <v>4.0681925431079423E-2</v>
      </c>
      <c r="BJ23">
        <f t="shared" si="19"/>
        <v>3.2642196711527995E-2</v>
      </c>
      <c r="BK23">
        <v>0.96708911475784287</v>
      </c>
      <c r="BL23">
        <v>4.9999669342486397E-2</v>
      </c>
      <c r="BM23">
        <f t="shared" si="20"/>
        <v>4.8354135962610026E-2</v>
      </c>
      <c r="BN23">
        <v>0.89766106589389749</v>
      </c>
      <c r="BO23">
        <v>4.4135329937912637E-2</v>
      </c>
      <c r="BP23">
        <f t="shared" si="21"/>
        <v>3.9618567315645503E-2</v>
      </c>
      <c r="BQ23">
        <v>0.83476161354629141</v>
      </c>
      <c r="BR23">
        <v>4.401279783391817E-2</v>
      </c>
      <c r="BS23">
        <f t="shared" si="22"/>
        <v>3.6740194136528251E-2</v>
      </c>
      <c r="BT23">
        <f t="shared" si="23"/>
        <v>0.86239766120152228</v>
      </c>
    </row>
    <row r="24" spans="1:72" x14ac:dyDescent="0.3">
      <c r="A24" s="1">
        <v>22</v>
      </c>
      <c r="B24" s="1" t="s">
        <v>56</v>
      </c>
      <c r="C24">
        <v>0.96220481723535778</v>
      </c>
      <c r="D24">
        <v>4.1493609063568894E-2</v>
      </c>
      <c r="E24">
        <f t="shared" si="0"/>
        <v>3.9925350525446691E-2</v>
      </c>
      <c r="F24">
        <v>0.91480301354567128</v>
      </c>
      <c r="G24">
        <v>3.6080982186227274E-2</v>
      </c>
      <c r="H24">
        <f t="shared" si="1"/>
        <v>3.3006991235648396E-2</v>
      </c>
      <c r="I24">
        <v>0.81069666007491958</v>
      </c>
      <c r="J24">
        <v>3.9324234102775794E-2</v>
      </c>
      <c r="K24">
        <f t="shared" si="2"/>
        <v>3.1880025247124591E-2</v>
      </c>
      <c r="L24">
        <v>0.96551837286903497</v>
      </c>
      <c r="M24">
        <v>4.5294626074195793E-2</v>
      </c>
      <c r="N24">
        <f t="shared" si="3"/>
        <v>4.3732793666868885E-2</v>
      </c>
      <c r="O24">
        <v>0.96264511296966671</v>
      </c>
      <c r="P24">
        <v>3.7366108946429021E-2</v>
      </c>
      <c r="Q24">
        <f t="shared" si="4"/>
        <v>3.5970302167972042E-2</v>
      </c>
      <c r="R24">
        <v>0.93350960697604735</v>
      </c>
      <c r="S24">
        <v>4.2950247442181184E-2</v>
      </c>
      <c r="T24">
        <f t="shared" si="5"/>
        <v>4.0094468609274542E-2</v>
      </c>
      <c r="U24">
        <v>0.82743180526858173</v>
      </c>
      <c r="V24">
        <v>3.9449574080376477E-2</v>
      </c>
      <c r="W24">
        <f t="shared" si="6"/>
        <v>3.2641832298402562E-2</v>
      </c>
      <c r="X24">
        <v>0.92665318525342644</v>
      </c>
      <c r="Y24">
        <v>4.7549363968995048E-2</v>
      </c>
      <c r="Z24">
        <f t="shared" si="7"/>
        <v>4.4061769578643765E-2</v>
      </c>
      <c r="AA24">
        <v>0.92511664123575688</v>
      </c>
      <c r="AB24">
        <v>4.7700562481971708E-2</v>
      </c>
      <c r="AC24">
        <f t="shared" si="8"/>
        <v>4.4128584148378024E-2</v>
      </c>
      <c r="AD24">
        <v>0.98406336482488788</v>
      </c>
      <c r="AE24">
        <v>3.6434896195912135E-2</v>
      </c>
      <c r="AF24">
        <f t="shared" si="9"/>
        <v>3.5854246547594802E-2</v>
      </c>
      <c r="AG24">
        <v>0.98406336482488788</v>
      </c>
      <c r="AH24">
        <v>3.6434896195912135E-2</v>
      </c>
      <c r="AI24">
        <f t="shared" si="10"/>
        <v>3.5854246547594802E-2</v>
      </c>
      <c r="AJ24">
        <v>0.96289930512927546</v>
      </c>
      <c r="AK24">
        <v>4.0162926857921659E-2</v>
      </c>
      <c r="AL24">
        <f t="shared" si="11"/>
        <v>3.8672854363450679E-2</v>
      </c>
      <c r="AM24">
        <v>0.94495795457762888</v>
      </c>
      <c r="AN24">
        <v>3.692609806962651E-2</v>
      </c>
      <c r="AO24">
        <f t="shared" si="12"/>
        <v>3.4893610102407199E-2</v>
      </c>
      <c r="AP24">
        <v>0.97524985322946667</v>
      </c>
      <c r="AQ24">
        <v>3.8490826956064685E-2</v>
      </c>
      <c r="AR24">
        <f t="shared" si="13"/>
        <v>3.7538173339582884E-2</v>
      </c>
      <c r="AS24">
        <v>0.94271786991442286</v>
      </c>
      <c r="AT24">
        <v>4.6103086912661143E-2</v>
      </c>
      <c r="AU24">
        <f t="shared" si="14"/>
        <v>4.3462203890783417E-2</v>
      </c>
      <c r="AV24">
        <v>0.9872584421164099</v>
      </c>
      <c r="AW24">
        <v>5.6810934246768155E-2</v>
      </c>
      <c r="AX24">
        <f t="shared" si="15"/>
        <v>5.6087074439642129E-2</v>
      </c>
      <c r="AY24">
        <v>0.96797775860044755</v>
      </c>
      <c r="AZ24">
        <v>4.7482848028700342E-2</v>
      </c>
      <c r="BA24">
        <f t="shared" si="16"/>
        <v>4.5962340806787037E-2</v>
      </c>
      <c r="BB24">
        <v>0.94893464762968316</v>
      </c>
      <c r="BC24">
        <v>5.1582399838600503E-2</v>
      </c>
      <c r="BD24">
        <f t="shared" si="17"/>
        <v>4.8948326414735795E-2</v>
      </c>
      <c r="BE24">
        <v>0.97881230824135612</v>
      </c>
      <c r="BF24">
        <v>5.3532055805714865E-2</v>
      </c>
      <c r="BG24">
        <f t="shared" si="18"/>
        <v>5.2397835108096855E-2</v>
      </c>
      <c r="BH24">
        <v>0.84340248231212389</v>
      </c>
      <c r="BI24">
        <v>4.0681925431079423E-2</v>
      </c>
      <c r="BJ24">
        <f t="shared" si="19"/>
        <v>3.4311236893809105E-2</v>
      </c>
      <c r="BK24">
        <v>0.96258205262603225</v>
      </c>
      <c r="BL24">
        <v>4.9999669342486397E-2</v>
      </c>
      <c r="BM24">
        <f t="shared" si="20"/>
        <v>4.8128784346313451E-2</v>
      </c>
      <c r="BN24">
        <v>0.97566047752533536</v>
      </c>
      <c r="BO24">
        <v>4.4135329937912637E-2</v>
      </c>
      <c r="BP24">
        <f t="shared" si="21"/>
        <v>4.3061097082962074E-2</v>
      </c>
      <c r="BQ24">
        <v>0.94789093710536976</v>
      </c>
      <c r="BR24">
        <v>4.401279783391817E-2</v>
      </c>
      <c r="BS24">
        <f t="shared" si="22"/>
        <v>4.171933218342188E-2</v>
      </c>
      <c r="BT24">
        <f t="shared" si="23"/>
        <v>0.94233347954494129</v>
      </c>
    </row>
    <row r="25" spans="1:72" x14ac:dyDescent="0.3">
      <c r="A25" s="1">
        <v>23</v>
      </c>
      <c r="B25" s="1" t="s">
        <v>55</v>
      </c>
      <c r="C25">
        <v>0.86409177651210944</v>
      </c>
      <c r="D25">
        <v>4.1493609063568894E-2</v>
      </c>
      <c r="E25">
        <f t="shared" si="0"/>
        <v>3.5854286369638215E-2</v>
      </c>
      <c r="F25">
        <v>0.76415969499419412</v>
      </c>
      <c r="G25">
        <v>3.6080982186227274E-2</v>
      </c>
      <c r="H25">
        <f t="shared" si="1"/>
        <v>2.7571632342518384E-2</v>
      </c>
      <c r="I25">
        <v>0.6134745923634195</v>
      </c>
      <c r="J25">
        <v>3.9324234102775794E-2</v>
      </c>
      <c r="K25">
        <f t="shared" si="2"/>
        <v>2.4124418486204061E-2</v>
      </c>
      <c r="L25">
        <v>0.84517469243933341</v>
      </c>
      <c r="M25">
        <v>4.5294626074195793E-2</v>
      </c>
      <c r="N25">
        <f t="shared" si="3"/>
        <v>3.8281871661413037E-2</v>
      </c>
      <c r="O25">
        <v>0.86992510298339787</v>
      </c>
      <c r="P25">
        <v>3.7366108946429021E-2</v>
      </c>
      <c r="Q25">
        <f t="shared" si="4"/>
        <v>3.2505716173311133E-2</v>
      </c>
      <c r="R25">
        <v>0.72517629318004806</v>
      </c>
      <c r="S25">
        <v>4.2950247442181184E-2</v>
      </c>
      <c r="T25">
        <f t="shared" si="5"/>
        <v>3.1146501231286792E-2</v>
      </c>
      <c r="U25">
        <v>0.65623320753864001</v>
      </c>
      <c r="V25">
        <v>3.9449574080376477E-2</v>
      </c>
      <c r="W25">
        <f t="shared" si="6"/>
        <v>2.588812053479865E-2</v>
      </c>
      <c r="X25">
        <v>0.71921487739441337</v>
      </c>
      <c r="Y25">
        <v>4.7549363968995048E-2</v>
      </c>
      <c r="Z25">
        <f t="shared" si="7"/>
        <v>3.419820997714311E-2</v>
      </c>
      <c r="AA25">
        <v>0.73307611638803194</v>
      </c>
      <c r="AB25">
        <v>4.7700562481971708E-2</v>
      </c>
      <c r="AC25">
        <f t="shared" si="8"/>
        <v>3.4968143093808482E-2</v>
      </c>
      <c r="AD25">
        <v>0.85821984104262949</v>
      </c>
      <c r="AE25">
        <v>3.6434896195912135E-2</v>
      </c>
      <c r="AF25">
        <f t="shared" si="9"/>
        <v>3.1269150821660416E-2</v>
      </c>
      <c r="AG25">
        <v>0.85821984104262949</v>
      </c>
      <c r="AH25">
        <v>3.6434896195912135E-2</v>
      </c>
      <c r="AI25">
        <f t="shared" si="10"/>
        <v>3.1269150821660416E-2</v>
      </c>
      <c r="AJ25">
        <v>0.66265622314435146</v>
      </c>
      <c r="AK25">
        <v>4.0162926857921659E-2</v>
      </c>
      <c r="AL25">
        <f t="shared" si="11"/>
        <v>2.6614213422093202E-2</v>
      </c>
      <c r="AM25">
        <v>0.82791679834955745</v>
      </c>
      <c r="AN25">
        <v>3.692609806962651E-2</v>
      </c>
      <c r="AO25">
        <f t="shared" si="12"/>
        <v>3.0571736889346956E-2</v>
      </c>
      <c r="AP25">
        <v>0.91076008253482155</v>
      </c>
      <c r="AQ25">
        <v>3.8490826956064685E-2</v>
      </c>
      <c r="AR25">
        <f t="shared" si="13"/>
        <v>3.5055908735339009E-2</v>
      </c>
      <c r="AS25">
        <v>0.76583994629931995</v>
      </c>
      <c r="AT25">
        <v>4.6103086912661143E-2</v>
      </c>
      <c r="AU25">
        <f t="shared" si="14"/>
        <v>3.5307585605425289E-2</v>
      </c>
      <c r="AV25">
        <v>0.93582050876490408</v>
      </c>
      <c r="AW25">
        <v>5.6810934246768155E-2</v>
      </c>
      <c r="AX25">
        <f t="shared" si="15"/>
        <v>5.3164837390220085E-2</v>
      </c>
      <c r="AY25">
        <v>0.71552044463433495</v>
      </c>
      <c r="AZ25">
        <v>4.7482848028700342E-2</v>
      </c>
      <c r="BA25">
        <f t="shared" si="16"/>
        <v>3.3974948534000224E-2</v>
      </c>
      <c r="BB25">
        <v>0.61110913475146589</v>
      </c>
      <c r="BC25">
        <v>5.1582399838600503E-2</v>
      </c>
      <c r="BD25">
        <f t="shared" si="17"/>
        <v>3.1522475733771309E-2</v>
      </c>
      <c r="BE25">
        <v>0.78166978222564665</v>
      </c>
      <c r="BF25">
        <v>5.3532055805714865E-2</v>
      </c>
      <c r="BG25">
        <f t="shared" si="18"/>
        <v>4.1844390403744304E-2</v>
      </c>
      <c r="BH25">
        <v>0.59919232710752146</v>
      </c>
      <c r="BI25">
        <v>4.0681925431079423E-2</v>
      </c>
      <c r="BJ25">
        <f t="shared" si="19"/>
        <v>2.4376297570263137E-2</v>
      </c>
      <c r="BK25">
        <v>0.60111664460645153</v>
      </c>
      <c r="BL25">
        <v>4.9999669342486397E-2</v>
      </c>
      <c r="BM25">
        <f t="shared" si="20"/>
        <v>3.0055633466587486E-2</v>
      </c>
      <c r="BN25">
        <v>0.82603226559092158</v>
      </c>
      <c r="BO25">
        <v>4.4135329937912637E-2</v>
      </c>
      <c r="BP25">
        <f t="shared" si="21"/>
        <v>3.6457206581216803E-2</v>
      </c>
      <c r="BQ25">
        <v>0.71199834801324768</v>
      </c>
      <c r="BR25">
        <v>4.401279783391817E-2</v>
      </c>
      <c r="BS25">
        <f t="shared" si="22"/>
        <v>3.1337039349190784E-2</v>
      </c>
      <c r="BT25">
        <f t="shared" si="23"/>
        <v>0.7573594751946412</v>
      </c>
    </row>
    <row r="26" spans="1:72" x14ac:dyDescent="0.3">
      <c r="A26" s="1">
        <v>24</v>
      </c>
      <c r="B26" s="1" t="s">
        <v>54</v>
      </c>
      <c r="C26">
        <v>0.17736533034681443</v>
      </c>
      <c r="D26">
        <v>4.1493609063568894E-2</v>
      </c>
      <c r="E26">
        <f t="shared" si="0"/>
        <v>7.3595276788414703E-3</v>
      </c>
      <c r="F26">
        <v>0.67934481492252796</v>
      </c>
      <c r="G26">
        <v>3.6080982186227274E-2</v>
      </c>
      <c r="H26">
        <f t="shared" si="1"/>
        <v>2.4511428165525595E-2</v>
      </c>
      <c r="I26">
        <v>0.77085750893338367</v>
      </c>
      <c r="J26">
        <v>3.9324234102775794E-2</v>
      </c>
      <c r="K26">
        <f t="shared" si="2"/>
        <v>3.0313381141178961E-2</v>
      </c>
      <c r="L26">
        <v>0.81202578612859744</v>
      </c>
      <c r="M26">
        <v>4.5294626074195793E-2</v>
      </c>
      <c r="N26">
        <f t="shared" si="3"/>
        <v>3.6780404345299708E-2</v>
      </c>
      <c r="O26">
        <v>0.56703407814255402</v>
      </c>
      <c r="P26">
        <v>3.7366108946429021E-2</v>
      </c>
      <c r="Q26">
        <f t="shared" si="4"/>
        <v>2.118785714021262E-2</v>
      </c>
      <c r="R26">
        <v>0.69111427980619589</v>
      </c>
      <c r="S26">
        <v>4.2950247442181184E-2</v>
      </c>
      <c r="T26">
        <f t="shared" si="5"/>
        <v>2.9683529328500956E-2</v>
      </c>
      <c r="U26">
        <v>0.77659335093020598</v>
      </c>
      <c r="V26">
        <v>3.9449574080376477E-2</v>
      </c>
      <c r="W26">
        <f t="shared" si="6"/>
        <v>3.0636276927848968E-2</v>
      </c>
      <c r="X26">
        <v>0.68504063292359985</v>
      </c>
      <c r="Y26">
        <v>4.7549363968995048E-2</v>
      </c>
      <c r="Z26">
        <f t="shared" si="7"/>
        <v>3.2573246388434979E-2</v>
      </c>
      <c r="AA26">
        <v>0.6963462644110614</v>
      </c>
      <c r="AB26">
        <v>4.7700562481971708E-2</v>
      </c>
      <c r="AC26">
        <f t="shared" si="8"/>
        <v>3.3216108494627423E-2</v>
      </c>
      <c r="AD26">
        <v>0.46796313715867111</v>
      </c>
      <c r="AE26">
        <v>3.6434896195912135E-2</v>
      </c>
      <c r="AF26">
        <f t="shared" si="9"/>
        <v>1.7050188325889573E-2</v>
      </c>
      <c r="AG26">
        <v>0.46796313715867111</v>
      </c>
      <c r="AH26">
        <v>3.6434896195912135E-2</v>
      </c>
      <c r="AI26">
        <f t="shared" si="10"/>
        <v>1.7050188325889573E-2</v>
      </c>
      <c r="AJ26">
        <v>0.7977386009281312</v>
      </c>
      <c r="AK26">
        <v>4.0162926857921659E-2</v>
      </c>
      <c r="AL26">
        <f t="shared" si="11"/>
        <v>3.2039517080817287E-2</v>
      </c>
      <c r="AM26">
        <v>0.57348211395614179</v>
      </c>
      <c r="AN26">
        <v>3.692609806962651E-2</v>
      </c>
      <c r="AO26">
        <f t="shared" si="12"/>
        <v>2.117645678112122E-2</v>
      </c>
      <c r="AP26">
        <v>0.79723350419368899</v>
      </c>
      <c r="AQ26">
        <v>3.8490826956064685E-2</v>
      </c>
      <c r="AR26">
        <f t="shared" si="13"/>
        <v>3.0686176853496352E-2</v>
      </c>
      <c r="AS26">
        <v>0.78284674373978147</v>
      </c>
      <c r="AT26">
        <v>4.6103086912661143E-2</v>
      </c>
      <c r="AU26">
        <f t="shared" si="14"/>
        <v>3.6091651465928909E-2</v>
      </c>
      <c r="AV26">
        <v>0.90255964139444256</v>
      </c>
      <c r="AW26">
        <v>5.6810934246768155E-2</v>
      </c>
      <c r="AX26">
        <f t="shared" si="15"/>
        <v>5.1275256441046323E-2</v>
      </c>
      <c r="AY26">
        <v>0.66102623192492926</v>
      </c>
      <c r="AZ26">
        <v>4.7482848028700342E-2</v>
      </c>
      <c r="BA26">
        <f t="shared" si="16"/>
        <v>3.1387408113475845E-2</v>
      </c>
      <c r="BB26">
        <v>0.90962382314227774</v>
      </c>
      <c r="BC26">
        <v>5.1582399838600503E-2</v>
      </c>
      <c r="BD26">
        <f t="shared" si="17"/>
        <v>4.6920579748041397E-2</v>
      </c>
      <c r="BE26">
        <v>0.84566431924090946</v>
      </c>
      <c r="BF26">
        <v>5.3532055805714865E-2</v>
      </c>
      <c r="BG26">
        <f t="shared" si="18"/>
        <v>4.5270149530506239E-2</v>
      </c>
      <c r="BH26">
        <v>0.70260234128987287</v>
      </c>
      <c r="BI26">
        <v>4.0681925431079423E-2</v>
      </c>
      <c r="BJ26">
        <f t="shared" si="19"/>
        <v>2.8583216056056421E-2</v>
      </c>
      <c r="BK26">
        <v>0.78113844638207053</v>
      </c>
      <c r="BL26">
        <v>4.9999669342486397E-2</v>
      </c>
      <c r="BM26">
        <f t="shared" si="20"/>
        <v>3.9056664029807064E-2</v>
      </c>
      <c r="BN26">
        <v>0.72998616995736021</v>
      </c>
      <c r="BO26">
        <v>4.4135329937912637E-2</v>
      </c>
      <c r="BP26">
        <f t="shared" si="21"/>
        <v>3.2218180461181266E-2</v>
      </c>
      <c r="BQ26">
        <v>0.73361713618565794</v>
      </c>
      <c r="BR26">
        <v>4.401279783391817E-2</v>
      </c>
      <c r="BS26">
        <f t="shared" si="22"/>
        <v>3.2288542702437376E-2</v>
      </c>
      <c r="BT26">
        <f t="shared" si="23"/>
        <v>0.7073559355261656</v>
      </c>
    </row>
    <row r="27" spans="1:72" x14ac:dyDescent="0.3">
      <c r="A27" s="1">
        <v>25</v>
      </c>
      <c r="B27" s="1" t="s">
        <v>53</v>
      </c>
      <c r="C27">
        <v>0.99564400498080619</v>
      </c>
      <c r="D27">
        <v>4.1493609063568894E-2</v>
      </c>
      <c r="E27">
        <f t="shared" si="0"/>
        <v>4.131286310915961E-2</v>
      </c>
      <c r="F27">
        <v>1</v>
      </c>
      <c r="G27">
        <v>3.6080982186227274E-2</v>
      </c>
      <c r="H27">
        <f t="shared" si="1"/>
        <v>3.6080982186227274E-2</v>
      </c>
      <c r="I27">
        <v>1</v>
      </c>
      <c r="J27">
        <v>3.9324234102775794E-2</v>
      </c>
      <c r="K27">
        <f t="shared" si="2"/>
        <v>3.9324234102775794E-2</v>
      </c>
      <c r="L27">
        <v>0.99688779399366956</v>
      </c>
      <c r="M27">
        <v>4.5294626074195793E-2</v>
      </c>
      <c r="N27">
        <f t="shared" si="3"/>
        <v>4.515365986687319E-2</v>
      </c>
      <c r="O27">
        <v>0.97570715266508545</v>
      </c>
      <c r="P27">
        <v>3.7366108946429021E-2</v>
      </c>
      <c r="Q27">
        <f t="shared" si="4"/>
        <v>3.6458379766293639E-2</v>
      </c>
      <c r="R27">
        <v>0.99889809435969668</v>
      </c>
      <c r="S27">
        <v>4.2950247442181184E-2</v>
      </c>
      <c r="T27">
        <f t="shared" si="5"/>
        <v>4.290292032227222E-2</v>
      </c>
      <c r="U27">
        <v>1</v>
      </c>
      <c r="V27">
        <v>3.9449574080376477E-2</v>
      </c>
      <c r="W27">
        <f t="shared" si="6"/>
        <v>3.9449574080376477E-2</v>
      </c>
      <c r="X27">
        <v>0.9991573617561138</v>
      </c>
      <c r="Y27">
        <v>4.7549363968995048E-2</v>
      </c>
      <c r="Z27">
        <f t="shared" si="7"/>
        <v>4.7509297056442308E-2</v>
      </c>
      <c r="AA27">
        <v>0.99905962600322851</v>
      </c>
      <c r="AB27">
        <v>4.7700562481971708E-2</v>
      </c>
      <c r="AC27">
        <f t="shared" si="8"/>
        <v>4.7655706113382289E-2</v>
      </c>
      <c r="AD27">
        <v>0.99649639414884195</v>
      </c>
      <c r="AE27">
        <v>3.6434896195912135E-2</v>
      </c>
      <c r="AF27">
        <f t="shared" si="9"/>
        <v>3.6307242680413798E-2</v>
      </c>
      <c r="AG27">
        <v>0.99649639414884195</v>
      </c>
      <c r="AH27">
        <v>3.6434896195912135E-2</v>
      </c>
      <c r="AI27">
        <f t="shared" si="10"/>
        <v>3.6307242680413798E-2</v>
      </c>
      <c r="AJ27">
        <v>0.9924988336975471</v>
      </c>
      <c r="AK27">
        <v>4.0162926857921659E-2</v>
      </c>
      <c r="AL27">
        <f t="shared" si="11"/>
        <v>3.9861658064367138E-2</v>
      </c>
      <c r="AM27">
        <v>0.99876951425657001</v>
      </c>
      <c r="AN27">
        <v>3.692609806962651E-2</v>
      </c>
      <c r="AO27">
        <f t="shared" si="12"/>
        <v>3.6880661032391335E-2</v>
      </c>
      <c r="AP27">
        <v>0.99878807021639637</v>
      </c>
      <c r="AQ27">
        <v>3.8490826956064685E-2</v>
      </c>
      <c r="AR27">
        <f t="shared" si="13"/>
        <v>3.8444178776481097E-2</v>
      </c>
      <c r="AS27">
        <v>0.99902578137430431</v>
      </c>
      <c r="AT27">
        <v>4.6103086912661143E-2</v>
      </c>
      <c r="AU27">
        <f t="shared" si="14"/>
        <v>4.6058172426688762E-2</v>
      </c>
      <c r="AV27">
        <v>0.99971899808514864</v>
      </c>
      <c r="AW27">
        <v>5.6810934246768155E-2</v>
      </c>
      <c r="AX27">
        <f t="shared" si="15"/>
        <v>5.6794970265460321E-2</v>
      </c>
      <c r="AY27">
        <v>0.99884411533671347</v>
      </c>
      <c r="AZ27">
        <v>4.7482848028700342E-2</v>
      </c>
      <c r="BA27">
        <f t="shared" si="16"/>
        <v>4.7427963332894799E-2</v>
      </c>
      <c r="BB27">
        <v>0.9991049668667602</v>
      </c>
      <c r="BC27">
        <v>5.1582399838600503E-2</v>
      </c>
      <c r="BD27">
        <f t="shared" si="17"/>
        <v>5.1536231881652933E-2</v>
      </c>
      <c r="BE27">
        <v>0.99992733598705175</v>
      </c>
      <c r="BF27">
        <v>5.3532055805714865E-2</v>
      </c>
      <c r="BG27">
        <f t="shared" si="18"/>
        <v>5.3528165951718651E-2</v>
      </c>
      <c r="BH27">
        <v>0.99961282981979604</v>
      </c>
      <c r="BI27">
        <v>4.0681925431079423E-2</v>
      </c>
      <c r="BJ27">
        <f t="shared" si="19"/>
        <v>4.0666174602679225E-2</v>
      </c>
      <c r="BK27">
        <v>0.99936929914441031</v>
      </c>
      <c r="BL27">
        <v>4.9999669342486397E-2</v>
      </c>
      <c r="BM27">
        <f t="shared" si="20"/>
        <v>4.9968134508252889E-2</v>
      </c>
      <c r="BN27">
        <v>0.99158024298945335</v>
      </c>
      <c r="BO27">
        <v>4.4135329937912637E-2</v>
      </c>
      <c r="BP27">
        <f t="shared" si="21"/>
        <v>4.376372118425511E-2</v>
      </c>
      <c r="BQ27">
        <v>0.98838843926963127</v>
      </c>
      <c r="BR27">
        <v>4.401279783391817E-2</v>
      </c>
      <c r="BS27">
        <f t="shared" si="22"/>
        <v>4.3501740558956191E-2</v>
      </c>
      <c r="BT27">
        <f t="shared" si="23"/>
        <v>0.99689387455042866</v>
      </c>
    </row>
    <row r="28" spans="1:72" x14ac:dyDescent="0.3">
      <c r="A28" s="1">
        <v>26</v>
      </c>
      <c r="B28" s="1" t="s">
        <v>52</v>
      </c>
      <c r="C28">
        <v>0.99299003101951799</v>
      </c>
      <c r="D28">
        <v>4.1493609063568894E-2</v>
      </c>
      <c r="E28">
        <f t="shared" si="0"/>
        <v>4.1202740151145029E-2</v>
      </c>
      <c r="F28">
        <v>0.99916042736476085</v>
      </c>
      <c r="G28">
        <v>3.6080982186227274E-2</v>
      </c>
      <c r="H28">
        <f t="shared" si="1"/>
        <v>3.6050689580931168E-2</v>
      </c>
      <c r="I28">
        <v>0.99914070726696957</v>
      </c>
      <c r="J28">
        <v>3.9324234102775794E-2</v>
      </c>
      <c r="K28">
        <f t="shared" si="2"/>
        <v>3.9290443074179289E-2</v>
      </c>
      <c r="L28">
        <v>0.99742542568819381</v>
      </c>
      <c r="M28">
        <v>4.5294626074195793E-2</v>
      </c>
      <c r="N28">
        <f t="shared" si="3"/>
        <v>4.5178011693442301E-2</v>
      </c>
      <c r="O28">
        <v>0.97702034702284357</v>
      </c>
      <c r="P28">
        <v>3.7366108946429021E-2</v>
      </c>
      <c r="Q28">
        <f t="shared" si="4"/>
        <v>3.6507448729733459E-2</v>
      </c>
      <c r="R28">
        <v>0.99967317947604617</v>
      </c>
      <c r="S28">
        <v>4.2950247442181184E-2</v>
      </c>
      <c r="T28">
        <f t="shared" si="5"/>
        <v>4.2936210419808184E-2</v>
      </c>
      <c r="U28">
        <v>0.99930955049888059</v>
      </c>
      <c r="V28">
        <v>3.9449574080376477E-2</v>
      </c>
      <c r="W28">
        <f t="shared" si="6"/>
        <v>3.9422336141633312E-2</v>
      </c>
      <c r="X28">
        <v>0.99923508154438057</v>
      </c>
      <c r="Y28">
        <v>4.7549363968995048E-2</v>
      </c>
      <c r="Z28">
        <f t="shared" si="7"/>
        <v>4.7512992582942198E-2</v>
      </c>
      <c r="AA28">
        <v>0.99907237971927876</v>
      </c>
      <c r="AB28">
        <v>4.7700562481971708E-2</v>
      </c>
      <c r="AC28">
        <f t="shared" si="8"/>
        <v>4.7656314472811621E-2</v>
      </c>
      <c r="AD28">
        <v>0.99649639414884195</v>
      </c>
      <c r="AE28">
        <v>3.6434896195912135E-2</v>
      </c>
      <c r="AF28">
        <f t="shared" si="9"/>
        <v>3.6307242680413798E-2</v>
      </c>
      <c r="AG28">
        <v>0.99649639414884195</v>
      </c>
      <c r="AH28">
        <v>3.6434896195912135E-2</v>
      </c>
      <c r="AI28">
        <f t="shared" si="10"/>
        <v>3.6307242680413798E-2</v>
      </c>
      <c r="AJ28">
        <v>0.99966852456601274</v>
      </c>
      <c r="AK28">
        <v>4.0162926857921659E-2</v>
      </c>
      <c r="AL28">
        <f t="shared" si="11"/>
        <v>4.0149613834311232E-2</v>
      </c>
      <c r="AM28">
        <v>1</v>
      </c>
      <c r="AN28">
        <v>3.692609806962651E-2</v>
      </c>
      <c r="AO28">
        <f t="shared" si="12"/>
        <v>3.692609806962651E-2</v>
      </c>
      <c r="AP28">
        <v>0.9978404990541454</v>
      </c>
      <c r="AQ28">
        <v>3.8490826956064685E-2</v>
      </c>
      <c r="AR28">
        <f t="shared" si="13"/>
        <v>3.8407705978846338E-2</v>
      </c>
      <c r="AS28">
        <v>0.99909426899248366</v>
      </c>
      <c r="AT28">
        <v>4.6103086912661143E-2</v>
      </c>
      <c r="AU28">
        <f t="shared" si="14"/>
        <v>4.6061329917302121E-2</v>
      </c>
      <c r="AV28">
        <v>1</v>
      </c>
      <c r="AW28">
        <v>5.6810934246768155E-2</v>
      </c>
      <c r="AX28">
        <f t="shared" si="15"/>
        <v>5.6810934246768155E-2</v>
      </c>
      <c r="AY28">
        <v>0.99976519201604441</v>
      </c>
      <c r="AZ28">
        <v>4.7482848028700342E-2</v>
      </c>
      <c r="BA28">
        <f t="shared" si="16"/>
        <v>4.7471698676882251E-2</v>
      </c>
      <c r="BB28">
        <v>0.99993194448526057</v>
      </c>
      <c r="BC28">
        <v>5.1582399838600503E-2</v>
      </c>
      <c r="BD28">
        <f t="shared" si="17"/>
        <v>5.1578889371827995E-2</v>
      </c>
      <c r="BE28">
        <v>0.9995595702337543</v>
      </c>
      <c r="BF28">
        <v>5.3532055805714865E-2</v>
      </c>
      <c r="BG28">
        <f t="shared" si="18"/>
        <v>5.35084786948897E-2</v>
      </c>
      <c r="BH28">
        <v>0.99805870051200696</v>
      </c>
      <c r="BI28">
        <v>4.0681925431079423E-2</v>
      </c>
      <c r="BJ28">
        <f t="shared" si="19"/>
        <v>4.0602949630069496E-2</v>
      </c>
      <c r="BK28">
        <v>0.99982381231159645</v>
      </c>
      <c r="BL28">
        <v>4.9999669342486397E-2</v>
      </c>
      <c r="BM28">
        <f t="shared" si="20"/>
        <v>4.9990860016324003E-2</v>
      </c>
      <c r="BN28">
        <v>0.99870153144897589</v>
      </c>
      <c r="BO28">
        <v>4.4135329937912637E-2</v>
      </c>
      <c r="BP28">
        <f t="shared" si="21"/>
        <v>4.4078021599999184E-2</v>
      </c>
      <c r="BQ28">
        <v>0.99977761716795466</v>
      </c>
      <c r="BR28">
        <v>4.401279783391817E-2</v>
      </c>
      <c r="BS28">
        <f t="shared" si="22"/>
        <v>4.4003010143289625E-2</v>
      </c>
      <c r="BT28">
        <f t="shared" si="23"/>
        <v>0.99796126238759097</v>
      </c>
    </row>
    <row r="29" spans="1:72" x14ac:dyDescent="0.3">
      <c r="A29" s="1">
        <v>27</v>
      </c>
      <c r="B29" s="1" t="s">
        <v>51</v>
      </c>
      <c r="C29">
        <v>0.46659544212023196</v>
      </c>
      <c r="D29">
        <v>4.1493609063568894E-2</v>
      </c>
      <c r="E29">
        <f t="shared" si="0"/>
        <v>1.9360728866179993E-2</v>
      </c>
      <c r="F29">
        <v>0.17977999163611585</v>
      </c>
      <c r="G29">
        <v>3.6080982186227274E-2</v>
      </c>
      <c r="H29">
        <f t="shared" si="1"/>
        <v>6.4866386756627847E-3</v>
      </c>
      <c r="I29">
        <v>0.27155856137517526</v>
      </c>
      <c r="J29">
        <v>3.9324234102775794E-2</v>
      </c>
      <c r="K29">
        <f t="shared" si="2"/>
        <v>1.06788324401304E-2</v>
      </c>
      <c r="L29">
        <v>0.46434971805887193</v>
      </c>
      <c r="M29">
        <v>4.5294626074195793E-2</v>
      </c>
      <c r="N29">
        <f t="shared" si="3"/>
        <v>2.1032546847134844E-2</v>
      </c>
      <c r="O29">
        <v>0.17228311072275621</v>
      </c>
      <c r="P29">
        <v>3.7366108946429021E-2</v>
      </c>
      <c r="Q29">
        <f t="shared" si="4"/>
        <v>6.4375494848962021E-3</v>
      </c>
      <c r="R29">
        <v>0.2971511284685997</v>
      </c>
      <c r="S29">
        <v>4.2950247442181184E-2</v>
      </c>
      <c r="T29">
        <f t="shared" si="5"/>
        <v>1.2762714495449726E-2</v>
      </c>
      <c r="U29">
        <v>0.27658975483905435</v>
      </c>
      <c r="V29">
        <v>3.9449574080376477E-2</v>
      </c>
      <c r="W29">
        <f t="shared" si="6"/>
        <v>1.0911348023396442E-2</v>
      </c>
      <c r="X29">
        <v>0.55018437110465124</v>
      </c>
      <c r="Y29">
        <v>4.7549363968995048E-2</v>
      </c>
      <c r="Z29">
        <f t="shared" si="7"/>
        <v>2.6160916911707705E-2</v>
      </c>
      <c r="AA29">
        <v>0.55240442407704338</v>
      </c>
      <c r="AB29">
        <v>4.7700562481971708E-2</v>
      </c>
      <c r="AC29">
        <f t="shared" si="8"/>
        <v>2.6350001746004603E-2</v>
      </c>
      <c r="AD29">
        <v>0.4790260793696236</v>
      </c>
      <c r="AE29">
        <v>3.6434896195912135E-2</v>
      </c>
      <c r="AF29">
        <f t="shared" si="9"/>
        <v>1.7453265476967003E-2</v>
      </c>
      <c r="AG29">
        <v>0.4790260793696236</v>
      </c>
      <c r="AH29">
        <v>3.6434896195912135E-2</v>
      </c>
      <c r="AI29">
        <f t="shared" si="10"/>
        <v>1.7453265476967003E-2</v>
      </c>
      <c r="AJ29">
        <v>0.7465931691506863</v>
      </c>
      <c r="AK29">
        <v>4.0162926857921659E-2</v>
      </c>
      <c r="AL29">
        <f t="shared" si="11"/>
        <v>2.9985366845222947E-2</v>
      </c>
      <c r="AM29">
        <v>0.43390118311816411</v>
      </c>
      <c r="AN29">
        <v>3.692609806962651E-2</v>
      </c>
      <c r="AO29">
        <f t="shared" si="12"/>
        <v>1.60222776403483E-2</v>
      </c>
      <c r="AP29">
        <v>0</v>
      </c>
      <c r="AQ29">
        <v>3.8490826956064685E-2</v>
      </c>
      <c r="AR29">
        <f t="shared" si="13"/>
        <v>0</v>
      </c>
      <c r="AS29">
        <v>0.64461464425849979</v>
      </c>
      <c r="AT29">
        <v>4.6103086912661143E-2</v>
      </c>
      <c r="AU29">
        <f t="shared" si="14"/>
        <v>2.9718724969423758E-2</v>
      </c>
      <c r="AV29">
        <v>0.7633840482897023</v>
      </c>
      <c r="AW29">
        <v>5.6810934246768155E-2</v>
      </c>
      <c r="AX29">
        <f t="shared" si="15"/>
        <v>4.3368560972417966E-2</v>
      </c>
      <c r="AY29">
        <v>0.77414013679380589</v>
      </c>
      <c r="AZ29">
        <v>4.7482848028700342E-2</v>
      </c>
      <c r="BA29">
        <f t="shared" si="16"/>
        <v>3.6758378468297576E-2</v>
      </c>
      <c r="BB29">
        <v>0.79985130901173596</v>
      </c>
      <c r="BC29">
        <v>5.1582399838600503E-2</v>
      </c>
      <c r="BD29">
        <f t="shared" si="17"/>
        <v>4.1258250032871369E-2</v>
      </c>
      <c r="BE29">
        <v>0.79230662864427659</v>
      </c>
      <c r="BF29">
        <v>5.3532055805714865E-2</v>
      </c>
      <c r="BG29">
        <f t="shared" si="18"/>
        <v>4.2413802659823217E-2</v>
      </c>
      <c r="BH29">
        <v>0.44331209986939418</v>
      </c>
      <c r="BI29">
        <v>4.0681925431079423E-2</v>
      </c>
      <c r="BJ29">
        <f t="shared" si="19"/>
        <v>1.8034789789581927E-2</v>
      </c>
      <c r="BK29">
        <v>0.65091879906386074</v>
      </c>
      <c r="BL29">
        <v>4.9999669342486397E-2</v>
      </c>
      <c r="BM29">
        <f t="shared" si="20"/>
        <v>3.254572472200138E-2</v>
      </c>
      <c r="BN29">
        <v>0.86915562348469733</v>
      </c>
      <c r="BO29">
        <v>4.4135329937912637E-2</v>
      </c>
      <c r="BP29">
        <f t="shared" si="21"/>
        <v>3.8360470209889287E-2</v>
      </c>
      <c r="BQ29">
        <v>0.82770890087285265</v>
      </c>
      <c r="BR29">
        <v>4.401279783391817E-2</v>
      </c>
      <c r="BS29">
        <f t="shared" si="22"/>
        <v>3.6429784519451482E-2</v>
      </c>
      <c r="BT29">
        <f t="shared" si="23"/>
        <v>0.53998393927382593</v>
      </c>
    </row>
    <row r="30" spans="1:72" x14ac:dyDescent="0.3">
      <c r="A30" s="1">
        <v>28</v>
      </c>
      <c r="B30" s="1" t="s">
        <v>50</v>
      </c>
      <c r="C30">
        <v>0.66558601837593301</v>
      </c>
      <c r="D30">
        <v>4.1493609063568894E-2</v>
      </c>
      <c r="E30">
        <f t="shared" si="0"/>
        <v>2.7617566044668345E-2</v>
      </c>
      <c r="F30">
        <v>0.71331937937432199</v>
      </c>
      <c r="G30">
        <v>3.6080982186227274E-2</v>
      </c>
      <c r="H30">
        <f t="shared" si="1"/>
        <v>2.5737263820295606E-2</v>
      </c>
      <c r="I30">
        <v>0.82794485181995514</v>
      </c>
      <c r="J30">
        <v>3.9324234102775794E-2</v>
      </c>
      <c r="K30">
        <f t="shared" si="2"/>
        <v>3.2558297177155929E-2</v>
      </c>
      <c r="L30">
        <v>0.91927952304748828</v>
      </c>
      <c r="M30">
        <v>4.5294626074195793E-2</v>
      </c>
      <c r="N30">
        <f t="shared" si="3"/>
        <v>4.1638422254101033E-2</v>
      </c>
      <c r="O30">
        <v>0.73224441393084505</v>
      </c>
      <c r="P30">
        <v>3.7366108946429021E-2</v>
      </c>
      <c r="Q30">
        <f t="shared" si="4"/>
        <v>2.7361124546354025E-2</v>
      </c>
      <c r="R30">
        <v>0.79701913423977189</v>
      </c>
      <c r="S30">
        <v>4.2950247442181184E-2</v>
      </c>
      <c r="T30">
        <f t="shared" si="5"/>
        <v>3.4232169031751226E-2</v>
      </c>
      <c r="U30">
        <v>0.84398204420315248</v>
      </c>
      <c r="V30">
        <v>3.9449574080376477E-2</v>
      </c>
      <c r="W30">
        <f t="shared" si="6"/>
        <v>3.3294732175299838E-2</v>
      </c>
      <c r="X30">
        <v>0.72904006627296625</v>
      </c>
      <c r="Y30">
        <v>4.7549363968995048E-2</v>
      </c>
      <c r="Z30">
        <f t="shared" si="7"/>
        <v>3.4665391459193541E-2</v>
      </c>
      <c r="AA30">
        <v>0.72197936312703437</v>
      </c>
      <c r="AB30">
        <v>4.7700562481971708E-2</v>
      </c>
      <c r="AC30">
        <f t="shared" si="8"/>
        <v>3.4438821721535243E-2</v>
      </c>
      <c r="AD30">
        <v>0.50670729213529098</v>
      </c>
      <c r="AE30">
        <v>3.6434896195912135E-2</v>
      </c>
      <c r="AF30">
        <f t="shared" si="9"/>
        <v>1.8461827590661051E-2</v>
      </c>
      <c r="AG30">
        <v>0.50670729213529098</v>
      </c>
      <c r="AH30">
        <v>3.6434896195912135E-2</v>
      </c>
      <c r="AI30">
        <f t="shared" si="10"/>
        <v>1.8461827590661051E-2</v>
      </c>
      <c r="AJ30">
        <v>0.47928892380975763</v>
      </c>
      <c r="AK30">
        <v>4.0162926857921659E-2</v>
      </c>
      <c r="AL30">
        <f t="shared" si="11"/>
        <v>1.9249645990783281E-2</v>
      </c>
      <c r="AM30">
        <v>0.7835603890722459</v>
      </c>
      <c r="AN30">
        <v>3.692609806962651E-2</v>
      </c>
      <c r="AO30">
        <f t="shared" si="12"/>
        <v>2.8933827770356458E-2</v>
      </c>
      <c r="AP30">
        <v>0.39332442982651894</v>
      </c>
      <c r="AQ30">
        <v>3.8490826956064685E-2</v>
      </c>
      <c r="AR30">
        <f t="shared" si="13"/>
        <v>1.5139382566045348E-2</v>
      </c>
      <c r="AS30">
        <v>0.69583504349074643</v>
      </c>
      <c r="AT30">
        <v>4.6103086912661143E-2</v>
      </c>
      <c r="AU30">
        <f t="shared" si="14"/>
        <v>3.2080143486929232E-2</v>
      </c>
      <c r="AV30">
        <v>0.91335998644908933</v>
      </c>
      <c r="AW30">
        <v>5.6810934246768155E-2</v>
      </c>
      <c r="AX30">
        <f t="shared" si="15"/>
        <v>5.1888834133788267E-2</v>
      </c>
      <c r="AY30">
        <v>0.90589767455371351</v>
      </c>
      <c r="AZ30">
        <v>4.7482848028700342E-2</v>
      </c>
      <c r="BA30">
        <f t="shared" si="16"/>
        <v>4.3014601610387018E-2</v>
      </c>
      <c r="BB30">
        <v>0.93767145994030709</v>
      </c>
      <c r="BC30">
        <v>5.1582399838600503E-2</v>
      </c>
      <c r="BD30">
        <f t="shared" si="17"/>
        <v>4.8367344163885197E-2</v>
      </c>
      <c r="BE30">
        <v>0.88208416638893883</v>
      </c>
      <c r="BF30">
        <v>5.3532055805714865E-2</v>
      </c>
      <c r="BG30">
        <f t="shared" si="18"/>
        <v>4.7219778820470147E-2</v>
      </c>
      <c r="BH30">
        <v>0.69478842656025896</v>
      </c>
      <c r="BI30">
        <v>4.0681925431079423E-2</v>
      </c>
      <c r="BJ30">
        <f t="shared" si="19"/>
        <v>2.8265330959701455E-2</v>
      </c>
      <c r="BK30">
        <v>0.88547568122424214</v>
      </c>
      <c r="BL30">
        <v>4.9999669342486397E-2</v>
      </c>
      <c r="BM30">
        <f t="shared" si="20"/>
        <v>4.4273491272024998E-2</v>
      </c>
      <c r="BN30">
        <v>0.63812628282944417</v>
      </c>
      <c r="BO30">
        <v>4.4135329937912637E-2</v>
      </c>
      <c r="BP30">
        <f t="shared" si="21"/>
        <v>2.8163914034731275E-2</v>
      </c>
      <c r="BQ30">
        <v>0.64663367987991327</v>
      </c>
      <c r="BR30">
        <v>4.401279783391817E-2</v>
      </c>
      <c r="BS30">
        <f t="shared" si="22"/>
        <v>2.8460157425157184E-2</v>
      </c>
      <c r="BT30">
        <f t="shared" si="23"/>
        <v>0.74352389564593668</v>
      </c>
    </row>
    <row r="31" spans="1:72" x14ac:dyDescent="0.3">
      <c r="A31" s="1">
        <v>29</v>
      </c>
      <c r="B31" s="1" t="s">
        <v>49</v>
      </c>
      <c r="C31">
        <v>0.5822945601638656</v>
      </c>
      <c r="D31">
        <v>4.1493609063568894E-2</v>
      </c>
      <c r="E31">
        <f t="shared" si="0"/>
        <v>2.4161502839282235E-2</v>
      </c>
      <c r="F31">
        <v>0.21962625750149128</v>
      </c>
      <c r="G31">
        <v>3.6080982186227274E-2</v>
      </c>
      <c r="H31">
        <f t="shared" si="1"/>
        <v>7.9243310845390717E-3</v>
      </c>
      <c r="I31">
        <v>0.70355072032898636</v>
      </c>
      <c r="J31">
        <v>3.9324234102775794E-2</v>
      </c>
      <c r="K31">
        <f t="shared" si="2"/>
        <v>2.7666593229393601E-2</v>
      </c>
      <c r="L31">
        <v>0.77554760185975136</v>
      </c>
      <c r="M31">
        <v>4.5294626074195793E-2</v>
      </c>
      <c r="N31">
        <f t="shared" si="3"/>
        <v>3.5128138628976714E-2</v>
      </c>
      <c r="O31">
        <v>0.50675071776307579</v>
      </c>
      <c r="P31">
        <v>3.7366108946429021E-2</v>
      </c>
      <c r="Q31">
        <f t="shared" si="4"/>
        <v>1.8935302528616194E-2</v>
      </c>
      <c r="R31">
        <v>0.67593424014697079</v>
      </c>
      <c r="S31">
        <v>4.2950247442181184E-2</v>
      </c>
      <c r="T31">
        <f t="shared" si="5"/>
        <v>2.9031542868955113E-2</v>
      </c>
      <c r="U31">
        <v>0.72407911811515502</v>
      </c>
      <c r="V31">
        <v>3.9449574080376477E-2</v>
      </c>
      <c r="W31">
        <f t="shared" si="6"/>
        <v>2.8564612810137478E-2</v>
      </c>
      <c r="X31">
        <v>0.71437753188308306</v>
      </c>
      <c r="Y31">
        <v>4.7549363968995048E-2</v>
      </c>
      <c r="Z31">
        <f t="shared" si="7"/>
        <v>3.3968197274781078E-2</v>
      </c>
      <c r="AA31">
        <v>0.72622465007629278</v>
      </c>
      <c r="AB31">
        <v>4.7700562481971708E-2</v>
      </c>
      <c r="AC31">
        <f t="shared" si="8"/>
        <v>3.4641324296912246E-2</v>
      </c>
      <c r="AD31">
        <v>0.55759137322263574</v>
      </c>
      <c r="AE31">
        <v>3.6434896195912135E-2</v>
      </c>
      <c r="AF31">
        <f t="shared" si="9"/>
        <v>2.0315783803102835E-2</v>
      </c>
      <c r="AG31">
        <v>0.55759137322263574</v>
      </c>
      <c r="AH31">
        <v>3.6434896195912135E-2</v>
      </c>
      <c r="AI31">
        <f t="shared" si="10"/>
        <v>2.0315783803102835E-2</v>
      </c>
      <c r="AJ31">
        <v>0.83483929579885574</v>
      </c>
      <c r="AK31">
        <v>4.0162926857921659E-2</v>
      </c>
      <c r="AL31">
        <f t="shared" si="11"/>
        <v>3.3529589575288267E-2</v>
      </c>
      <c r="AM31">
        <v>0.81892269748798785</v>
      </c>
      <c r="AN31">
        <v>3.692609806962651E-2</v>
      </c>
      <c r="AO31">
        <f t="shared" si="12"/>
        <v>3.0239619838884523E-2</v>
      </c>
      <c r="AP31">
        <v>0.48142794854276599</v>
      </c>
      <c r="AQ31">
        <v>3.8490826956064685E-2</v>
      </c>
      <c r="AR31">
        <f t="shared" si="13"/>
        <v>1.8530559859172818E-2</v>
      </c>
      <c r="AS31">
        <v>0.72402208974086968</v>
      </c>
      <c r="AT31">
        <v>4.6103086912661143E-2</v>
      </c>
      <c r="AU31">
        <f t="shared" si="14"/>
        <v>3.3379653330009862E-2</v>
      </c>
      <c r="AV31">
        <v>0.80788891842867772</v>
      </c>
      <c r="AW31">
        <v>5.6810934246768155E-2</v>
      </c>
      <c r="AX31">
        <f t="shared" si="15"/>
        <v>4.5896924223544251E-2</v>
      </c>
      <c r="AY31">
        <v>0.6350024872701393</v>
      </c>
      <c r="AZ31">
        <v>4.7482848028700342E-2</v>
      </c>
      <c r="BA31">
        <f t="shared" si="16"/>
        <v>3.0151726600894747E-2</v>
      </c>
      <c r="BB31">
        <v>0.89184071091203154</v>
      </c>
      <c r="BC31">
        <v>5.1582399838600503E-2</v>
      </c>
      <c r="BD31">
        <f t="shared" si="17"/>
        <v>4.6003284142606134E-2</v>
      </c>
      <c r="BE31">
        <v>0.83678145025719075</v>
      </c>
      <c r="BF31">
        <v>5.3532055805714865E-2</v>
      </c>
      <c r="BG31">
        <f t="shared" si="18"/>
        <v>4.4794631292354954E-2</v>
      </c>
      <c r="BH31">
        <v>0.52973470189017891</v>
      </c>
      <c r="BI31">
        <v>4.0681925431079423E-2</v>
      </c>
      <c r="BJ31">
        <f t="shared" si="19"/>
        <v>2.1550627640551347E-2</v>
      </c>
      <c r="BK31">
        <v>0.81543770917935532</v>
      </c>
      <c r="BL31">
        <v>4.9999669342486397E-2</v>
      </c>
      <c r="BM31">
        <f t="shared" si="20"/>
        <v>4.0771615828362348E-2</v>
      </c>
      <c r="BN31">
        <v>0.82204556136785545</v>
      </c>
      <c r="BO31">
        <v>4.4135329937912637E-2</v>
      </c>
      <c r="BP31">
        <f t="shared" si="21"/>
        <v>3.6281252074966908E-2</v>
      </c>
      <c r="BQ31">
        <v>0.72513481959192749</v>
      </c>
      <c r="BR31">
        <v>4.401279783391817E-2</v>
      </c>
      <c r="BS31">
        <f t="shared" si="22"/>
        <v>3.1915212217034229E-2</v>
      </c>
      <c r="BT31">
        <f t="shared" si="23"/>
        <v>0.69369780979146978</v>
      </c>
    </row>
    <row r="32" spans="1:72" x14ac:dyDescent="0.3">
      <c r="A32" s="1">
        <v>30</v>
      </c>
      <c r="B32" s="1" t="s">
        <v>48</v>
      </c>
      <c r="C32">
        <v>0.97159172125168547</v>
      </c>
      <c r="D32">
        <v>4.1493609063568894E-2</v>
      </c>
      <c r="E32">
        <f t="shared" si="0"/>
        <v>4.0314847051017441E-2</v>
      </c>
      <c r="F32">
        <v>0.95569688774351325</v>
      </c>
      <c r="G32">
        <v>3.6080982186227274E-2</v>
      </c>
      <c r="H32">
        <f t="shared" si="1"/>
        <v>3.448248238210655E-2</v>
      </c>
      <c r="I32">
        <v>0.97334466269883135</v>
      </c>
      <c r="J32">
        <v>3.9324234102775794E-2</v>
      </c>
      <c r="K32">
        <f t="shared" si="2"/>
        <v>3.8276033378656184E-2</v>
      </c>
      <c r="L32">
        <v>0.98469137921460337</v>
      </c>
      <c r="M32">
        <v>4.5294626074195793E-2</v>
      </c>
      <c r="N32">
        <f t="shared" si="3"/>
        <v>4.4601227820009588E-2</v>
      </c>
      <c r="O32">
        <v>0.88234677318686805</v>
      </c>
      <c r="P32">
        <v>3.7366108946429021E-2</v>
      </c>
      <c r="Q32">
        <f t="shared" si="4"/>
        <v>3.2969865655430607E-2</v>
      </c>
      <c r="R32">
        <v>0.97459755827088024</v>
      </c>
      <c r="S32">
        <v>4.2950247442181184E-2</v>
      </c>
      <c r="T32">
        <f t="shared" si="5"/>
        <v>4.1859206284279901E-2</v>
      </c>
      <c r="U32">
        <v>0.97213132102922184</v>
      </c>
      <c r="V32">
        <v>3.9449574080376477E-2</v>
      </c>
      <c r="W32">
        <f t="shared" si="6"/>
        <v>3.8350166564796534E-2</v>
      </c>
      <c r="X32">
        <v>0.97885557536902679</v>
      </c>
      <c r="Y32">
        <v>4.7549363968995048E-2</v>
      </c>
      <c r="Z32">
        <f t="shared" si="7"/>
        <v>4.6543960026301921E-2</v>
      </c>
      <c r="AA32">
        <v>0.9832079472996047</v>
      </c>
      <c r="AB32">
        <v>4.7700562481971708E-2</v>
      </c>
      <c r="AC32">
        <f t="shared" si="8"/>
        <v>4.689957212293594E-2</v>
      </c>
      <c r="AD32">
        <v>0.9851744304936404</v>
      </c>
      <c r="AE32">
        <v>3.6434896195912135E-2</v>
      </c>
      <c r="AF32">
        <f t="shared" si="9"/>
        <v>3.5894728109902643E-2</v>
      </c>
      <c r="AG32">
        <v>0.9851744304936404</v>
      </c>
      <c r="AH32">
        <v>3.6434896195912135E-2</v>
      </c>
      <c r="AI32">
        <f t="shared" si="10"/>
        <v>3.5894728109902643E-2</v>
      </c>
      <c r="AJ32">
        <v>0.99527340584869983</v>
      </c>
      <c r="AK32">
        <v>4.0162926857921659E-2</v>
      </c>
      <c r="AL32">
        <f t="shared" si="11"/>
        <v>3.997309300273591E-2</v>
      </c>
      <c r="AM32">
        <v>0.94353845765346067</v>
      </c>
      <c r="AN32">
        <v>3.692609806962651E-2</v>
      </c>
      <c r="AO32">
        <f t="shared" si="12"/>
        <v>3.4841193619775827E-2</v>
      </c>
      <c r="AP32">
        <v>0.98204077989226524</v>
      </c>
      <c r="AQ32">
        <v>3.8490826956064685E-2</v>
      </c>
      <c r="AR32">
        <f t="shared" si="13"/>
        <v>3.7799561722631991E-2</v>
      </c>
      <c r="AS32">
        <v>0.99317638875168945</v>
      </c>
      <c r="AT32">
        <v>4.6103086912661143E-2</v>
      </c>
      <c r="AU32">
        <f t="shared" si="14"/>
        <v>4.5788497370222073E-2</v>
      </c>
      <c r="AV32">
        <v>0.97935393116630942</v>
      </c>
      <c r="AW32">
        <v>5.6810934246768155E-2</v>
      </c>
      <c r="AX32">
        <f t="shared" si="15"/>
        <v>5.5638011787803109E-2</v>
      </c>
      <c r="AY32">
        <v>0.99898512116213012</v>
      </c>
      <c r="AZ32">
        <v>4.7482848028700342E-2</v>
      </c>
      <c r="BA32">
        <f t="shared" si="16"/>
        <v>4.7434658691074223E-2</v>
      </c>
      <c r="BB32">
        <v>0.99947824105366434</v>
      </c>
      <c r="BC32">
        <v>5.1582399838600503E-2</v>
      </c>
      <c r="BD32">
        <f t="shared" si="17"/>
        <v>5.1555486260011246E-2</v>
      </c>
      <c r="BE32">
        <v>0.99934065839727715</v>
      </c>
      <c r="BF32">
        <v>5.3532055805714865E-2</v>
      </c>
      <c r="BG32">
        <f t="shared" si="18"/>
        <v>5.3496759894242879E-2</v>
      </c>
      <c r="BH32">
        <v>0.99738884481943546</v>
      </c>
      <c r="BI32">
        <v>4.0681925431079423E-2</v>
      </c>
      <c r="BJ32">
        <f t="shared" si="19"/>
        <v>4.057569861073472E-2</v>
      </c>
      <c r="BK32">
        <v>0.99931846238056266</v>
      </c>
      <c r="BL32">
        <v>4.9999669342486397E-2</v>
      </c>
      <c r="BM32">
        <f t="shared" si="20"/>
        <v>4.9965592686870064E-2</v>
      </c>
      <c r="BN32">
        <v>0.99489742436589756</v>
      </c>
      <c r="BO32">
        <v>4.4135329937912637E-2</v>
      </c>
      <c r="BP32">
        <f t="shared" si="21"/>
        <v>4.3910126078768374E-2</v>
      </c>
      <c r="BQ32">
        <v>0.99446425593087073</v>
      </c>
      <c r="BR32">
        <v>4.401279783391817E-2</v>
      </c>
      <c r="BS32">
        <f t="shared" si="22"/>
        <v>4.3769154249343273E-2</v>
      </c>
      <c r="BT32">
        <f t="shared" si="23"/>
        <v>0.98083465147955362</v>
      </c>
    </row>
    <row r="33" spans="1:72" x14ac:dyDescent="0.3">
      <c r="A33" s="1">
        <v>31</v>
      </c>
      <c r="B33" s="1" t="s">
        <v>47</v>
      </c>
      <c r="C33">
        <v>1</v>
      </c>
      <c r="D33">
        <v>4.1493609063568894E-2</v>
      </c>
      <c r="E33">
        <f t="shared" si="0"/>
        <v>4.1493609063568894E-2</v>
      </c>
      <c r="F33">
        <v>0.99943639308557275</v>
      </c>
      <c r="G33">
        <v>3.6080982186227274E-2</v>
      </c>
      <c r="H33">
        <f t="shared" si="1"/>
        <v>3.6060646695187791E-2</v>
      </c>
      <c r="I33">
        <v>0.99653405810583495</v>
      </c>
      <c r="J33">
        <v>3.9324234102775794E-2</v>
      </c>
      <c r="K33">
        <f t="shared" si="2"/>
        <v>3.9187938592343027E-2</v>
      </c>
      <c r="L33">
        <v>1</v>
      </c>
      <c r="M33">
        <v>4.5294626074195793E-2</v>
      </c>
      <c r="N33">
        <f t="shared" si="3"/>
        <v>4.5294626074195793E-2</v>
      </c>
      <c r="O33">
        <v>1</v>
      </c>
      <c r="P33">
        <v>3.7366108946429021E-2</v>
      </c>
      <c r="Q33">
        <f t="shared" si="4"/>
        <v>3.7366108946429021E-2</v>
      </c>
      <c r="R33">
        <v>0.99942419569093943</v>
      </c>
      <c r="S33">
        <v>4.2950247442181184E-2</v>
      </c>
      <c r="T33">
        <f t="shared" si="5"/>
        <v>4.2925516504628759E-2</v>
      </c>
      <c r="U33">
        <v>0.9962867790222536</v>
      </c>
      <c r="V33">
        <v>3.9449574080376477E-2</v>
      </c>
      <c r="W33">
        <f t="shared" si="6"/>
        <v>3.9303089094338065E-2</v>
      </c>
      <c r="X33">
        <v>1</v>
      </c>
      <c r="Y33">
        <v>4.7549363968995048E-2</v>
      </c>
      <c r="Z33">
        <f t="shared" si="7"/>
        <v>4.7549363968995048E-2</v>
      </c>
      <c r="AA33">
        <v>0.99968778903109001</v>
      </c>
      <c r="AB33">
        <v>4.7700562481971708E-2</v>
      </c>
      <c r="AC33">
        <f t="shared" si="8"/>
        <v>4.7685669843141661E-2</v>
      </c>
      <c r="AD33">
        <v>0.99888211797745152</v>
      </c>
      <c r="AE33">
        <v>3.6434896195912135E-2</v>
      </c>
      <c r="AF33">
        <f t="shared" si="9"/>
        <v>3.6394166280461306E-2</v>
      </c>
      <c r="AG33">
        <v>0.99888211797745152</v>
      </c>
      <c r="AH33">
        <v>3.6434896195912135E-2</v>
      </c>
      <c r="AI33">
        <f t="shared" si="10"/>
        <v>3.6394166280461306E-2</v>
      </c>
      <c r="AJ33">
        <v>0.9987109288678272</v>
      </c>
      <c r="AK33">
        <v>4.0162926857921659E-2</v>
      </c>
      <c r="AL33">
        <f t="shared" si="11"/>
        <v>4.0111153988325543E-2</v>
      </c>
      <c r="AM33">
        <v>0.99928106880848733</v>
      </c>
      <c r="AN33">
        <v>3.692609806962651E-2</v>
      </c>
      <c r="AO33">
        <f t="shared" si="12"/>
        <v>3.6899550745943401E-2</v>
      </c>
      <c r="AP33">
        <v>0.99772376927328843</v>
      </c>
      <c r="AQ33">
        <v>3.8490826956064685E-2</v>
      </c>
      <c r="AR33">
        <f t="shared" si="13"/>
        <v>3.8403212953050755E-2</v>
      </c>
      <c r="AS33">
        <v>1</v>
      </c>
      <c r="AT33">
        <v>4.6103086912661143E-2</v>
      </c>
      <c r="AU33">
        <f t="shared" si="14"/>
        <v>4.6103086912661143E-2</v>
      </c>
      <c r="AV33">
        <v>0.99853329339853025</v>
      </c>
      <c r="AW33">
        <v>5.6810934246768155E-2</v>
      </c>
      <c r="AX33">
        <f t="shared" si="15"/>
        <v>5.6727609274472755E-2</v>
      </c>
      <c r="AY33">
        <v>1</v>
      </c>
      <c r="AZ33">
        <v>4.7482848028700342E-2</v>
      </c>
      <c r="BA33">
        <f t="shared" si="16"/>
        <v>4.7482848028700342E-2</v>
      </c>
      <c r="BB33">
        <v>1</v>
      </c>
      <c r="BC33">
        <v>5.1582399838600503E-2</v>
      </c>
      <c r="BD33">
        <f t="shared" si="17"/>
        <v>5.1582399838600503E-2</v>
      </c>
      <c r="BE33">
        <v>0.99999333146716618</v>
      </c>
      <c r="BF33">
        <v>5.3532055805714865E-2</v>
      </c>
      <c r="BG33">
        <f t="shared" si="18"/>
        <v>5.3531698825443064E-2</v>
      </c>
      <c r="BH33">
        <v>0.99988750270426197</v>
      </c>
      <c r="BI33">
        <v>4.0681925431079423E-2</v>
      </c>
      <c r="BJ33">
        <f t="shared" si="19"/>
        <v>4.0677348824483012E-2</v>
      </c>
      <c r="BK33">
        <v>0.99988463072314016</v>
      </c>
      <c r="BL33">
        <v>4.9999669342486397E-2</v>
      </c>
      <c r="BM33">
        <f t="shared" si="20"/>
        <v>4.9993900916791123E-2</v>
      </c>
      <c r="BN33">
        <v>0.99809625574420169</v>
      </c>
      <c r="BO33">
        <v>4.4135329937912637E-2</v>
      </c>
      <c r="BP33">
        <f t="shared" si="21"/>
        <v>4.4051307557065572E-2</v>
      </c>
      <c r="BQ33">
        <v>1</v>
      </c>
      <c r="BR33">
        <v>4.401279783391817E-2</v>
      </c>
      <c r="BS33">
        <f t="shared" si="22"/>
        <v>4.401279783391817E-2</v>
      </c>
      <c r="BT33">
        <f t="shared" si="23"/>
        <v>0.99923181704320596</v>
      </c>
    </row>
    <row r="34" spans="1:72" x14ac:dyDescent="0.3">
      <c r="A34" s="1">
        <v>32</v>
      </c>
      <c r="B34" s="1" t="s">
        <v>46</v>
      </c>
      <c r="C34">
        <v>0.79740054965701701</v>
      </c>
      <c r="D34">
        <v>4.1493609063568894E-2</v>
      </c>
      <c r="E34">
        <f t="shared" si="0"/>
        <v>3.3087026674543218E-2</v>
      </c>
      <c r="F34">
        <v>0.56251578842345029</v>
      </c>
      <c r="G34">
        <v>3.6080982186227274E-2</v>
      </c>
      <c r="H34">
        <f t="shared" si="1"/>
        <v>2.02961221415781E-2</v>
      </c>
      <c r="I34">
        <v>0.5808790104323508</v>
      </c>
      <c r="J34">
        <v>3.9324234102775794E-2</v>
      </c>
      <c r="K34">
        <f t="shared" si="2"/>
        <v>2.2842622191630507E-2</v>
      </c>
      <c r="L34">
        <v>0.8242322972775139</v>
      </c>
      <c r="M34">
        <v>4.5294626074195793E-2</v>
      </c>
      <c r="N34">
        <f t="shared" si="3"/>
        <v>3.7333293703460377E-2</v>
      </c>
      <c r="O34">
        <v>0.53286980401947326</v>
      </c>
      <c r="P34">
        <v>3.7366108946429021E-2</v>
      </c>
      <c r="Q34">
        <f t="shared" si="4"/>
        <v>1.9911271151253917E-2</v>
      </c>
      <c r="R34">
        <v>0.6386354375667298</v>
      </c>
      <c r="S34">
        <v>4.2950247442181184E-2</v>
      </c>
      <c r="T34">
        <f t="shared" si="5"/>
        <v>2.7429550068836697E-2</v>
      </c>
      <c r="U34">
        <v>0.57518450516244568</v>
      </c>
      <c r="V34">
        <v>3.9449574080376477E-2</v>
      </c>
      <c r="W34">
        <f t="shared" si="6"/>
        <v>2.2690783746290587E-2</v>
      </c>
      <c r="X34">
        <v>0.71189888460872652</v>
      </c>
      <c r="Y34">
        <v>4.7549363968995048E-2</v>
      </c>
      <c r="Z34">
        <f t="shared" si="7"/>
        <v>3.3850339173381948E-2</v>
      </c>
      <c r="AA34">
        <v>0.79985406347847576</v>
      </c>
      <c r="AB34">
        <v>4.7700562481971708E-2</v>
      </c>
      <c r="AC34">
        <f t="shared" si="8"/>
        <v>3.8153488731413998E-2</v>
      </c>
      <c r="AD34">
        <v>0</v>
      </c>
      <c r="AE34">
        <v>3.6434896195912135E-2</v>
      </c>
      <c r="AF34">
        <f t="shared" si="9"/>
        <v>0</v>
      </c>
      <c r="AG34">
        <v>0</v>
      </c>
      <c r="AH34">
        <v>3.6434896195912135E-2</v>
      </c>
      <c r="AI34">
        <f t="shared" si="10"/>
        <v>0</v>
      </c>
      <c r="AJ34">
        <v>0.97358018022442117</v>
      </c>
      <c r="AK34">
        <v>4.0162926857921659E-2</v>
      </c>
      <c r="AL34">
        <f t="shared" si="11"/>
        <v>3.9101829568675611E-2</v>
      </c>
      <c r="AM34">
        <v>0</v>
      </c>
      <c r="AN34">
        <v>3.692609806962651E-2</v>
      </c>
      <c r="AO34">
        <f t="shared" si="12"/>
        <v>0</v>
      </c>
      <c r="AP34">
        <v>0.21268509395030744</v>
      </c>
      <c r="AQ34">
        <v>3.8490826956064685E-2</v>
      </c>
      <c r="AR34">
        <f t="shared" si="13"/>
        <v>8.1864251473756436E-3</v>
      </c>
      <c r="AS34">
        <v>0.82933812616545943</v>
      </c>
      <c r="AT34">
        <v>4.6103086912661143E-2</v>
      </c>
      <c r="AU34">
        <f t="shared" si="14"/>
        <v>3.8235047710589706E-2</v>
      </c>
      <c r="AV34">
        <v>0</v>
      </c>
      <c r="AW34">
        <v>5.6810934246768155E-2</v>
      </c>
      <c r="AX34">
        <f t="shared" si="15"/>
        <v>0</v>
      </c>
      <c r="AY34">
        <v>0.98626131223773217</v>
      </c>
      <c r="AZ34">
        <v>4.7482848028700342E-2</v>
      </c>
      <c r="BA34">
        <f t="shared" si="16"/>
        <v>4.6830496005570814E-2</v>
      </c>
      <c r="BB34">
        <v>0.97970759844977784</v>
      </c>
      <c r="BC34">
        <v>5.1582399838600503E-2</v>
      </c>
      <c r="BD34">
        <f t="shared" si="17"/>
        <v>5.0535669068151504E-2</v>
      </c>
      <c r="BE34">
        <v>0.97213840992130518</v>
      </c>
      <c r="BF34">
        <v>5.3532055805714865E-2</v>
      </c>
      <c r="BG34">
        <f t="shared" si="18"/>
        <v>5.2040567610786223E-2</v>
      </c>
      <c r="BH34">
        <v>0.88199001626563467</v>
      </c>
      <c r="BI34">
        <v>4.0681925431079423E-2</v>
      </c>
      <c r="BJ34">
        <f t="shared" si="19"/>
        <v>3.5881052072675078E-2</v>
      </c>
      <c r="BK34">
        <v>0.93661235876548843</v>
      </c>
      <c r="BL34">
        <v>4.9999669342486397E-2</v>
      </c>
      <c r="BM34">
        <f t="shared" si="20"/>
        <v>4.6830308240360663E-2</v>
      </c>
      <c r="BN34">
        <v>0.50915183628475691</v>
      </c>
      <c r="BO34">
        <v>4.4135329937912637E-2</v>
      </c>
      <c r="BP34">
        <f t="shared" si="21"/>
        <v>2.2471584282921824E-2</v>
      </c>
      <c r="BQ34">
        <v>0.89336743203424696</v>
      </c>
      <c r="BR34">
        <v>4.401279783391817E-2</v>
      </c>
      <c r="BS34">
        <f t="shared" si="22"/>
        <v>3.9319600177529945E-2</v>
      </c>
      <c r="BT34">
        <f t="shared" si="23"/>
        <v>0.63502707746702636</v>
      </c>
    </row>
    <row r="35" spans="1:72" x14ac:dyDescent="0.3">
      <c r="A35" s="1">
        <v>33</v>
      </c>
      <c r="B35" s="1" t="s">
        <v>45</v>
      </c>
      <c r="C35">
        <v>0.76870049587020428</v>
      </c>
      <c r="D35">
        <v>4.1493609063568894E-2</v>
      </c>
      <c r="E35">
        <f t="shared" si="0"/>
        <v>3.1896157862609811E-2</v>
      </c>
      <c r="F35">
        <v>0.57260870395883445</v>
      </c>
      <c r="G35">
        <v>3.6080982186227274E-2</v>
      </c>
      <c r="H35">
        <f t="shared" si="1"/>
        <v>2.0660284447217393E-2</v>
      </c>
      <c r="I35">
        <v>0.55823722233624051</v>
      </c>
      <c r="J35">
        <v>3.9324234102775794E-2</v>
      </c>
      <c r="K35">
        <f t="shared" si="2"/>
        <v>2.1952251216033624E-2</v>
      </c>
      <c r="L35">
        <v>0.83424032389154479</v>
      </c>
      <c r="M35">
        <v>4.5294626074195793E-2</v>
      </c>
      <c r="N35">
        <f t="shared" si="3"/>
        <v>3.7786603526683511E-2</v>
      </c>
      <c r="O35">
        <v>0.26697166396205219</v>
      </c>
      <c r="P35">
        <v>3.7366108946429021E-2</v>
      </c>
      <c r="Q35">
        <f t="shared" si="4"/>
        <v>9.975692281215481E-3</v>
      </c>
      <c r="R35">
        <v>0.71887667518963327</v>
      </c>
      <c r="S35">
        <v>4.2950247442181184E-2</v>
      </c>
      <c r="T35">
        <f t="shared" si="5"/>
        <v>3.087593107980726E-2</v>
      </c>
      <c r="U35">
        <v>0.59219504376442933</v>
      </c>
      <c r="V35">
        <v>3.9449574080376477E-2</v>
      </c>
      <c r="W35">
        <f t="shared" si="6"/>
        <v>2.3361842249016645E-2</v>
      </c>
      <c r="X35">
        <v>0.51710658961975109</v>
      </c>
      <c r="Y35">
        <v>4.7549363968995048E-2</v>
      </c>
      <c r="Z35">
        <f t="shared" si="7"/>
        <v>2.45880894405953E-2</v>
      </c>
      <c r="AA35">
        <v>0.48600823822037026</v>
      </c>
      <c r="AB35">
        <v>4.7700562481971708E-2</v>
      </c>
      <c r="AC35">
        <f t="shared" si="8"/>
        <v>2.3182866333983761E-2</v>
      </c>
      <c r="AD35">
        <v>0.77593281801698633</v>
      </c>
      <c r="AE35">
        <v>3.6434896195912135E-2</v>
      </c>
      <c r="AF35">
        <f t="shared" si="9"/>
        <v>2.8271031679450477E-2</v>
      </c>
      <c r="AG35">
        <v>0.77593281801698633</v>
      </c>
      <c r="AH35">
        <v>3.6434896195912135E-2</v>
      </c>
      <c r="AI35">
        <f t="shared" si="10"/>
        <v>2.8271031679450477E-2</v>
      </c>
      <c r="AJ35">
        <v>0.83066516070420116</v>
      </c>
      <c r="AK35">
        <v>4.0162926857921659E-2</v>
      </c>
      <c r="AL35">
        <f t="shared" si="11"/>
        <v>3.3361944092786575E-2</v>
      </c>
      <c r="AM35">
        <v>0.53449874923572904</v>
      </c>
      <c r="AN35">
        <v>3.692609806962651E-2</v>
      </c>
      <c r="AO35">
        <f t="shared" si="12"/>
        <v>1.9736953232371238E-2</v>
      </c>
      <c r="AP35">
        <v>0.59649947986582941</v>
      </c>
      <c r="AQ35">
        <v>3.8490826956064685E-2</v>
      </c>
      <c r="AR35">
        <f t="shared" si="13"/>
        <v>2.2959758258898229E-2</v>
      </c>
      <c r="AS35">
        <v>0.64924829294389896</v>
      </c>
      <c r="AT35">
        <v>4.6103086912661143E-2</v>
      </c>
      <c r="AU35">
        <f t="shared" si="14"/>
        <v>2.9932350477489458E-2</v>
      </c>
      <c r="AV35">
        <v>0.85685840980960293</v>
      </c>
      <c r="AW35">
        <v>5.6810934246768155E-2</v>
      </c>
      <c r="AX35">
        <f t="shared" si="15"/>
        <v>4.8678926778483671E-2</v>
      </c>
      <c r="AY35">
        <v>0.49802712879459993</v>
      </c>
      <c r="AZ35">
        <v>4.7482848028700342E-2</v>
      </c>
      <c r="BA35">
        <f t="shared" si="16"/>
        <v>2.3647746470723961E-2</v>
      </c>
      <c r="BB35">
        <v>0.90358647406955994</v>
      </c>
      <c r="BC35">
        <v>5.1582399838600503E-2</v>
      </c>
      <c r="BD35">
        <f t="shared" si="17"/>
        <v>4.6609158794207267E-2</v>
      </c>
      <c r="BE35">
        <v>0.90662375401913242</v>
      </c>
      <c r="BF35">
        <v>5.3532055805714865E-2</v>
      </c>
      <c r="BG35">
        <f t="shared" si="18"/>
        <v>4.8533433394938902E-2</v>
      </c>
      <c r="BH35">
        <v>0.65770181806527084</v>
      </c>
      <c r="BI35">
        <v>4.0681925431079423E-2</v>
      </c>
      <c r="BJ35">
        <f t="shared" si="19"/>
        <v>2.6756576318416714E-2</v>
      </c>
      <c r="BK35">
        <v>0.74504689749497788</v>
      </c>
      <c r="BL35">
        <v>4.9999669342486397E-2</v>
      </c>
      <c r="BM35">
        <f t="shared" si="20"/>
        <v>3.7252098519394247E-2</v>
      </c>
      <c r="BN35">
        <v>0.88185965042791981</v>
      </c>
      <c r="BO35">
        <v>4.4135329937912637E-2</v>
      </c>
      <c r="BP35">
        <f t="shared" si="21"/>
        <v>3.8921166630568542E-2</v>
      </c>
      <c r="BQ35">
        <v>0.41414037122048464</v>
      </c>
      <c r="BR35">
        <v>4.401279783391817E-2</v>
      </c>
      <c r="BS35">
        <f t="shared" si="22"/>
        <v>1.8227476433391013E-2</v>
      </c>
      <c r="BT35">
        <f t="shared" si="23"/>
        <v>0.67543937119773356</v>
      </c>
    </row>
    <row r="36" spans="1:72" x14ac:dyDescent="0.3">
      <c r="A36" s="1">
        <v>34</v>
      </c>
      <c r="B36" s="1" t="s">
        <v>44</v>
      </c>
      <c r="C36">
        <v>0.99411881727956619</v>
      </c>
      <c r="D36">
        <v>4.1493609063568894E-2</v>
      </c>
      <c r="E36">
        <f t="shared" si="0"/>
        <v>4.1249577566935799E-2</v>
      </c>
      <c r="F36">
        <v>0.99462503688388004</v>
      </c>
      <c r="G36">
        <v>3.6080982186227274E-2</v>
      </c>
      <c r="H36">
        <f t="shared" si="1"/>
        <v>3.5887048237782923E-2</v>
      </c>
      <c r="I36">
        <v>0.99052859929530324</v>
      </c>
      <c r="J36">
        <v>3.9324234102775794E-2</v>
      </c>
      <c r="K36">
        <f t="shared" si="2"/>
        <v>3.8951778524183106E-2</v>
      </c>
      <c r="L36">
        <v>0.99125654370970917</v>
      </c>
      <c r="M36">
        <v>4.5294626074195793E-2</v>
      </c>
      <c r="N36">
        <f t="shared" si="3"/>
        <v>4.4898594490930997E-2</v>
      </c>
      <c r="O36">
        <v>0.97017351142179509</v>
      </c>
      <c r="P36">
        <v>3.7366108946429021E-2</v>
      </c>
      <c r="Q36">
        <f t="shared" si="4"/>
        <v>3.6251609124726393E-2</v>
      </c>
      <c r="R36">
        <v>0.99500953968946892</v>
      </c>
      <c r="S36">
        <v>4.2950247442181184E-2</v>
      </c>
      <c r="T36">
        <f t="shared" si="5"/>
        <v>4.2735905936993487E-2</v>
      </c>
      <c r="U36">
        <v>0.99056385681803472</v>
      </c>
      <c r="V36">
        <v>3.9449574080376477E-2</v>
      </c>
      <c r="W36">
        <f t="shared" si="6"/>
        <v>3.9077322250886497E-2</v>
      </c>
      <c r="X36">
        <v>0.99277086169831064</v>
      </c>
      <c r="Y36">
        <v>4.7549363968995048E-2</v>
      </c>
      <c r="Z36">
        <f t="shared" si="7"/>
        <v>4.7205623040705816E-2</v>
      </c>
      <c r="AA36">
        <v>0.99194832398315902</v>
      </c>
      <c r="AB36">
        <v>4.7700562481971708E-2</v>
      </c>
      <c r="AC36">
        <f t="shared" si="8"/>
        <v>4.7316493007045789E-2</v>
      </c>
      <c r="AD36">
        <v>0.99751884721824602</v>
      </c>
      <c r="AE36">
        <v>3.6434896195912135E-2</v>
      </c>
      <c r="AF36">
        <f t="shared" si="9"/>
        <v>3.6344495651862728E-2</v>
      </c>
      <c r="AG36">
        <v>0.99751884721824602</v>
      </c>
      <c r="AH36">
        <v>3.6434896195912135E-2</v>
      </c>
      <c r="AI36">
        <f t="shared" si="10"/>
        <v>3.6344495651862728E-2</v>
      </c>
      <c r="AJ36">
        <v>0.99025216686718887</v>
      </c>
      <c r="AK36">
        <v>4.0162926857921659E-2</v>
      </c>
      <c r="AL36">
        <f t="shared" si="11"/>
        <v>3.977142534878534E-2</v>
      </c>
      <c r="AM36">
        <v>0.98813361789591525</v>
      </c>
      <c r="AN36">
        <v>3.692609806962651E-2</v>
      </c>
      <c r="AO36">
        <f t="shared" si="12"/>
        <v>3.6487918880319416E-2</v>
      </c>
      <c r="AP36">
        <v>0.9972190846325244</v>
      </c>
      <c r="AQ36">
        <v>3.8490826956064685E-2</v>
      </c>
      <c r="AR36">
        <f t="shared" si="13"/>
        <v>3.8383787223875719E-2</v>
      </c>
      <c r="AS36">
        <v>0.99637543475110535</v>
      </c>
      <c r="AT36">
        <v>4.6103086912661143E-2</v>
      </c>
      <c r="AU36">
        <f t="shared" si="14"/>
        <v>4.5935983265970738E-2</v>
      </c>
      <c r="AV36">
        <v>0.99722924259607626</v>
      </c>
      <c r="AW36">
        <v>5.6810934246768155E-2</v>
      </c>
      <c r="AX36">
        <f t="shared" si="15"/>
        <v>5.66535249300801E-2</v>
      </c>
      <c r="AY36">
        <v>0.99937303847582992</v>
      </c>
      <c r="AZ36">
        <v>4.7482848028700342E-2</v>
      </c>
      <c r="BA36">
        <f t="shared" si="16"/>
        <v>4.7453078109928333E-2</v>
      </c>
      <c r="BB36">
        <v>0.99930139982975807</v>
      </c>
      <c r="BC36">
        <v>5.1582399838600503E-2</v>
      </c>
      <c r="BD36">
        <f t="shared" si="17"/>
        <v>5.1546364365291766E-2</v>
      </c>
      <c r="BE36">
        <v>0.99965001700092626</v>
      </c>
      <c r="BF36">
        <v>5.3532055805714865E-2</v>
      </c>
      <c r="BG36">
        <f t="shared" si="18"/>
        <v>5.3513320496277397E-2</v>
      </c>
      <c r="BH36">
        <v>0.99951347323381645</v>
      </c>
      <c r="BI36">
        <v>4.0681925431079423E-2</v>
      </c>
      <c r="BJ36">
        <f t="shared" si="19"/>
        <v>4.0662132585457318E-2</v>
      </c>
      <c r="BK36">
        <v>0.99946934775271323</v>
      </c>
      <c r="BL36">
        <v>4.9999669342486397E-2</v>
      </c>
      <c r="BM36">
        <f t="shared" si="20"/>
        <v>4.9973136905586212E-2</v>
      </c>
      <c r="BN36">
        <v>0.99685189004947028</v>
      </c>
      <c r="BO36">
        <v>4.4135329937912637E-2</v>
      </c>
      <c r="BP36">
        <f t="shared" si="21"/>
        <v>4.3996387066565182E-2</v>
      </c>
      <c r="BQ36">
        <v>0.9922801388304251</v>
      </c>
      <c r="BR36">
        <v>4.401279783391817E-2</v>
      </c>
      <c r="BS36">
        <f t="shared" si="22"/>
        <v>4.3673025144955753E-2</v>
      </c>
      <c r="BT36">
        <f t="shared" si="23"/>
        <v>0.9943130278070097</v>
      </c>
    </row>
    <row r="37" spans="1:72" x14ac:dyDescent="0.3">
      <c r="A37" s="1">
        <v>35</v>
      </c>
      <c r="B37" s="1" t="s">
        <v>43</v>
      </c>
      <c r="C37">
        <v>0.99553053691027915</v>
      </c>
      <c r="D37">
        <v>4.1493609063568894E-2</v>
      </c>
      <c r="E37">
        <f t="shared" si="0"/>
        <v>4.1308154909399965E-2</v>
      </c>
      <c r="F37">
        <v>0.98511164936220075</v>
      </c>
      <c r="G37">
        <v>3.6080982186227274E-2</v>
      </c>
      <c r="H37">
        <f t="shared" si="1"/>
        <v>3.5543795872082534E-2</v>
      </c>
      <c r="I37">
        <v>0.98261562570129224</v>
      </c>
      <c r="J37">
        <v>3.9324234102775794E-2</v>
      </c>
      <c r="K37">
        <f t="shared" si="2"/>
        <v>3.8640606898123132E-2</v>
      </c>
      <c r="L37">
        <v>0.99798325012241851</v>
      </c>
      <c r="M37">
        <v>4.5294626074195793E-2</v>
      </c>
      <c r="N37">
        <f t="shared" si="3"/>
        <v>4.5203278142605559E-2</v>
      </c>
      <c r="O37">
        <v>0.98589314692298091</v>
      </c>
      <c r="P37">
        <v>3.7366108946429021E-2</v>
      </c>
      <c r="Q37">
        <f t="shared" si="4"/>
        <v>3.6838990737461857E-2</v>
      </c>
      <c r="R37">
        <v>0.99260269643343624</v>
      </c>
      <c r="S37">
        <v>4.2950247442181184E-2</v>
      </c>
      <c r="T37">
        <f t="shared" si="5"/>
        <v>4.2632531423592343E-2</v>
      </c>
      <c r="U37">
        <v>0.98219626643542091</v>
      </c>
      <c r="V37">
        <v>3.9449574080376477E-2</v>
      </c>
      <c r="W37">
        <f t="shared" si="6"/>
        <v>3.8747224374213331E-2</v>
      </c>
      <c r="X37">
        <v>0.99782758965628982</v>
      </c>
      <c r="Y37">
        <v>4.7549363968995048E-2</v>
      </c>
      <c r="Z37">
        <f t="shared" si="7"/>
        <v>4.7446067238871965E-2</v>
      </c>
      <c r="AA37">
        <v>0.99785023362257064</v>
      </c>
      <c r="AB37">
        <v>4.7700562481971708E-2</v>
      </c>
      <c r="AC37">
        <f t="shared" si="8"/>
        <v>4.7598017416563498E-2</v>
      </c>
      <c r="AD37">
        <v>0.99501724537510394</v>
      </c>
      <c r="AE37">
        <v>3.6434896195912135E-2</v>
      </c>
      <c r="AF37">
        <f t="shared" si="9"/>
        <v>3.6253350048384349E-2</v>
      </c>
      <c r="AG37">
        <v>0.99501724537510394</v>
      </c>
      <c r="AH37">
        <v>3.6434896195912135E-2</v>
      </c>
      <c r="AI37">
        <f t="shared" si="10"/>
        <v>3.6253350048384349E-2</v>
      </c>
      <c r="AJ37">
        <v>0.99388611977312347</v>
      </c>
      <c r="AK37">
        <v>4.0162926857921659E-2</v>
      </c>
      <c r="AL37">
        <f t="shared" si="11"/>
        <v>3.991737553355152E-2</v>
      </c>
      <c r="AM37">
        <v>0.99382155354946933</v>
      </c>
      <c r="AN37">
        <v>3.692609806962651E-2</v>
      </c>
      <c r="AO37">
        <f t="shared" si="12"/>
        <v>3.6697952150076277E-2</v>
      </c>
      <c r="AP37">
        <v>0.99613761754517272</v>
      </c>
      <c r="AQ37">
        <v>3.8490826956064685E-2</v>
      </c>
      <c r="AR37">
        <f t="shared" si="13"/>
        <v>3.8342160661357788E-2</v>
      </c>
      <c r="AS37">
        <v>0.99795206940173276</v>
      </c>
      <c r="AT37">
        <v>4.6103086912661143E-2</v>
      </c>
      <c r="AU37">
        <f t="shared" si="14"/>
        <v>4.600867099029813E-2</v>
      </c>
      <c r="AV37">
        <v>0.99876045063508678</v>
      </c>
      <c r="AW37">
        <v>5.6810934246768155E-2</v>
      </c>
      <c r="AX37">
        <f t="shared" si="15"/>
        <v>5.6740514289302449E-2</v>
      </c>
      <c r="AY37">
        <v>0.99961994996411307</v>
      </c>
      <c r="AZ37">
        <v>4.7482848028700342E-2</v>
      </c>
      <c r="BA37">
        <f t="shared" si="16"/>
        <v>4.7464802170603018E-2</v>
      </c>
      <c r="BB37">
        <v>0.99962724138517722</v>
      </c>
      <c r="BC37">
        <v>5.1582399838600503E-2</v>
      </c>
      <c r="BD37">
        <f t="shared" si="17"/>
        <v>5.1563172054687433E-2</v>
      </c>
      <c r="BE37">
        <v>0.99968880180108644</v>
      </c>
      <c r="BF37">
        <v>5.3532055805714865E-2</v>
      </c>
      <c r="BG37">
        <f t="shared" si="18"/>
        <v>5.3515396726363983E-2</v>
      </c>
      <c r="BH37">
        <v>0.99871862054598048</v>
      </c>
      <c r="BI37">
        <v>4.0681925431079423E-2</v>
      </c>
      <c r="BJ37">
        <f t="shared" si="19"/>
        <v>4.0629796447682082E-2</v>
      </c>
      <c r="BK37">
        <v>0.99984981102187465</v>
      </c>
      <c r="BL37">
        <v>4.9999669342486397E-2</v>
      </c>
      <c r="BM37">
        <f t="shared" si="20"/>
        <v>4.9992159943241243E-2</v>
      </c>
      <c r="BN37">
        <v>0.999350765724488</v>
      </c>
      <c r="BO37">
        <v>4.4135329937912637E-2</v>
      </c>
      <c r="BP37">
        <f t="shared" si="21"/>
        <v>4.4106675768955911E-2</v>
      </c>
      <c r="BQ37">
        <v>0.99859422281171317</v>
      </c>
      <c r="BR37">
        <v>4.401279783391817E-2</v>
      </c>
      <c r="BS37">
        <f t="shared" si="22"/>
        <v>4.3950925646730567E-2</v>
      </c>
      <c r="BT37">
        <f t="shared" si="23"/>
        <v>0.99539496949253325</v>
      </c>
    </row>
    <row r="38" spans="1:72" x14ac:dyDescent="0.3">
      <c r="A38" s="1">
        <v>36</v>
      </c>
      <c r="B38" s="1" t="s">
        <v>42</v>
      </c>
      <c r="C38">
        <v>0.71103513826158071</v>
      </c>
      <c r="D38">
        <v>4.1493609063568894E-2</v>
      </c>
      <c r="E38">
        <f t="shared" si="0"/>
        <v>2.9503414057486688E-2</v>
      </c>
      <c r="F38">
        <v>0.63089478700753387</v>
      </c>
      <c r="G38">
        <v>3.6080982186227274E-2</v>
      </c>
      <c r="H38">
        <f t="shared" si="1"/>
        <v>2.276330357140248E-2</v>
      </c>
      <c r="I38">
        <v>0.85277898722377476</v>
      </c>
      <c r="J38">
        <v>3.9324234102775794E-2</v>
      </c>
      <c r="K38">
        <f t="shared" si="2"/>
        <v>3.3534880531515765E-2</v>
      </c>
      <c r="L38">
        <v>0.71854854587033234</v>
      </c>
      <c r="M38">
        <v>4.5294626074195793E-2</v>
      </c>
      <c r="N38">
        <f t="shared" si="3"/>
        <v>3.2546387701353825E-2</v>
      </c>
      <c r="O38">
        <v>0.79082261889901384</v>
      </c>
      <c r="P38">
        <v>3.7366108946429021E-2</v>
      </c>
      <c r="Q38">
        <f t="shared" si="4"/>
        <v>2.9549964135080868E-2</v>
      </c>
      <c r="R38">
        <v>0.84806174797870648</v>
      </c>
      <c r="S38">
        <v>4.2950247442181184E-2</v>
      </c>
      <c r="T38">
        <f t="shared" si="5"/>
        <v>3.6424461921934145E-2</v>
      </c>
      <c r="U38">
        <v>0.8626745260094999</v>
      </c>
      <c r="V38">
        <v>3.9449574080376477E-2</v>
      </c>
      <c r="W38">
        <f t="shared" si="6"/>
        <v>3.403214262106543E-2</v>
      </c>
      <c r="X38">
        <v>0.74491961168258702</v>
      </c>
      <c r="Y38">
        <v>4.7549363968995048E-2</v>
      </c>
      <c r="Z38">
        <f t="shared" si="7"/>
        <v>3.5420453743537784E-2</v>
      </c>
      <c r="AA38">
        <v>0.73961860267226065</v>
      </c>
      <c r="AB38">
        <v>4.7700562481971708E-2</v>
      </c>
      <c r="AC38">
        <f t="shared" si="8"/>
        <v>3.5280223369596776E-2</v>
      </c>
      <c r="AD38">
        <v>0.39962237399970008</v>
      </c>
      <c r="AE38">
        <v>3.6434896195912135E-2</v>
      </c>
      <c r="AF38">
        <f t="shared" si="9"/>
        <v>1.4560199714243049E-2</v>
      </c>
      <c r="AG38">
        <v>0.39962237399970008</v>
      </c>
      <c r="AH38">
        <v>3.6434896195912135E-2</v>
      </c>
      <c r="AI38">
        <f t="shared" si="10"/>
        <v>1.4560199714243049E-2</v>
      </c>
      <c r="AJ38">
        <v>0.84073219240307417</v>
      </c>
      <c r="AK38">
        <v>4.0162926857921659E-2</v>
      </c>
      <c r="AL38">
        <f t="shared" si="11"/>
        <v>3.376626555058479E-2</v>
      </c>
      <c r="AM38">
        <v>0.7748980143112838</v>
      </c>
      <c r="AN38">
        <v>3.692609806962651E-2</v>
      </c>
      <c r="AO38">
        <f t="shared" si="12"/>
        <v>2.8613960070417312E-2</v>
      </c>
      <c r="AP38">
        <v>0.77177611228031628</v>
      </c>
      <c r="AQ38">
        <v>3.8490826956064685E-2</v>
      </c>
      <c r="AR38">
        <f t="shared" si="13"/>
        <v>2.9706300786606004E-2</v>
      </c>
      <c r="AS38">
        <v>0.79051442939634065</v>
      </c>
      <c r="AT38">
        <v>4.6103086912661143E-2</v>
      </c>
      <c r="AU38">
        <f t="shared" si="14"/>
        <v>3.644515544417222E-2</v>
      </c>
      <c r="AV38">
        <v>0.94008377334531379</v>
      </c>
      <c r="AW38">
        <v>5.6810934246768155E-2</v>
      </c>
      <c r="AX38">
        <f t="shared" si="15"/>
        <v>5.3407037433974319E-2</v>
      </c>
      <c r="AY38">
        <v>0.89640187023348872</v>
      </c>
      <c r="AZ38">
        <v>4.7482848028700342E-2</v>
      </c>
      <c r="BA38">
        <f t="shared" si="16"/>
        <v>4.2563713776939509E-2</v>
      </c>
      <c r="BB38">
        <v>0.95354283089287284</v>
      </c>
      <c r="BC38">
        <v>5.1582399838600503E-2</v>
      </c>
      <c r="BD38">
        <f t="shared" si="17"/>
        <v>4.9186027566347192E-2</v>
      </c>
      <c r="BE38">
        <v>0.87552056713495607</v>
      </c>
      <c r="BF38">
        <v>5.3532055805714865E-2</v>
      </c>
      <c r="BG38">
        <f t="shared" si="18"/>
        <v>4.6868415858919599E-2</v>
      </c>
      <c r="BH38">
        <v>0.67157295898335778</v>
      </c>
      <c r="BI38">
        <v>4.0681925431079423E-2</v>
      </c>
      <c r="BJ38">
        <f t="shared" si="19"/>
        <v>2.732088103889032E-2</v>
      </c>
      <c r="BK38">
        <v>0.82950277930855498</v>
      </c>
      <c r="BL38">
        <v>4.9999669342486397E-2</v>
      </c>
      <c r="BM38">
        <f t="shared" si="20"/>
        <v>4.1474864684101213E-2</v>
      </c>
      <c r="BN38">
        <v>0.27635738994295528</v>
      </c>
      <c r="BO38">
        <v>4.4135329937912637E-2</v>
      </c>
      <c r="BP38">
        <f t="shared" si="21"/>
        <v>1.2197124585912711E-2</v>
      </c>
      <c r="BQ38">
        <v>0.79263595136169773</v>
      </c>
      <c r="BR38">
        <v>4.401279783391817E-2</v>
      </c>
      <c r="BS38">
        <f t="shared" si="22"/>
        <v>3.4886125883177799E-2</v>
      </c>
      <c r="BT38">
        <f t="shared" si="23"/>
        <v>0.75461150376150288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631E0-C7B8-4D7A-92F7-65D57CD41817}">
  <dimension ref="A2:K38"/>
  <sheetViews>
    <sheetView topLeftCell="A18" workbookViewId="0">
      <selection activeCell="R22" sqref="R22"/>
    </sheetView>
  </sheetViews>
  <sheetFormatPr defaultRowHeight="14.4" x14ac:dyDescent="0.3"/>
  <cols>
    <col min="1" max="1" width="28.6640625" customWidth="1"/>
  </cols>
  <sheetData>
    <row r="2" spans="1:11" x14ac:dyDescent="0.3">
      <c r="A2" s="7" t="s">
        <v>41</v>
      </c>
      <c r="B2" s="1" t="s">
        <v>31</v>
      </c>
      <c r="C2" s="1" t="s">
        <v>114</v>
      </c>
      <c r="D2" s="1" t="s">
        <v>153</v>
      </c>
      <c r="E2" s="1" t="s">
        <v>177</v>
      </c>
      <c r="F2" s="1" t="s">
        <v>178</v>
      </c>
    </row>
    <row r="3" spans="1:11" x14ac:dyDescent="0.3">
      <c r="A3" s="16" t="s">
        <v>69</v>
      </c>
      <c r="B3" s="17">
        <v>9</v>
      </c>
      <c r="C3">
        <v>0.70572198599355329</v>
      </c>
      <c r="D3">
        <v>7.5809979249602477E-2</v>
      </c>
      <c r="E3">
        <f>(C3+(1-D3))/2</f>
        <v>0.81495600337197538</v>
      </c>
      <c r="F3">
        <v>1</v>
      </c>
    </row>
    <row r="4" spans="1:11" x14ac:dyDescent="0.3">
      <c r="A4" s="16" t="s">
        <v>59</v>
      </c>
      <c r="B4" s="17">
        <v>19</v>
      </c>
      <c r="C4">
        <v>0.73453182292392583</v>
      </c>
      <c r="D4">
        <v>0.68368267167950936</v>
      </c>
      <c r="E4">
        <f>(C4+(1-D4))/2</f>
        <v>0.52542457562220823</v>
      </c>
      <c r="F4">
        <v>2</v>
      </c>
      <c r="I4" s="11"/>
      <c r="J4" s="1"/>
    </row>
    <row r="5" spans="1:11" x14ac:dyDescent="0.3">
      <c r="A5" s="16" t="s">
        <v>68</v>
      </c>
      <c r="B5" s="17">
        <v>10</v>
      </c>
      <c r="C5">
        <v>0.59436376284736703</v>
      </c>
      <c r="D5">
        <v>0.57869974775441901</v>
      </c>
      <c r="E5">
        <f>(C5+(1-D5))/2</f>
        <v>0.50783200754647395</v>
      </c>
      <c r="F5">
        <v>3</v>
      </c>
    </row>
    <row r="6" spans="1:11" ht="20.399999999999999" thickBot="1" x14ac:dyDescent="0.45">
      <c r="A6" s="16" t="s">
        <v>51</v>
      </c>
      <c r="B6" s="17">
        <v>27</v>
      </c>
      <c r="C6">
        <v>0.53000954502660058</v>
      </c>
      <c r="D6">
        <v>0.53998393927382593</v>
      </c>
      <c r="E6">
        <f>(C6+(1-D6))/2</f>
        <v>0.49501280287638733</v>
      </c>
      <c r="F6">
        <v>4</v>
      </c>
      <c r="I6" s="18" t="s">
        <v>184</v>
      </c>
      <c r="J6" s="18"/>
      <c r="K6" s="18"/>
    </row>
    <row r="7" spans="1:11" ht="15" thickTop="1" x14ac:dyDescent="0.3">
      <c r="A7" s="16" t="s">
        <v>55</v>
      </c>
      <c r="B7" s="17">
        <v>23</v>
      </c>
      <c r="C7">
        <v>0.48661390514596303</v>
      </c>
      <c r="D7">
        <v>0.7573594751946412</v>
      </c>
      <c r="E7">
        <f>(C7+(1-D7))/2</f>
        <v>0.36462721497566092</v>
      </c>
      <c r="F7">
        <v>5</v>
      </c>
    </row>
    <row r="8" spans="1:11" x14ac:dyDescent="0.3">
      <c r="A8" s="16" t="s">
        <v>70</v>
      </c>
      <c r="B8" s="17">
        <v>8</v>
      </c>
      <c r="C8">
        <v>0.40317382946254815</v>
      </c>
      <c r="D8">
        <v>0.71092188663956846</v>
      </c>
      <c r="E8">
        <f>(C8+(1-D8))/2</f>
        <v>0.34612597141148982</v>
      </c>
      <c r="F8">
        <v>6</v>
      </c>
    </row>
    <row r="9" spans="1:11" x14ac:dyDescent="0.3">
      <c r="A9" s="16" t="s">
        <v>45</v>
      </c>
      <c r="B9" s="17">
        <v>33</v>
      </c>
      <c r="C9">
        <v>0.30240798261881263</v>
      </c>
      <c r="D9">
        <v>0.67543937119773356</v>
      </c>
      <c r="E9">
        <f>(C9+(1-D9))/2</f>
        <v>0.31348430571053953</v>
      </c>
      <c r="F9">
        <v>7</v>
      </c>
    </row>
    <row r="10" spans="1:11" x14ac:dyDescent="0.3">
      <c r="A10" s="16" t="s">
        <v>49</v>
      </c>
      <c r="B10" s="17">
        <v>29</v>
      </c>
      <c r="C10">
        <v>0.26928302042408603</v>
      </c>
      <c r="D10">
        <v>0.69369780979146978</v>
      </c>
      <c r="E10">
        <f>(C10+(1-D10))/2</f>
        <v>0.28779260531630813</v>
      </c>
      <c r="F10">
        <v>8</v>
      </c>
    </row>
    <row r="11" spans="1:11" x14ac:dyDescent="0.3">
      <c r="A11" s="16" t="s">
        <v>50</v>
      </c>
      <c r="B11" s="17">
        <v>28</v>
      </c>
      <c r="C11">
        <v>0.29802079691751493</v>
      </c>
      <c r="D11">
        <v>0.74352389564593668</v>
      </c>
      <c r="E11">
        <f>(C11+(1-D11))/2</f>
        <v>0.27724845063578912</v>
      </c>
      <c r="F11">
        <v>9</v>
      </c>
    </row>
    <row r="12" spans="1:11" x14ac:dyDescent="0.3">
      <c r="A12" s="16" t="s">
        <v>54</v>
      </c>
      <c r="B12" s="17">
        <v>24</v>
      </c>
      <c r="C12">
        <v>0.25506117737047163</v>
      </c>
      <c r="D12">
        <v>0.7073559355261656</v>
      </c>
      <c r="E12">
        <f>(C12+(1-D12))/2</f>
        <v>0.27385262092215301</v>
      </c>
      <c r="F12">
        <v>10</v>
      </c>
    </row>
    <row r="13" spans="1:11" x14ac:dyDescent="0.3">
      <c r="A13" s="16" t="s">
        <v>46</v>
      </c>
      <c r="B13" s="17">
        <v>32</v>
      </c>
      <c r="C13">
        <v>0.17427578592038206</v>
      </c>
      <c r="D13">
        <v>0.63502707746702636</v>
      </c>
      <c r="E13">
        <f>(C13+(1-D13))/2</f>
        <v>0.26962435422667785</v>
      </c>
      <c r="F13">
        <v>11</v>
      </c>
    </row>
    <row r="14" spans="1:11" x14ac:dyDescent="0.3">
      <c r="A14" s="16" t="s">
        <v>57</v>
      </c>
      <c r="B14" s="17">
        <v>21</v>
      </c>
      <c r="C14">
        <v>0.40137847779495917</v>
      </c>
      <c r="D14">
        <v>0.86239766120152228</v>
      </c>
      <c r="E14">
        <f>(C14+(1-D14))/2</f>
        <v>0.26949040829671844</v>
      </c>
      <c r="F14">
        <v>12</v>
      </c>
    </row>
    <row r="15" spans="1:11" x14ac:dyDescent="0.3">
      <c r="A15" s="16" t="s">
        <v>42</v>
      </c>
      <c r="B15" s="17">
        <v>36</v>
      </c>
      <c r="C15">
        <v>0.1811371605488466</v>
      </c>
      <c r="D15">
        <v>0.75461150376150288</v>
      </c>
      <c r="E15">
        <f>(C15+(1-D15))/2</f>
        <v>0.21326282839367186</v>
      </c>
      <c r="F15">
        <v>13</v>
      </c>
    </row>
    <row r="16" spans="1:11" x14ac:dyDescent="0.3">
      <c r="A16" s="16" t="s">
        <v>60</v>
      </c>
      <c r="B16" s="17">
        <v>18</v>
      </c>
      <c r="C16">
        <v>0.23395609088449643</v>
      </c>
      <c r="D16">
        <v>0.82970644871014687</v>
      </c>
      <c r="E16">
        <f>(C16+(1-D16))/2</f>
        <v>0.20212482108717478</v>
      </c>
      <c r="F16">
        <v>14</v>
      </c>
    </row>
    <row r="17" spans="1:6" x14ac:dyDescent="0.3">
      <c r="A17" s="16" t="s">
        <v>58</v>
      </c>
      <c r="B17" s="17">
        <v>20</v>
      </c>
      <c r="C17">
        <v>0.19671784031040412</v>
      </c>
      <c r="D17">
        <v>0.82648544673073954</v>
      </c>
      <c r="E17">
        <f>(C17+(1-D17))/2</f>
        <v>0.18511619678983229</v>
      </c>
      <c r="F17">
        <v>15</v>
      </c>
    </row>
    <row r="18" spans="1:6" x14ac:dyDescent="0.3">
      <c r="A18" s="16" t="s">
        <v>75</v>
      </c>
      <c r="B18" s="17">
        <v>3</v>
      </c>
      <c r="C18">
        <v>8.9251486358208232E-2</v>
      </c>
      <c r="D18">
        <v>0.81046976809577131</v>
      </c>
      <c r="E18">
        <f>(C18+(1-D18))/2</f>
        <v>0.13939085913121846</v>
      </c>
      <c r="F18">
        <v>16</v>
      </c>
    </row>
    <row r="19" spans="1:6" x14ac:dyDescent="0.3">
      <c r="A19" s="16" t="s">
        <v>56</v>
      </c>
      <c r="B19" s="17">
        <v>22</v>
      </c>
      <c r="C19">
        <v>0.21649538477820124</v>
      </c>
      <c r="D19">
        <v>0.94233347954494129</v>
      </c>
      <c r="E19">
        <f>(C19+(1-D19))/2</f>
        <v>0.13708095261662998</v>
      </c>
      <c r="F19">
        <v>17</v>
      </c>
    </row>
    <row r="20" spans="1:6" x14ac:dyDescent="0.3">
      <c r="A20" s="16" t="s">
        <v>72</v>
      </c>
      <c r="B20" s="17">
        <v>6</v>
      </c>
      <c r="C20">
        <v>9.4972305410580202E-2</v>
      </c>
      <c r="D20">
        <v>0.84348692850378826</v>
      </c>
      <c r="E20">
        <f>(C20+(1-D20))/2</f>
        <v>0.12574268845339598</v>
      </c>
      <c r="F20">
        <v>18</v>
      </c>
    </row>
    <row r="21" spans="1:6" x14ac:dyDescent="0.3">
      <c r="A21" s="16" t="s">
        <v>71</v>
      </c>
      <c r="B21" s="17">
        <v>7</v>
      </c>
      <c r="C21">
        <v>2.7411006974007467E-2</v>
      </c>
      <c r="D21">
        <v>0.86579703964660271</v>
      </c>
      <c r="E21">
        <f>(C21+(1-D21))/2</f>
        <v>8.0806983663702384E-2</v>
      </c>
      <c r="F21">
        <v>19</v>
      </c>
    </row>
    <row r="22" spans="1:6" x14ac:dyDescent="0.3">
      <c r="A22" s="16" t="s">
        <v>77</v>
      </c>
      <c r="B22" s="17">
        <v>1</v>
      </c>
      <c r="C22">
        <v>5.7979398636737192E-2</v>
      </c>
      <c r="D22">
        <v>0.9333663882689095</v>
      </c>
      <c r="E22">
        <f>(C22+(1-D22))/2</f>
        <v>6.2306505183913848E-2</v>
      </c>
      <c r="F22">
        <v>20</v>
      </c>
    </row>
    <row r="23" spans="1:6" x14ac:dyDescent="0.3">
      <c r="A23" s="16" t="s">
        <v>76</v>
      </c>
      <c r="B23" s="17">
        <v>2</v>
      </c>
      <c r="C23">
        <v>4.36075013531316E-2</v>
      </c>
      <c r="D23">
        <v>0.92081306724271139</v>
      </c>
      <c r="E23">
        <f>(C23+(1-D23))/2</f>
        <v>6.1397217055210104E-2</v>
      </c>
      <c r="F23">
        <v>21</v>
      </c>
    </row>
    <row r="24" spans="1:6" x14ac:dyDescent="0.3">
      <c r="A24" s="16" t="s">
        <v>73</v>
      </c>
      <c r="B24" s="17">
        <v>5</v>
      </c>
      <c r="C24">
        <v>4.7037131891651401E-2</v>
      </c>
      <c r="D24">
        <v>0.93221748799123849</v>
      </c>
      <c r="E24">
        <f>(C24+(1-D24))/2</f>
        <v>5.7409821950206455E-2</v>
      </c>
      <c r="F24">
        <v>22</v>
      </c>
    </row>
    <row r="25" spans="1:6" x14ac:dyDescent="0.3">
      <c r="A25" s="16" t="s">
        <v>62</v>
      </c>
      <c r="B25" s="17">
        <v>16</v>
      </c>
      <c r="C25">
        <v>2.1248820745116848E-2</v>
      </c>
      <c r="D25">
        <v>0.97770948251216239</v>
      </c>
      <c r="E25">
        <f>(C25+(1-D25))/2</f>
        <v>2.1769669116477229E-2</v>
      </c>
      <c r="F25">
        <v>23</v>
      </c>
    </row>
    <row r="26" spans="1:6" x14ac:dyDescent="0.3">
      <c r="A26" s="16" t="s">
        <v>61</v>
      </c>
      <c r="B26" s="17">
        <v>17</v>
      </c>
      <c r="C26">
        <v>1.6082555311877196E-2</v>
      </c>
      <c r="D26">
        <v>0.98785629342032744</v>
      </c>
      <c r="E26">
        <f>(C26+(1-D26))/2</f>
        <v>1.411313094577488E-2</v>
      </c>
      <c r="F26">
        <v>24</v>
      </c>
    </row>
    <row r="27" spans="1:6" x14ac:dyDescent="0.3">
      <c r="A27" s="16" t="s">
        <v>64</v>
      </c>
      <c r="B27" s="17">
        <v>14</v>
      </c>
      <c r="C27">
        <v>1.1152806004183728E-2</v>
      </c>
      <c r="D27">
        <v>0.98326651915127217</v>
      </c>
      <c r="E27">
        <f>(C27+(1-D27))/2</f>
        <v>1.394314342645578E-2</v>
      </c>
      <c r="F27">
        <v>25</v>
      </c>
    </row>
    <row r="28" spans="1:6" x14ac:dyDescent="0.3">
      <c r="A28" s="16" t="s">
        <v>48</v>
      </c>
      <c r="B28" s="17">
        <v>30</v>
      </c>
      <c r="C28">
        <v>4.6566325629433915E-3</v>
      </c>
      <c r="D28">
        <v>0.98083465147955362</v>
      </c>
      <c r="E28">
        <f>(C28+(1-D28))/2</f>
        <v>1.1910990541694885E-2</v>
      </c>
      <c r="F28">
        <v>26</v>
      </c>
    </row>
    <row r="29" spans="1:6" x14ac:dyDescent="0.3">
      <c r="A29" s="16" t="s">
        <v>65</v>
      </c>
      <c r="B29" s="17">
        <v>13</v>
      </c>
      <c r="C29">
        <v>9.5055156761304094E-3</v>
      </c>
      <c r="D29">
        <v>0.98897940293156439</v>
      </c>
      <c r="E29">
        <f>(C29+(1-D29))/2</f>
        <v>1.026305637228301E-2</v>
      </c>
      <c r="F29">
        <v>27</v>
      </c>
    </row>
    <row r="30" spans="1:6" x14ac:dyDescent="0.3">
      <c r="A30" s="16" t="s">
        <v>66</v>
      </c>
      <c r="B30" s="17">
        <v>12</v>
      </c>
      <c r="C30">
        <v>7.2093402534828786E-3</v>
      </c>
      <c r="D30">
        <v>0.99180276256517419</v>
      </c>
      <c r="E30">
        <f>(C30+(1-D30))/2</f>
        <v>7.7032888441543445E-3</v>
      </c>
      <c r="F30">
        <v>28</v>
      </c>
    </row>
    <row r="31" spans="1:6" x14ac:dyDescent="0.3">
      <c r="A31" s="16" t="s">
        <v>44</v>
      </c>
      <c r="B31" s="17">
        <v>34</v>
      </c>
      <c r="C31">
        <v>3.0482490455420114E-3</v>
      </c>
      <c r="D31">
        <v>0.9943130278070097</v>
      </c>
      <c r="E31">
        <f>(C31+(1-D31))/2</f>
        <v>4.3676106192661567E-3</v>
      </c>
      <c r="F31">
        <v>29</v>
      </c>
    </row>
    <row r="32" spans="1:6" x14ac:dyDescent="0.3">
      <c r="A32" s="16" t="s">
        <v>63</v>
      </c>
      <c r="B32" s="17">
        <v>15</v>
      </c>
      <c r="C32">
        <v>2.5386641530059503E-3</v>
      </c>
      <c r="D32">
        <v>0.99646178492278759</v>
      </c>
      <c r="E32">
        <f>(C32+(1-D32))/2</f>
        <v>3.0384396151091823E-3</v>
      </c>
      <c r="F32">
        <v>30</v>
      </c>
    </row>
    <row r="33" spans="1:6" x14ac:dyDescent="0.3">
      <c r="A33" s="16" t="s">
        <v>43</v>
      </c>
      <c r="B33" s="17">
        <v>35</v>
      </c>
      <c r="C33">
        <v>1.3617556111018645E-3</v>
      </c>
      <c r="D33">
        <v>0.99539496949253325</v>
      </c>
      <c r="E33">
        <f>(C33+(1-D33))/2</f>
        <v>2.9833930592843049E-3</v>
      </c>
      <c r="F33">
        <v>31</v>
      </c>
    </row>
    <row r="34" spans="1:6" x14ac:dyDescent="0.3">
      <c r="A34" s="16" t="s">
        <v>67</v>
      </c>
      <c r="B34" s="17">
        <v>11</v>
      </c>
      <c r="C34">
        <v>2.186897171924362E-3</v>
      </c>
      <c r="D34">
        <v>0.99673636620728712</v>
      </c>
      <c r="E34">
        <f>(C34+(1-D34))/2</f>
        <v>2.7252654823186227E-3</v>
      </c>
      <c r="F34">
        <v>32</v>
      </c>
    </row>
    <row r="35" spans="1:6" x14ac:dyDescent="0.3">
      <c r="A35" s="16" t="s">
        <v>53</v>
      </c>
      <c r="B35" s="17">
        <v>25</v>
      </c>
      <c r="C35">
        <v>7.2778385880341192E-4</v>
      </c>
      <c r="D35">
        <v>0.99689387455042866</v>
      </c>
      <c r="E35">
        <f>(C35+(1-D35))/2</f>
        <v>1.9169546541873759E-3</v>
      </c>
      <c r="F35">
        <v>33</v>
      </c>
    </row>
    <row r="36" spans="1:6" x14ac:dyDescent="0.3">
      <c r="A36" s="16" t="s">
        <v>52</v>
      </c>
      <c r="B36" s="17">
        <v>26</v>
      </c>
      <c r="C36">
        <v>1.461868164628588E-3</v>
      </c>
      <c r="D36">
        <v>0.99796126238759097</v>
      </c>
      <c r="E36">
        <f>(C36+(1-D36))/2</f>
        <v>1.7503028885188065E-3</v>
      </c>
      <c r="F36">
        <v>34</v>
      </c>
    </row>
    <row r="37" spans="1:6" x14ac:dyDescent="0.3">
      <c r="A37" s="16" t="s">
        <v>47</v>
      </c>
      <c r="B37" s="17">
        <v>31</v>
      </c>
      <c r="C37">
        <v>6.560706122569545E-5</v>
      </c>
      <c r="D37">
        <v>0.99923181704320596</v>
      </c>
      <c r="E37">
        <f>(C37+(1-D37))/2</f>
        <v>4.1689500900986726E-4</v>
      </c>
      <c r="F37">
        <v>35</v>
      </c>
    </row>
    <row r="38" spans="1:6" x14ac:dyDescent="0.3">
      <c r="A38" s="16" t="s">
        <v>74</v>
      </c>
      <c r="B38" s="17">
        <v>4</v>
      </c>
      <c r="C38">
        <v>1.7472783774959692E-4</v>
      </c>
      <c r="D38">
        <v>0.99935573183511139</v>
      </c>
      <c r="E38">
        <f>(C38+(1-D38))/2</f>
        <v>4.0949800131910151E-4</v>
      </c>
      <c r="F38">
        <v>36</v>
      </c>
    </row>
  </sheetData>
  <conditionalFormatting sqref="F3:F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58824-D7B4-4207-8D93-43D378D85AC1}">
  <dimension ref="A3:M41"/>
  <sheetViews>
    <sheetView tabSelected="1" workbookViewId="0">
      <selection activeCell="Q41" sqref="Q41"/>
    </sheetView>
  </sheetViews>
  <sheetFormatPr defaultRowHeight="14.4" x14ac:dyDescent="0.3"/>
  <cols>
    <col min="2" max="2" width="26.6640625" customWidth="1"/>
    <col min="7" max="7" width="26.5546875" customWidth="1"/>
    <col min="12" max="12" width="27.109375" customWidth="1"/>
    <col min="15" max="15" width="10.109375" customWidth="1"/>
  </cols>
  <sheetData>
    <row r="3" spans="1:13" x14ac:dyDescent="0.3">
      <c r="A3" s="20" t="s">
        <v>180</v>
      </c>
      <c r="F3" s="20" t="s">
        <v>182</v>
      </c>
      <c r="K3" s="20" t="s">
        <v>181</v>
      </c>
    </row>
    <row r="5" spans="1:13" x14ac:dyDescent="0.3">
      <c r="A5" s="1" t="s">
        <v>178</v>
      </c>
      <c r="B5" s="7" t="s">
        <v>41</v>
      </c>
      <c r="C5" s="1" t="s">
        <v>114</v>
      </c>
      <c r="F5" s="1" t="s">
        <v>178</v>
      </c>
      <c r="G5" s="7" t="s">
        <v>41</v>
      </c>
      <c r="H5" s="1" t="s">
        <v>153</v>
      </c>
      <c r="K5" s="1" t="s">
        <v>178</v>
      </c>
      <c r="L5" s="7" t="s">
        <v>41</v>
      </c>
      <c r="M5" s="1" t="s">
        <v>177</v>
      </c>
    </row>
    <row r="6" spans="1:13" x14ac:dyDescent="0.3">
      <c r="A6" s="1">
        <v>1</v>
      </c>
      <c r="B6" s="16" t="s">
        <v>59</v>
      </c>
      <c r="C6">
        <v>0.73453182292392583</v>
      </c>
      <c r="F6" s="1">
        <v>1</v>
      </c>
      <c r="G6" s="16" t="s">
        <v>74</v>
      </c>
      <c r="H6">
        <v>0.99935573183511139</v>
      </c>
      <c r="K6" s="1">
        <v>1</v>
      </c>
      <c r="L6" s="16" t="s">
        <v>69</v>
      </c>
      <c r="M6">
        <v>0.81495600337197538</v>
      </c>
    </row>
    <row r="7" spans="1:13" x14ac:dyDescent="0.3">
      <c r="A7" s="1">
        <v>2</v>
      </c>
      <c r="B7" s="16" t="s">
        <v>69</v>
      </c>
      <c r="C7">
        <v>0.70572198599355329</v>
      </c>
      <c r="F7" s="1">
        <v>2</v>
      </c>
      <c r="G7" s="16" t="s">
        <v>47</v>
      </c>
      <c r="H7">
        <v>0.99923181704320596</v>
      </c>
      <c r="K7" s="1">
        <v>2</v>
      </c>
      <c r="L7" s="16" t="s">
        <v>59</v>
      </c>
      <c r="M7">
        <v>0.52542457562220823</v>
      </c>
    </row>
    <row r="8" spans="1:13" x14ac:dyDescent="0.3">
      <c r="A8" s="1">
        <v>3</v>
      </c>
      <c r="B8" s="16" t="s">
        <v>68</v>
      </c>
      <c r="C8">
        <v>0.59436376284736703</v>
      </c>
      <c r="F8" s="1">
        <v>3</v>
      </c>
      <c r="G8" s="16" t="s">
        <v>52</v>
      </c>
      <c r="H8">
        <v>0.99796126238759097</v>
      </c>
      <c r="K8" s="1">
        <v>3</v>
      </c>
      <c r="L8" s="16" t="s">
        <v>68</v>
      </c>
      <c r="M8">
        <v>0.50783200754647395</v>
      </c>
    </row>
    <row r="9" spans="1:13" x14ac:dyDescent="0.3">
      <c r="A9" s="1">
        <v>4</v>
      </c>
      <c r="B9" s="16" t="s">
        <v>51</v>
      </c>
      <c r="C9">
        <v>0.53000954502660058</v>
      </c>
      <c r="F9" s="1">
        <v>4</v>
      </c>
      <c r="G9" s="16" t="s">
        <v>53</v>
      </c>
      <c r="H9">
        <v>0.99689387455042866</v>
      </c>
      <c r="K9" s="1">
        <v>4</v>
      </c>
      <c r="L9" s="16" t="s">
        <v>51</v>
      </c>
      <c r="M9">
        <v>0.49501280287638733</v>
      </c>
    </row>
    <row r="10" spans="1:13" x14ac:dyDescent="0.3">
      <c r="A10" s="1">
        <v>5</v>
      </c>
      <c r="B10" s="16" t="s">
        <v>55</v>
      </c>
      <c r="C10">
        <v>0.48661390514596303</v>
      </c>
      <c r="F10" s="1">
        <v>5</v>
      </c>
      <c r="G10" s="16" t="s">
        <v>67</v>
      </c>
      <c r="H10">
        <v>0.99673636620728712</v>
      </c>
      <c r="K10" s="1">
        <v>5</v>
      </c>
      <c r="L10" s="16" t="s">
        <v>55</v>
      </c>
      <c r="M10">
        <v>0.36462721497566092</v>
      </c>
    </row>
    <row r="11" spans="1:13" x14ac:dyDescent="0.3">
      <c r="A11" s="1">
        <v>6</v>
      </c>
      <c r="B11" s="16" t="s">
        <v>70</v>
      </c>
      <c r="C11">
        <v>0.40317382946254815</v>
      </c>
      <c r="F11" s="1">
        <v>6</v>
      </c>
      <c r="G11" s="16" t="s">
        <v>63</v>
      </c>
      <c r="H11">
        <v>0.99646178492278759</v>
      </c>
      <c r="K11" s="1">
        <v>6</v>
      </c>
      <c r="L11" s="16" t="s">
        <v>70</v>
      </c>
      <c r="M11">
        <v>0.34612597141148982</v>
      </c>
    </row>
    <row r="12" spans="1:13" x14ac:dyDescent="0.3">
      <c r="A12" s="1">
        <v>7</v>
      </c>
      <c r="B12" s="16" t="s">
        <v>57</v>
      </c>
      <c r="C12">
        <v>0.40137847779495917</v>
      </c>
      <c r="F12" s="1">
        <v>7</v>
      </c>
      <c r="G12" s="16" t="s">
        <v>43</v>
      </c>
      <c r="H12">
        <v>0.99539496949253325</v>
      </c>
      <c r="K12" s="1">
        <v>7</v>
      </c>
      <c r="L12" s="16" t="s">
        <v>45</v>
      </c>
      <c r="M12">
        <v>0.31348430571053953</v>
      </c>
    </row>
    <row r="13" spans="1:13" x14ac:dyDescent="0.3">
      <c r="A13" s="1">
        <v>8</v>
      </c>
      <c r="B13" s="16" t="s">
        <v>45</v>
      </c>
      <c r="C13">
        <v>0.30240798261881263</v>
      </c>
      <c r="F13" s="1">
        <v>8</v>
      </c>
      <c r="G13" s="16" t="s">
        <v>44</v>
      </c>
      <c r="H13">
        <v>0.9943130278070097</v>
      </c>
      <c r="K13" s="1">
        <v>8</v>
      </c>
      <c r="L13" s="16" t="s">
        <v>49</v>
      </c>
      <c r="M13">
        <v>0.28779260531630813</v>
      </c>
    </row>
    <row r="14" spans="1:13" x14ac:dyDescent="0.3">
      <c r="A14" s="1">
        <v>9</v>
      </c>
      <c r="B14" s="16" t="s">
        <v>50</v>
      </c>
      <c r="C14">
        <v>0.29802079691751493</v>
      </c>
      <c r="F14" s="1">
        <v>9</v>
      </c>
      <c r="G14" s="16" t="s">
        <v>66</v>
      </c>
      <c r="H14">
        <v>0.99180276256517419</v>
      </c>
      <c r="K14" s="1">
        <v>9</v>
      </c>
      <c r="L14" s="16" t="s">
        <v>50</v>
      </c>
      <c r="M14">
        <v>0.27724845063578912</v>
      </c>
    </row>
    <row r="15" spans="1:13" x14ac:dyDescent="0.3">
      <c r="A15" s="1">
        <v>10</v>
      </c>
      <c r="B15" s="16" t="s">
        <v>49</v>
      </c>
      <c r="C15">
        <v>0.26928302042408603</v>
      </c>
      <c r="F15" s="1">
        <v>10</v>
      </c>
      <c r="G15" s="16" t="s">
        <v>65</v>
      </c>
      <c r="H15">
        <v>0.98897940293156439</v>
      </c>
      <c r="K15" s="1">
        <v>10</v>
      </c>
      <c r="L15" s="16" t="s">
        <v>54</v>
      </c>
      <c r="M15">
        <v>0.27385262092215301</v>
      </c>
    </row>
    <row r="16" spans="1:13" x14ac:dyDescent="0.3">
      <c r="A16" s="1">
        <v>11</v>
      </c>
      <c r="B16" s="16" t="s">
        <v>54</v>
      </c>
      <c r="C16">
        <v>0.25506117737047163</v>
      </c>
      <c r="F16" s="1">
        <v>11</v>
      </c>
      <c r="G16" s="16" t="s">
        <v>61</v>
      </c>
      <c r="H16">
        <v>0.98785629342032744</v>
      </c>
      <c r="K16" s="1">
        <v>11</v>
      </c>
      <c r="L16" s="16" t="s">
        <v>46</v>
      </c>
      <c r="M16">
        <v>0.26962435422667785</v>
      </c>
    </row>
    <row r="17" spans="1:13" x14ac:dyDescent="0.3">
      <c r="A17" s="1">
        <v>12</v>
      </c>
      <c r="B17" s="16" t="s">
        <v>60</v>
      </c>
      <c r="C17">
        <v>0.23395609088449643</v>
      </c>
      <c r="F17" s="1">
        <v>12</v>
      </c>
      <c r="G17" s="16" t="s">
        <v>64</v>
      </c>
      <c r="H17">
        <v>0.98326651915127217</v>
      </c>
      <c r="K17" s="1">
        <v>12</v>
      </c>
      <c r="L17" s="16" t="s">
        <v>57</v>
      </c>
      <c r="M17">
        <v>0.26949040829671844</v>
      </c>
    </row>
    <row r="18" spans="1:13" x14ac:dyDescent="0.3">
      <c r="A18" s="1">
        <v>13</v>
      </c>
      <c r="B18" s="16" t="s">
        <v>56</v>
      </c>
      <c r="C18">
        <v>0.21649538477820124</v>
      </c>
      <c r="F18" s="1">
        <v>13</v>
      </c>
      <c r="G18" s="16" t="s">
        <v>48</v>
      </c>
      <c r="H18">
        <v>0.98083465147955362</v>
      </c>
      <c r="K18" s="1">
        <v>13</v>
      </c>
      <c r="L18" s="16" t="s">
        <v>42</v>
      </c>
      <c r="M18">
        <v>0.21326282839367186</v>
      </c>
    </row>
    <row r="19" spans="1:13" x14ac:dyDescent="0.3">
      <c r="A19" s="1">
        <v>14</v>
      </c>
      <c r="B19" s="16" t="s">
        <v>58</v>
      </c>
      <c r="C19">
        <v>0.19671784031040412</v>
      </c>
      <c r="F19" s="1">
        <v>14</v>
      </c>
      <c r="G19" s="16" t="s">
        <v>62</v>
      </c>
      <c r="H19">
        <v>0.97770948251216239</v>
      </c>
      <c r="K19" s="1">
        <v>14</v>
      </c>
      <c r="L19" s="16" t="s">
        <v>60</v>
      </c>
      <c r="M19">
        <v>0.20212482108717478</v>
      </c>
    </row>
    <row r="20" spans="1:13" x14ac:dyDescent="0.3">
      <c r="A20" s="1">
        <v>15</v>
      </c>
      <c r="B20" s="16" t="s">
        <v>42</v>
      </c>
      <c r="C20">
        <v>0.1811371605488466</v>
      </c>
      <c r="F20" s="1">
        <v>15</v>
      </c>
      <c r="G20" s="16" t="s">
        <v>56</v>
      </c>
      <c r="H20">
        <v>0.94233347954494129</v>
      </c>
      <c r="K20" s="1">
        <v>15</v>
      </c>
      <c r="L20" s="16" t="s">
        <v>58</v>
      </c>
      <c r="M20">
        <v>0.18511619678983229</v>
      </c>
    </row>
    <row r="21" spans="1:13" x14ac:dyDescent="0.3">
      <c r="A21" s="1">
        <v>16</v>
      </c>
      <c r="B21" s="16" t="s">
        <v>46</v>
      </c>
      <c r="C21">
        <v>0.17427578592038206</v>
      </c>
      <c r="F21" s="1">
        <v>16</v>
      </c>
      <c r="G21" s="16" t="s">
        <v>77</v>
      </c>
      <c r="H21">
        <v>0.9333663882689095</v>
      </c>
      <c r="K21" s="1">
        <v>16</v>
      </c>
      <c r="L21" s="16" t="s">
        <v>75</v>
      </c>
      <c r="M21">
        <v>0.13939085913121846</v>
      </c>
    </row>
    <row r="22" spans="1:13" x14ac:dyDescent="0.3">
      <c r="A22" s="1">
        <v>17</v>
      </c>
      <c r="B22" s="16" t="s">
        <v>72</v>
      </c>
      <c r="C22">
        <v>9.4972305410580202E-2</v>
      </c>
      <c r="F22" s="1">
        <v>17</v>
      </c>
      <c r="G22" s="16" t="s">
        <v>73</v>
      </c>
      <c r="H22">
        <v>0.93221748799123849</v>
      </c>
      <c r="K22" s="1">
        <v>17</v>
      </c>
      <c r="L22" s="16" t="s">
        <v>56</v>
      </c>
      <c r="M22">
        <v>0.13708095261662998</v>
      </c>
    </row>
    <row r="23" spans="1:13" x14ac:dyDescent="0.3">
      <c r="A23" s="1">
        <v>18</v>
      </c>
      <c r="B23" s="16" t="s">
        <v>75</v>
      </c>
      <c r="C23">
        <v>8.9251486358208232E-2</v>
      </c>
      <c r="F23" s="1">
        <v>18</v>
      </c>
      <c r="G23" s="16" t="s">
        <v>76</v>
      </c>
      <c r="H23">
        <v>0.92081306724271139</v>
      </c>
      <c r="K23" s="1">
        <v>18</v>
      </c>
      <c r="L23" s="16" t="s">
        <v>72</v>
      </c>
      <c r="M23">
        <v>0.12574268845339598</v>
      </c>
    </row>
    <row r="24" spans="1:13" x14ac:dyDescent="0.3">
      <c r="A24" s="1">
        <v>19</v>
      </c>
      <c r="B24" s="16" t="s">
        <v>77</v>
      </c>
      <c r="C24">
        <v>5.7979398636737192E-2</v>
      </c>
      <c r="F24" s="1">
        <v>19</v>
      </c>
      <c r="G24" s="16" t="s">
        <v>71</v>
      </c>
      <c r="H24">
        <v>0.86579703964660271</v>
      </c>
      <c r="K24" s="1">
        <v>19</v>
      </c>
      <c r="L24" s="16" t="s">
        <v>71</v>
      </c>
      <c r="M24">
        <v>8.0806983663702384E-2</v>
      </c>
    </row>
    <row r="25" spans="1:13" x14ac:dyDescent="0.3">
      <c r="A25" s="1">
        <v>20</v>
      </c>
      <c r="B25" s="16" t="s">
        <v>73</v>
      </c>
      <c r="C25">
        <v>4.7037131891651401E-2</v>
      </c>
      <c r="F25" s="1">
        <v>20</v>
      </c>
      <c r="G25" s="16" t="s">
        <v>57</v>
      </c>
      <c r="H25">
        <v>0.86239766120152228</v>
      </c>
      <c r="K25" s="1">
        <v>20</v>
      </c>
      <c r="L25" s="16" t="s">
        <v>77</v>
      </c>
      <c r="M25">
        <v>6.2306505183913848E-2</v>
      </c>
    </row>
    <row r="26" spans="1:13" x14ac:dyDescent="0.3">
      <c r="A26" s="1">
        <v>21</v>
      </c>
      <c r="B26" s="16" t="s">
        <v>76</v>
      </c>
      <c r="C26">
        <v>4.36075013531316E-2</v>
      </c>
      <c r="F26" s="1">
        <v>21</v>
      </c>
      <c r="G26" s="16" t="s">
        <v>72</v>
      </c>
      <c r="H26">
        <v>0.84348692850378826</v>
      </c>
      <c r="K26" s="1">
        <v>21</v>
      </c>
      <c r="L26" s="16" t="s">
        <v>76</v>
      </c>
      <c r="M26">
        <v>6.1397217055210104E-2</v>
      </c>
    </row>
    <row r="27" spans="1:13" x14ac:dyDescent="0.3">
      <c r="A27" s="1">
        <v>22</v>
      </c>
      <c r="B27" s="16" t="s">
        <v>71</v>
      </c>
      <c r="C27">
        <v>2.7411006974007467E-2</v>
      </c>
      <c r="F27" s="1">
        <v>22</v>
      </c>
      <c r="G27" s="16" t="s">
        <v>60</v>
      </c>
      <c r="H27">
        <v>0.82970644871014687</v>
      </c>
      <c r="K27" s="1">
        <v>22</v>
      </c>
      <c r="L27" s="16" t="s">
        <v>73</v>
      </c>
      <c r="M27">
        <v>5.7409821950206455E-2</v>
      </c>
    </row>
    <row r="28" spans="1:13" x14ac:dyDescent="0.3">
      <c r="A28" s="1">
        <v>23</v>
      </c>
      <c r="B28" s="16" t="s">
        <v>62</v>
      </c>
      <c r="C28">
        <v>2.1248820745116848E-2</v>
      </c>
      <c r="F28" s="1">
        <v>23</v>
      </c>
      <c r="G28" s="16" t="s">
        <v>58</v>
      </c>
      <c r="H28">
        <v>0.82648544673073954</v>
      </c>
      <c r="K28" s="1">
        <v>23</v>
      </c>
      <c r="L28" s="16" t="s">
        <v>62</v>
      </c>
      <c r="M28">
        <v>2.1769669116477229E-2</v>
      </c>
    </row>
    <row r="29" spans="1:13" x14ac:dyDescent="0.3">
      <c r="A29" s="1">
        <v>24</v>
      </c>
      <c r="B29" s="16" t="s">
        <v>61</v>
      </c>
      <c r="C29">
        <v>1.6082555311877196E-2</v>
      </c>
      <c r="F29" s="1">
        <v>24</v>
      </c>
      <c r="G29" s="16" t="s">
        <v>75</v>
      </c>
      <c r="H29">
        <v>0.81046976809577131</v>
      </c>
      <c r="K29" s="1">
        <v>24</v>
      </c>
      <c r="L29" s="16" t="s">
        <v>61</v>
      </c>
      <c r="M29">
        <v>1.411313094577488E-2</v>
      </c>
    </row>
    <row r="30" spans="1:13" x14ac:dyDescent="0.3">
      <c r="A30" s="1">
        <v>25</v>
      </c>
      <c r="B30" s="16" t="s">
        <v>64</v>
      </c>
      <c r="C30">
        <v>1.1152806004183728E-2</v>
      </c>
      <c r="F30" s="1">
        <v>25</v>
      </c>
      <c r="G30" s="16" t="s">
        <v>55</v>
      </c>
      <c r="H30">
        <v>0.7573594751946412</v>
      </c>
      <c r="K30" s="1">
        <v>25</v>
      </c>
      <c r="L30" s="16" t="s">
        <v>64</v>
      </c>
      <c r="M30">
        <v>1.394314342645578E-2</v>
      </c>
    </row>
    <row r="31" spans="1:13" x14ac:dyDescent="0.3">
      <c r="A31" s="1">
        <v>26</v>
      </c>
      <c r="B31" s="16" t="s">
        <v>65</v>
      </c>
      <c r="C31">
        <v>9.5055156761304094E-3</v>
      </c>
      <c r="F31" s="1">
        <v>26</v>
      </c>
      <c r="G31" s="16" t="s">
        <v>42</v>
      </c>
      <c r="H31">
        <v>0.75461150376150288</v>
      </c>
      <c r="K31" s="1">
        <v>26</v>
      </c>
      <c r="L31" s="16" t="s">
        <v>48</v>
      </c>
      <c r="M31">
        <v>1.1910990541694885E-2</v>
      </c>
    </row>
    <row r="32" spans="1:13" x14ac:dyDescent="0.3">
      <c r="A32" s="1">
        <v>27</v>
      </c>
      <c r="B32" s="16" t="s">
        <v>66</v>
      </c>
      <c r="C32">
        <v>7.2093402534828786E-3</v>
      </c>
      <c r="F32" s="1">
        <v>27</v>
      </c>
      <c r="G32" s="16" t="s">
        <v>50</v>
      </c>
      <c r="H32">
        <v>0.74352389564593668</v>
      </c>
      <c r="K32" s="1">
        <v>27</v>
      </c>
      <c r="L32" s="16" t="s">
        <v>65</v>
      </c>
      <c r="M32">
        <v>1.026305637228301E-2</v>
      </c>
    </row>
    <row r="33" spans="1:13" x14ac:dyDescent="0.3">
      <c r="A33" s="1">
        <v>28</v>
      </c>
      <c r="B33" s="16" t="s">
        <v>48</v>
      </c>
      <c r="C33">
        <v>4.6566325629433915E-3</v>
      </c>
      <c r="F33" s="1">
        <v>28</v>
      </c>
      <c r="G33" s="16" t="s">
        <v>70</v>
      </c>
      <c r="H33">
        <v>0.71092188663956846</v>
      </c>
      <c r="K33" s="1">
        <v>28</v>
      </c>
      <c r="L33" s="16" t="s">
        <v>66</v>
      </c>
      <c r="M33">
        <v>7.7032888441543445E-3</v>
      </c>
    </row>
    <row r="34" spans="1:13" x14ac:dyDescent="0.3">
      <c r="A34" s="1">
        <v>29</v>
      </c>
      <c r="B34" s="16" t="s">
        <v>44</v>
      </c>
      <c r="C34">
        <v>3.0482490455420114E-3</v>
      </c>
      <c r="F34" s="1">
        <v>29</v>
      </c>
      <c r="G34" s="16" t="s">
        <v>54</v>
      </c>
      <c r="H34">
        <v>0.7073559355261656</v>
      </c>
      <c r="K34" s="1">
        <v>29</v>
      </c>
      <c r="L34" s="16" t="s">
        <v>44</v>
      </c>
      <c r="M34">
        <v>4.3676106192661567E-3</v>
      </c>
    </row>
    <row r="35" spans="1:13" x14ac:dyDescent="0.3">
      <c r="A35" s="1">
        <v>30</v>
      </c>
      <c r="B35" s="16" t="s">
        <v>63</v>
      </c>
      <c r="C35">
        <v>2.5386641530059503E-3</v>
      </c>
      <c r="F35" s="1">
        <v>30</v>
      </c>
      <c r="G35" s="16" t="s">
        <v>49</v>
      </c>
      <c r="H35">
        <v>0.69369780979146978</v>
      </c>
      <c r="K35" s="1">
        <v>30</v>
      </c>
      <c r="L35" s="16" t="s">
        <v>63</v>
      </c>
      <c r="M35">
        <v>3.0384396151091823E-3</v>
      </c>
    </row>
    <row r="36" spans="1:13" x14ac:dyDescent="0.3">
      <c r="A36" s="1">
        <v>31</v>
      </c>
      <c r="B36" s="16" t="s">
        <v>67</v>
      </c>
      <c r="C36">
        <v>2.186897171924362E-3</v>
      </c>
      <c r="F36" s="1">
        <v>31</v>
      </c>
      <c r="G36" s="16" t="s">
        <v>59</v>
      </c>
      <c r="H36">
        <v>0.68368267167950936</v>
      </c>
      <c r="K36" s="1">
        <v>31</v>
      </c>
      <c r="L36" s="16" t="s">
        <v>43</v>
      </c>
      <c r="M36">
        <v>2.9833930592843049E-3</v>
      </c>
    </row>
    <row r="37" spans="1:13" x14ac:dyDescent="0.3">
      <c r="A37" s="1">
        <v>32</v>
      </c>
      <c r="B37" s="16" t="s">
        <v>52</v>
      </c>
      <c r="C37">
        <v>1.461868164628588E-3</v>
      </c>
      <c r="F37" s="1">
        <v>32</v>
      </c>
      <c r="G37" s="16" t="s">
        <v>45</v>
      </c>
      <c r="H37">
        <v>0.67543937119773356</v>
      </c>
      <c r="K37" s="1">
        <v>32</v>
      </c>
      <c r="L37" s="16" t="s">
        <v>67</v>
      </c>
      <c r="M37">
        <v>2.7252654823186227E-3</v>
      </c>
    </row>
    <row r="38" spans="1:13" x14ac:dyDescent="0.3">
      <c r="A38" s="1">
        <v>33</v>
      </c>
      <c r="B38" s="16" t="s">
        <v>43</v>
      </c>
      <c r="C38">
        <v>1.3617556111018645E-3</v>
      </c>
      <c r="F38" s="1">
        <v>33</v>
      </c>
      <c r="G38" s="16" t="s">
        <v>46</v>
      </c>
      <c r="H38">
        <v>0.63502707746702636</v>
      </c>
      <c r="K38" s="1">
        <v>33</v>
      </c>
      <c r="L38" s="16" t="s">
        <v>53</v>
      </c>
      <c r="M38">
        <v>1.9169546541873759E-3</v>
      </c>
    </row>
    <row r="39" spans="1:13" x14ac:dyDescent="0.3">
      <c r="A39" s="1">
        <v>34</v>
      </c>
      <c r="B39" s="16" t="s">
        <v>53</v>
      </c>
      <c r="C39">
        <v>7.2778385880341192E-4</v>
      </c>
      <c r="F39" s="1">
        <v>34</v>
      </c>
      <c r="G39" s="16" t="s">
        <v>68</v>
      </c>
      <c r="H39">
        <v>0.57869974775441901</v>
      </c>
      <c r="K39" s="1">
        <v>34</v>
      </c>
      <c r="L39" s="16" t="s">
        <v>52</v>
      </c>
      <c r="M39">
        <v>1.7503028885188065E-3</v>
      </c>
    </row>
    <row r="40" spans="1:13" x14ac:dyDescent="0.3">
      <c r="A40" s="1">
        <v>35</v>
      </c>
      <c r="B40" s="16" t="s">
        <v>74</v>
      </c>
      <c r="C40">
        <v>1.7472783774959692E-4</v>
      </c>
      <c r="F40" s="1">
        <v>35</v>
      </c>
      <c r="G40" s="16" t="s">
        <v>51</v>
      </c>
      <c r="H40">
        <v>0.53998393927382593</v>
      </c>
      <c r="K40" s="1">
        <v>35</v>
      </c>
      <c r="L40" s="16" t="s">
        <v>47</v>
      </c>
      <c r="M40">
        <v>4.1689500900986726E-4</v>
      </c>
    </row>
    <row r="41" spans="1:13" x14ac:dyDescent="0.3">
      <c r="A41" s="1">
        <v>36</v>
      </c>
      <c r="B41" s="16" t="s">
        <v>47</v>
      </c>
      <c r="C41">
        <v>6.560706122569545E-5</v>
      </c>
      <c r="F41" s="1">
        <v>36</v>
      </c>
      <c r="G41" s="16" t="s">
        <v>69</v>
      </c>
      <c r="H41">
        <v>7.5809979249602477E-2</v>
      </c>
      <c r="K41" s="1">
        <v>36</v>
      </c>
      <c r="L41" s="16" t="s">
        <v>74</v>
      </c>
      <c r="M41">
        <v>4.0949800131910151E-4</v>
      </c>
    </row>
  </sheetData>
  <conditionalFormatting sqref="C6:C41">
    <cfRule type="colorScale" priority="6">
      <colorScale>
        <cfvo type="min"/>
        <cfvo type="percentile" val="50"/>
        <cfvo type="max"/>
        <color rgb="FF92D050"/>
        <color rgb="FFFFEB84"/>
        <color rgb="FFFF0000"/>
      </colorScale>
    </cfRule>
  </conditionalFormatting>
  <conditionalFormatting sqref="A6:B4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:H41">
    <cfRule type="colorScale" priority="4">
      <colorScale>
        <cfvo type="min"/>
        <cfvo type="percentile" val="50"/>
        <cfvo type="max"/>
        <color rgb="FFF8696B"/>
        <color rgb="FFFFEB84"/>
        <color rgb="FF92D050"/>
      </colorScale>
    </cfRule>
  </conditionalFormatting>
  <conditionalFormatting sqref="F6:G41">
    <cfRule type="colorScale" priority="3">
      <colorScale>
        <cfvo type="min"/>
        <cfvo type="percentile" val="50"/>
        <cfvo type="max"/>
        <color rgb="FF92D050"/>
        <color rgb="FFFFEB84"/>
        <color rgb="FFFF0000"/>
      </colorScale>
    </cfRule>
  </conditionalFormatting>
  <conditionalFormatting sqref="M6:M41">
    <cfRule type="colorScale" priority="2">
      <colorScale>
        <cfvo type="min"/>
        <cfvo type="percentile" val="50"/>
        <cfvo type="max"/>
        <color rgb="FF92D050"/>
        <color rgb="FFFFEB84"/>
        <color rgb="FFFF0000"/>
      </colorScale>
    </cfRule>
  </conditionalFormatting>
  <conditionalFormatting sqref="K6:K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Identification of Compon</vt:lpstr>
      <vt:lpstr>Normalisation of Sensitivity  </vt:lpstr>
      <vt:lpstr>Normalisation of AC</vt:lpstr>
      <vt:lpstr>Weights for Indicators (S &amp; AC)</vt:lpstr>
      <vt:lpstr>Sensitivity Index</vt:lpstr>
      <vt:lpstr>Adaptive Capacity Index</vt:lpstr>
      <vt:lpstr>Vulnerability Index</vt:lpstr>
      <vt:lpstr>Final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Anshuman Singh</dc:creator>
  <cp:lastModifiedBy>Anshuman Singh</cp:lastModifiedBy>
  <dcterms:created xsi:type="dcterms:W3CDTF">2025-03-10T16:08:15Z</dcterms:created>
  <dcterms:modified xsi:type="dcterms:W3CDTF">2025-03-15T19:03:19Z</dcterms:modified>
</cp:coreProperties>
</file>