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SS Notes\3rd Sem\Economics of Climate Change\"/>
    </mc:Choice>
  </mc:AlternateContent>
  <xr:revisionPtr revIDLastSave="0" documentId="13_ncr:1_{5BAD7DA8-444C-400F-998E-F2997A90426F}" xr6:coauthVersionLast="47" xr6:coauthVersionMax="47" xr10:uidLastSave="{00000000-0000-0000-0000-000000000000}"/>
  <bookViews>
    <workbookView xWindow="-108" yWindow="-108" windowWidth="23256" windowHeight="12456" xr2:uid="{7608CBB4-D031-4466-92D9-0242F2691599}"/>
  </bookViews>
  <sheets>
    <sheet name="Q1 Summary" sheetId="4" r:id="rId1"/>
    <sheet name="Q2 Summary" sheetId="14" r:id="rId2"/>
    <sheet name="Question 1 " sheetId="3" r:id="rId3"/>
    <sheet name="Question 1 (a)" sheetId="5" r:id="rId4"/>
    <sheet name="Sensitivity Analysis" sheetId="6" r:id="rId5"/>
    <sheet name="Sensitivity Analysis (2)" sheetId="8" r:id="rId6"/>
    <sheet name="Sensitivity Analysis (3)" sheetId="10" r:id="rId7"/>
    <sheet name="Sensitivity Analysis (4)" sheetId="11" r:id="rId8"/>
    <sheet name="Sensitivity Analysis (5)" sheetId="12" r:id="rId9"/>
    <sheet name="Sensitivity Analysis (6)" sheetId="13" r:id="rId10"/>
    <sheet name="CEA" sheetId="2" r:id="rId11"/>
    <sheet name="MCA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" i="8" l="1"/>
  <c r="H32" i="15"/>
  <c r="H33" i="15"/>
  <c r="H34" i="15"/>
  <c r="H35" i="15"/>
  <c r="H36" i="15"/>
  <c r="H37" i="15"/>
  <c r="H38" i="15"/>
  <c r="G32" i="15"/>
  <c r="G33" i="15"/>
  <c r="G34" i="15"/>
  <c r="G35" i="15"/>
  <c r="G36" i="15"/>
  <c r="G39" i="15" s="1"/>
  <c r="G37" i="15"/>
  <c r="G38" i="15"/>
  <c r="H31" i="15"/>
  <c r="G31" i="15"/>
  <c r="F32" i="15"/>
  <c r="F33" i="15"/>
  <c r="F34" i="15"/>
  <c r="F35" i="15"/>
  <c r="F36" i="15"/>
  <c r="F37" i="15"/>
  <c r="F38" i="15"/>
  <c r="F31" i="15"/>
  <c r="H19" i="15"/>
  <c r="H20" i="15"/>
  <c r="H21" i="15"/>
  <c r="H22" i="15"/>
  <c r="H23" i="15"/>
  <c r="H24" i="15"/>
  <c r="H25" i="15"/>
  <c r="H18" i="15"/>
  <c r="G19" i="15"/>
  <c r="G20" i="15"/>
  <c r="G21" i="15"/>
  <c r="G22" i="15"/>
  <c r="G23" i="15"/>
  <c r="G24" i="15"/>
  <c r="G25" i="15"/>
  <c r="G18" i="15"/>
  <c r="F19" i="15"/>
  <c r="F20" i="15"/>
  <c r="F21" i="15"/>
  <c r="F22" i="15"/>
  <c r="F23" i="15"/>
  <c r="F24" i="15"/>
  <c r="F25" i="15"/>
  <c r="F18" i="15"/>
  <c r="E25" i="15"/>
  <c r="C25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8" i="15"/>
  <c r="D18" i="15"/>
  <c r="C18" i="15"/>
  <c r="H39" i="15"/>
  <c r="C41" i="2"/>
  <c r="D41" i="2"/>
  <c r="B41" i="2"/>
  <c r="C40" i="2"/>
  <c r="D40" i="2"/>
  <c r="B40" i="2"/>
  <c r="C39" i="2"/>
  <c r="D39" i="2"/>
  <c r="B39" i="2"/>
  <c r="D38" i="2"/>
  <c r="C38" i="2"/>
  <c r="B3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18" i="2"/>
  <c r="D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18" i="2"/>
  <c r="F39" i="15" l="1"/>
  <c r="H26" i="15"/>
  <c r="G26" i="15"/>
  <c r="F26" i="15"/>
  <c r="F79" i="13" l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78" i="13"/>
  <c r="D79" i="13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78" i="13"/>
  <c r="F15" i="13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14" i="13"/>
  <c r="D15" i="13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14" i="13"/>
  <c r="F79" i="12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78" i="12"/>
  <c r="D79" i="12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78" i="12"/>
  <c r="F15" i="12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14" i="12"/>
  <c r="D15" i="12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14" i="12"/>
  <c r="F79" i="1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78" i="11"/>
  <c r="D79" i="1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78" i="11"/>
  <c r="L12" i="13"/>
  <c r="H12" i="13"/>
  <c r="I12" i="13" s="1"/>
  <c r="L76" i="13"/>
  <c r="H76" i="13"/>
  <c r="I76" i="13" s="1"/>
  <c r="L12" i="12"/>
  <c r="H12" i="12"/>
  <c r="I12" i="12" s="1"/>
  <c r="L76" i="12"/>
  <c r="H76" i="12"/>
  <c r="I76" i="12" s="1"/>
  <c r="L12" i="11"/>
  <c r="F15" i="1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14" i="11"/>
  <c r="D15" i="1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14" i="11"/>
  <c r="F79" i="10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78" i="10"/>
  <c r="D79" i="10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78" i="10"/>
  <c r="F15" i="10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14" i="10"/>
  <c r="D15" i="10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14" i="10"/>
  <c r="D79" i="8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F79" i="8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78" i="8"/>
  <c r="D78" i="8"/>
  <c r="F15" i="8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D15" i="8"/>
  <c r="D16" i="8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F14" i="8"/>
  <c r="D14" i="8"/>
  <c r="F79" i="6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78" i="6"/>
  <c r="D79" i="6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78" i="6"/>
  <c r="L45" i="6"/>
  <c r="F15" i="6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14" i="6"/>
  <c r="D15" i="6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14" i="6"/>
  <c r="C78" i="13"/>
  <c r="B78" i="13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G77" i="13"/>
  <c r="E77" i="13"/>
  <c r="B77" i="13"/>
  <c r="A77" i="13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C15" i="13"/>
  <c r="C16" i="13" s="1"/>
  <c r="C14" i="13"/>
  <c r="H13" i="13"/>
  <c r="I13" i="13" s="1"/>
  <c r="G13" i="13"/>
  <c r="E13" i="13"/>
  <c r="D13" i="13"/>
  <c r="B13" i="13"/>
  <c r="B14" i="13" s="1"/>
  <c r="B15" i="13" s="1"/>
  <c r="B16" i="13" s="1"/>
  <c r="A13" i="13"/>
  <c r="A14" i="13" s="1"/>
  <c r="C78" i="12"/>
  <c r="A78" i="12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G77" i="12"/>
  <c r="E77" i="12"/>
  <c r="B77" i="12"/>
  <c r="A77" i="12"/>
  <c r="J77" i="12" s="1"/>
  <c r="C15" i="12"/>
  <c r="C14" i="12"/>
  <c r="G13" i="12"/>
  <c r="D13" i="12"/>
  <c r="E13" i="12" s="1"/>
  <c r="B13" i="12"/>
  <c r="B14" i="12" s="1"/>
  <c r="B15" i="12" s="1"/>
  <c r="B16" i="12" s="1"/>
  <c r="A13" i="12"/>
  <c r="J13" i="12" s="1"/>
  <c r="A80" i="1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J78" i="11"/>
  <c r="C78" i="11"/>
  <c r="C79" i="11" s="1"/>
  <c r="A78" i="11"/>
  <c r="A79" i="11" s="1"/>
  <c r="G77" i="11"/>
  <c r="E77" i="11"/>
  <c r="B77" i="11"/>
  <c r="A77" i="11"/>
  <c r="J77" i="11" s="1"/>
  <c r="L76" i="11"/>
  <c r="H76" i="11"/>
  <c r="I76" i="11" s="1"/>
  <c r="C14" i="11"/>
  <c r="C15" i="11" s="1"/>
  <c r="B14" i="11"/>
  <c r="B15" i="11" s="1"/>
  <c r="B16" i="11" s="1"/>
  <c r="G13" i="11"/>
  <c r="E13" i="11"/>
  <c r="H13" i="11" s="1"/>
  <c r="I13" i="11" s="1"/>
  <c r="K13" i="11" s="1"/>
  <c r="D13" i="11"/>
  <c r="B13" i="11"/>
  <c r="A13" i="11"/>
  <c r="A14" i="11" s="1"/>
  <c r="I12" i="11"/>
  <c r="H12" i="11"/>
  <c r="C79" i="10"/>
  <c r="J79" i="10" s="1"/>
  <c r="J78" i="10"/>
  <c r="C78" i="10"/>
  <c r="B78" i="10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A78" i="10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G77" i="10"/>
  <c r="E77" i="10"/>
  <c r="B77" i="10"/>
  <c r="A77" i="10"/>
  <c r="J77" i="10" s="1"/>
  <c r="L76" i="10"/>
  <c r="H76" i="10"/>
  <c r="I76" i="10" s="1"/>
  <c r="C14" i="10"/>
  <c r="B14" i="10"/>
  <c r="B15" i="10" s="1"/>
  <c r="B16" i="10" s="1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G13" i="10"/>
  <c r="D13" i="10"/>
  <c r="B13" i="10"/>
  <c r="A13" i="10"/>
  <c r="J13" i="10" s="1"/>
  <c r="H12" i="10"/>
  <c r="A80" i="8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C79" i="8"/>
  <c r="J79" i="8" s="1"/>
  <c r="J78" i="8"/>
  <c r="C78" i="8"/>
  <c r="A78" i="8"/>
  <c r="A79" i="8" s="1"/>
  <c r="K77" i="8"/>
  <c r="G77" i="8"/>
  <c r="E77" i="8"/>
  <c r="H77" i="8" s="1"/>
  <c r="I77" i="8" s="1"/>
  <c r="B77" i="8"/>
  <c r="A77" i="8"/>
  <c r="J77" i="8" s="1"/>
  <c r="H76" i="8"/>
  <c r="I76" i="8" s="1"/>
  <c r="C14" i="8"/>
  <c r="B14" i="8"/>
  <c r="B15" i="8" s="1"/>
  <c r="B16" i="8" s="1"/>
  <c r="J13" i="8"/>
  <c r="G13" i="8"/>
  <c r="E13" i="8"/>
  <c r="D13" i="8"/>
  <c r="B13" i="8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I12" i="8"/>
  <c r="H12" i="8"/>
  <c r="C78" i="6"/>
  <c r="C79" i="6" s="1"/>
  <c r="A78" i="6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H77" i="6"/>
  <c r="K77" i="6" s="1"/>
  <c r="G77" i="6"/>
  <c r="E77" i="6"/>
  <c r="B77" i="6"/>
  <c r="A77" i="6"/>
  <c r="J77" i="6" s="1"/>
  <c r="L76" i="6"/>
  <c r="H76" i="6"/>
  <c r="I76" i="6" s="1"/>
  <c r="C15" i="6"/>
  <c r="C16" i="6" s="1"/>
  <c r="C14" i="6"/>
  <c r="J13" i="6"/>
  <c r="G13" i="6"/>
  <c r="D13" i="6"/>
  <c r="B13" i="6"/>
  <c r="B14" i="6" s="1"/>
  <c r="B15" i="6" s="1"/>
  <c r="B16" i="6" s="1"/>
  <c r="A13" i="6"/>
  <c r="A14" i="6" s="1"/>
  <c r="A15" i="6" s="1"/>
  <c r="I12" i="6"/>
  <c r="H12" i="6"/>
  <c r="L13" i="5"/>
  <c r="L44" i="5"/>
  <c r="D44" i="5"/>
  <c r="J36" i="5"/>
  <c r="F80" i="5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79" i="5"/>
  <c r="D80" i="5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79" i="5"/>
  <c r="I13" i="5"/>
  <c r="H4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14" i="5"/>
  <c r="F44" i="5"/>
  <c r="J13" i="5"/>
  <c r="F16" i="5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15" i="5"/>
  <c r="D16" i="5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15" i="5"/>
  <c r="F14" i="5"/>
  <c r="F78" i="5"/>
  <c r="D78" i="5"/>
  <c r="D14" i="5"/>
  <c r="C80" i="5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79" i="5"/>
  <c r="A79" i="5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G78" i="5"/>
  <c r="E78" i="5"/>
  <c r="B78" i="5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A78" i="5"/>
  <c r="J78" i="5" s="1"/>
  <c r="L77" i="5"/>
  <c r="H77" i="5"/>
  <c r="I77" i="5" s="1"/>
  <c r="C15" i="5"/>
  <c r="C16" i="5" s="1"/>
  <c r="G14" i="5"/>
  <c r="B14" i="5"/>
  <c r="B15" i="5" s="1"/>
  <c r="B16" i="5" s="1"/>
  <c r="A14" i="5"/>
  <c r="H13" i="5"/>
  <c r="J88" i="3"/>
  <c r="K89" i="3"/>
  <c r="K90" i="3"/>
  <c r="K91" i="3"/>
  <c r="K92" i="3"/>
  <c r="K93" i="3"/>
  <c r="K94" i="3"/>
  <c r="K118" i="3" s="1"/>
  <c r="K95" i="3"/>
  <c r="K96" i="3"/>
  <c r="K97" i="3"/>
  <c r="K98" i="3"/>
  <c r="K99" i="3"/>
  <c r="K100" i="3"/>
  <c r="K101" i="3"/>
  <c r="K102" i="3"/>
  <c r="K88" i="3"/>
  <c r="K38" i="3"/>
  <c r="J38" i="3"/>
  <c r="J54" i="3" s="1"/>
  <c r="D25" i="3"/>
  <c r="L87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J24" i="3"/>
  <c r="D91" i="3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89" i="3"/>
  <c r="D90" i="3" s="1"/>
  <c r="I88" i="3"/>
  <c r="F89" i="3"/>
  <c r="C89" i="3"/>
  <c r="C90" i="3" s="1"/>
  <c r="J90" i="3" s="1"/>
  <c r="G88" i="3"/>
  <c r="B88" i="3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A88" i="3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I87" i="3"/>
  <c r="H87" i="3"/>
  <c r="K54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24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H54" i="3"/>
  <c r="F54" i="3"/>
  <c r="G54" i="3"/>
  <c r="E54" i="3"/>
  <c r="D54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23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G24" i="3"/>
  <c r="F25" i="3"/>
  <c r="G25" i="3" s="1"/>
  <c r="E24" i="3"/>
  <c r="E25" i="3"/>
  <c r="E2" i="3"/>
  <c r="F2" i="3"/>
  <c r="C25" i="3"/>
  <c r="D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A24" i="3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K13" i="13" l="1"/>
  <c r="J77" i="13"/>
  <c r="J14" i="13"/>
  <c r="A15" i="13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B17" i="13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C17" i="13"/>
  <c r="J13" i="13"/>
  <c r="C79" i="13"/>
  <c r="E78" i="13"/>
  <c r="J78" i="13"/>
  <c r="H77" i="13"/>
  <c r="B17" i="12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H13" i="12"/>
  <c r="I13" i="12" s="1"/>
  <c r="K13" i="12" s="1"/>
  <c r="B78" i="12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A14" i="12"/>
  <c r="C16" i="12"/>
  <c r="C79" i="12"/>
  <c r="J78" i="12"/>
  <c r="H77" i="12"/>
  <c r="C16" i="11"/>
  <c r="J15" i="11"/>
  <c r="B17" i="1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J14" i="1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E78" i="11"/>
  <c r="H77" i="11"/>
  <c r="J13" i="11"/>
  <c r="B78" i="1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J79" i="11"/>
  <c r="C80" i="11"/>
  <c r="E79" i="10"/>
  <c r="B17" i="10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J14" i="10"/>
  <c r="E13" i="10"/>
  <c r="H77" i="10"/>
  <c r="I12" i="10"/>
  <c r="C15" i="10"/>
  <c r="E78" i="10"/>
  <c r="C80" i="10"/>
  <c r="B17" i="8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J14" i="8"/>
  <c r="H13" i="8"/>
  <c r="E78" i="8"/>
  <c r="C80" i="8"/>
  <c r="C15" i="8"/>
  <c r="L77" i="8"/>
  <c r="B78" i="8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J15" i="6"/>
  <c r="A16" i="6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J14" i="6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J16" i="6"/>
  <c r="C17" i="6"/>
  <c r="L77" i="6"/>
  <c r="J79" i="6"/>
  <c r="C80" i="6"/>
  <c r="E13" i="6"/>
  <c r="B78" i="6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J78" i="6"/>
  <c r="I77" i="6"/>
  <c r="E80" i="5"/>
  <c r="C17" i="5"/>
  <c r="J16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J14" i="5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H78" i="5"/>
  <c r="J79" i="5"/>
  <c r="E14" i="5"/>
  <c r="E79" i="5"/>
  <c r="J89" i="3"/>
  <c r="C91" i="3"/>
  <c r="E88" i="3"/>
  <c r="F90" i="3"/>
  <c r="G89" i="3"/>
  <c r="F26" i="3"/>
  <c r="G2" i="3"/>
  <c r="C26" i="3"/>
  <c r="E79" i="13" l="1"/>
  <c r="E14" i="13"/>
  <c r="K77" i="13"/>
  <c r="I77" i="13"/>
  <c r="L13" i="13"/>
  <c r="G78" i="13"/>
  <c r="H78" i="13" s="1"/>
  <c r="G14" i="13"/>
  <c r="J79" i="13"/>
  <c r="C80" i="13"/>
  <c r="C18" i="13"/>
  <c r="J17" i="13"/>
  <c r="J15" i="13"/>
  <c r="J16" i="13"/>
  <c r="L13" i="12"/>
  <c r="J79" i="12"/>
  <c r="C80" i="12"/>
  <c r="E14" i="12"/>
  <c r="G14" i="12"/>
  <c r="A15" i="12"/>
  <c r="J14" i="12"/>
  <c r="E78" i="12"/>
  <c r="G78" i="12"/>
  <c r="C17" i="12"/>
  <c r="K77" i="12"/>
  <c r="I77" i="12"/>
  <c r="G14" i="11"/>
  <c r="G78" i="11"/>
  <c r="H78" i="11" s="1"/>
  <c r="C81" i="11"/>
  <c r="J80" i="11"/>
  <c r="E79" i="11"/>
  <c r="C17" i="11"/>
  <c r="J16" i="11"/>
  <c r="K77" i="11"/>
  <c r="I77" i="11"/>
  <c r="L13" i="11"/>
  <c r="E14" i="11"/>
  <c r="K77" i="10"/>
  <c r="I77" i="10"/>
  <c r="G14" i="10"/>
  <c r="J15" i="10"/>
  <c r="C16" i="10"/>
  <c r="E14" i="10"/>
  <c r="G78" i="10"/>
  <c r="H13" i="10"/>
  <c r="C81" i="10"/>
  <c r="J80" i="10"/>
  <c r="E80" i="10"/>
  <c r="J80" i="8"/>
  <c r="C81" i="8"/>
  <c r="E14" i="8"/>
  <c r="I13" i="8"/>
  <c r="G14" i="8"/>
  <c r="E79" i="8"/>
  <c r="J15" i="8"/>
  <c r="C16" i="8"/>
  <c r="G78" i="8"/>
  <c r="H78" i="8" s="1"/>
  <c r="G14" i="6"/>
  <c r="E78" i="6"/>
  <c r="E14" i="6"/>
  <c r="H13" i="6"/>
  <c r="G78" i="6"/>
  <c r="C81" i="6"/>
  <c r="J80" i="6"/>
  <c r="C18" i="6"/>
  <c r="J17" i="6"/>
  <c r="K78" i="5"/>
  <c r="I78" i="5"/>
  <c r="J17" i="5"/>
  <c r="C18" i="5"/>
  <c r="G15" i="5"/>
  <c r="E81" i="5"/>
  <c r="E15" i="5"/>
  <c r="G79" i="5"/>
  <c r="H79" i="5" s="1"/>
  <c r="J80" i="5"/>
  <c r="J15" i="5"/>
  <c r="J91" i="3"/>
  <c r="C92" i="3"/>
  <c r="J92" i="3" s="1"/>
  <c r="H88" i="3"/>
  <c r="E89" i="3"/>
  <c r="H89" i="3" s="1"/>
  <c r="I89" i="3" s="1"/>
  <c r="L89" i="3" s="1"/>
  <c r="F91" i="3"/>
  <c r="G90" i="3"/>
  <c r="F27" i="3"/>
  <c r="G26" i="3"/>
  <c r="L24" i="3"/>
  <c r="C27" i="3"/>
  <c r="D26" i="3"/>
  <c r="E26" i="3" s="1"/>
  <c r="E15" i="13" l="1"/>
  <c r="G79" i="13"/>
  <c r="H79" i="13" s="1"/>
  <c r="C19" i="13"/>
  <c r="J18" i="13"/>
  <c r="H14" i="13"/>
  <c r="C81" i="13"/>
  <c r="J80" i="13"/>
  <c r="E80" i="13"/>
  <c r="K78" i="13"/>
  <c r="L78" i="13" s="1"/>
  <c r="I78" i="13"/>
  <c r="G15" i="13"/>
  <c r="L77" i="13"/>
  <c r="E15" i="12"/>
  <c r="C18" i="12"/>
  <c r="L77" i="12"/>
  <c r="A16" i="12"/>
  <c r="J15" i="12"/>
  <c r="G15" i="12"/>
  <c r="E79" i="12"/>
  <c r="H14" i="12"/>
  <c r="C81" i="12"/>
  <c r="J80" i="12"/>
  <c r="G79" i="12"/>
  <c r="H78" i="12"/>
  <c r="L77" i="11"/>
  <c r="K78" i="11"/>
  <c r="L78" i="11" s="1"/>
  <c r="I78" i="11"/>
  <c r="G79" i="11"/>
  <c r="H79" i="11" s="1"/>
  <c r="E80" i="11"/>
  <c r="C18" i="11"/>
  <c r="J17" i="11"/>
  <c r="G15" i="11"/>
  <c r="J81" i="11"/>
  <c r="C82" i="11"/>
  <c r="H14" i="11"/>
  <c r="E15" i="11"/>
  <c r="G79" i="10"/>
  <c r="H79" i="10" s="1"/>
  <c r="J81" i="10"/>
  <c r="C82" i="10"/>
  <c r="H14" i="10"/>
  <c r="I14" i="10" s="1"/>
  <c r="K14" i="10" s="1"/>
  <c r="L14" i="10" s="1"/>
  <c r="L77" i="10"/>
  <c r="I13" i="10"/>
  <c r="J16" i="10"/>
  <c r="C17" i="10"/>
  <c r="H78" i="10"/>
  <c r="E15" i="10"/>
  <c r="E81" i="10"/>
  <c r="G15" i="10"/>
  <c r="K78" i="8"/>
  <c r="I78" i="8"/>
  <c r="K13" i="8"/>
  <c r="G79" i="8"/>
  <c r="H79" i="8" s="1"/>
  <c r="J81" i="8"/>
  <c r="C82" i="8"/>
  <c r="E15" i="8"/>
  <c r="G15" i="8"/>
  <c r="E80" i="8"/>
  <c r="H14" i="8"/>
  <c r="C17" i="8"/>
  <c r="J16" i="8"/>
  <c r="E79" i="6"/>
  <c r="G15" i="6"/>
  <c r="J18" i="6"/>
  <c r="C19" i="6"/>
  <c r="H14" i="6"/>
  <c r="I14" i="6" s="1"/>
  <c r="K14" i="6" s="1"/>
  <c r="L14" i="6" s="1"/>
  <c r="H78" i="6"/>
  <c r="I13" i="6"/>
  <c r="E15" i="6"/>
  <c r="J81" i="6"/>
  <c r="C82" i="6"/>
  <c r="G79" i="6"/>
  <c r="I79" i="5"/>
  <c r="K79" i="5"/>
  <c r="L79" i="5" s="1"/>
  <c r="C19" i="5"/>
  <c r="J18" i="5"/>
  <c r="L78" i="5"/>
  <c r="E82" i="5"/>
  <c r="G80" i="5"/>
  <c r="H80" i="5" s="1"/>
  <c r="I15" i="5"/>
  <c r="K15" i="5" s="1"/>
  <c r="L15" i="5" s="1"/>
  <c r="I14" i="5"/>
  <c r="J81" i="5"/>
  <c r="E16" i="5"/>
  <c r="G16" i="5"/>
  <c r="C93" i="3"/>
  <c r="J93" i="3" s="1"/>
  <c r="E90" i="3"/>
  <c r="G91" i="3"/>
  <c r="F92" i="3"/>
  <c r="F28" i="3"/>
  <c r="G27" i="3"/>
  <c r="C28" i="3"/>
  <c r="L25" i="3"/>
  <c r="L26" i="3"/>
  <c r="D27" i="3"/>
  <c r="E27" i="3" s="1"/>
  <c r="H79" i="12" l="1"/>
  <c r="H15" i="10"/>
  <c r="I15" i="10" s="1"/>
  <c r="K15" i="10" s="1"/>
  <c r="L15" i="10" s="1"/>
  <c r="K79" i="13"/>
  <c r="L79" i="13" s="1"/>
  <c r="I79" i="13"/>
  <c r="J19" i="13"/>
  <c r="C20" i="13"/>
  <c r="I14" i="13"/>
  <c r="E16" i="13"/>
  <c r="G80" i="13"/>
  <c r="H80" i="13" s="1"/>
  <c r="G16" i="13"/>
  <c r="E81" i="13"/>
  <c r="H15" i="13"/>
  <c r="I15" i="13" s="1"/>
  <c r="K15" i="13" s="1"/>
  <c r="L15" i="13" s="1"/>
  <c r="J81" i="13"/>
  <c r="C82" i="13"/>
  <c r="K79" i="12"/>
  <c r="L79" i="12" s="1"/>
  <c r="I79" i="12"/>
  <c r="H15" i="12"/>
  <c r="I15" i="12" s="1"/>
  <c r="K15" i="12" s="1"/>
  <c r="L15" i="12" s="1"/>
  <c r="K78" i="12"/>
  <c r="I78" i="12"/>
  <c r="E80" i="12"/>
  <c r="G16" i="12"/>
  <c r="E16" i="12"/>
  <c r="C19" i="12"/>
  <c r="G80" i="12"/>
  <c r="I14" i="12"/>
  <c r="J81" i="12"/>
  <c r="C82" i="12"/>
  <c r="A17" i="12"/>
  <c r="J16" i="12"/>
  <c r="K79" i="11"/>
  <c r="L79" i="11" s="1"/>
  <c r="I79" i="11"/>
  <c r="H80" i="11"/>
  <c r="E16" i="11"/>
  <c r="G16" i="11"/>
  <c r="E81" i="11"/>
  <c r="C83" i="11"/>
  <c r="J82" i="11"/>
  <c r="H15" i="11"/>
  <c r="I15" i="11" s="1"/>
  <c r="K15" i="11" s="1"/>
  <c r="L15" i="11" s="1"/>
  <c r="I14" i="11"/>
  <c r="J18" i="11"/>
  <c r="C19" i="11"/>
  <c r="G80" i="11"/>
  <c r="J17" i="10"/>
  <c r="C18" i="10"/>
  <c r="C83" i="10"/>
  <c r="J82" i="10"/>
  <c r="G16" i="10"/>
  <c r="K13" i="10"/>
  <c r="E16" i="10"/>
  <c r="K79" i="10"/>
  <c r="L79" i="10" s="1"/>
  <c r="I79" i="10"/>
  <c r="E82" i="10"/>
  <c r="G80" i="10"/>
  <c r="H80" i="10" s="1"/>
  <c r="K78" i="10"/>
  <c r="I78" i="10"/>
  <c r="I79" i="8"/>
  <c r="K79" i="8"/>
  <c r="L79" i="8" s="1"/>
  <c r="J17" i="8"/>
  <c r="C18" i="8"/>
  <c r="L13" i="8"/>
  <c r="G16" i="8"/>
  <c r="G80" i="8"/>
  <c r="H80" i="8" s="1"/>
  <c r="E16" i="8"/>
  <c r="I14" i="8"/>
  <c r="H15" i="8"/>
  <c r="I15" i="8" s="1"/>
  <c r="K15" i="8" s="1"/>
  <c r="L15" i="8" s="1"/>
  <c r="C83" i="8"/>
  <c r="J82" i="8"/>
  <c r="E81" i="8"/>
  <c r="L78" i="8"/>
  <c r="G16" i="6"/>
  <c r="H79" i="6"/>
  <c r="K13" i="6"/>
  <c r="E80" i="6"/>
  <c r="K78" i="6"/>
  <c r="I78" i="6"/>
  <c r="E16" i="6"/>
  <c r="G80" i="6"/>
  <c r="H15" i="6"/>
  <c r="J19" i="6"/>
  <c r="C20" i="6"/>
  <c r="C83" i="6"/>
  <c r="J82" i="6"/>
  <c r="K80" i="5"/>
  <c r="I80" i="5"/>
  <c r="C20" i="5"/>
  <c r="J19" i="5"/>
  <c r="G81" i="5"/>
  <c r="H81" i="5" s="1"/>
  <c r="G17" i="5"/>
  <c r="E83" i="5"/>
  <c r="J82" i="5"/>
  <c r="I16" i="5"/>
  <c r="K16" i="5" s="1"/>
  <c r="L16" i="5" s="1"/>
  <c r="K14" i="5"/>
  <c r="E17" i="5"/>
  <c r="C94" i="3"/>
  <c r="J94" i="3" s="1"/>
  <c r="G92" i="3"/>
  <c r="F93" i="3"/>
  <c r="E91" i="3"/>
  <c r="H91" i="3" s="1"/>
  <c r="I91" i="3" s="1"/>
  <c r="L91" i="3" s="1"/>
  <c r="H90" i="3"/>
  <c r="F29" i="3"/>
  <c r="G28" i="3"/>
  <c r="C29" i="3"/>
  <c r="L27" i="3"/>
  <c r="D28" i="3"/>
  <c r="E28" i="3" s="1"/>
  <c r="H16" i="6" l="1"/>
  <c r="I16" i="6" s="1"/>
  <c r="K16" i="6" s="1"/>
  <c r="L16" i="6" s="1"/>
  <c r="K80" i="13"/>
  <c r="I80" i="13"/>
  <c r="E82" i="13"/>
  <c r="E17" i="13"/>
  <c r="C83" i="13"/>
  <c r="J82" i="13"/>
  <c r="G17" i="13"/>
  <c r="K14" i="13"/>
  <c r="H16" i="13"/>
  <c r="G81" i="13"/>
  <c r="H81" i="13" s="1"/>
  <c r="C21" i="13"/>
  <c r="J20" i="13"/>
  <c r="H16" i="12"/>
  <c r="L78" i="12"/>
  <c r="E81" i="12"/>
  <c r="G17" i="12"/>
  <c r="K14" i="12"/>
  <c r="C20" i="12"/>
  <c r="G81" i="12"/>
  <c r="C83" i="12"/>
  <c r="J82" i="12"/>
  <c r="E17" i="12"/>
  <c r="A18" i="12"/>
  <c r="J17" i="12"/>
  <c r="H80" i="12"/>
  <c r="K14" i="11"/>
  <c r="G81" i="11"/>
  <c r="H81" i="11" s="1"/>
  <c r="E82" i="11"/>
  <c r="K80" i="11"/>
  <c r="I80" i="11"/>
  <c r="C20" i="11"/>
  <c r="J19" i="11"/>
  <c r="G17" i="11"/>
  <c r="E17" i="11"/>
  <c r="J83" i="11"/>
  <c r="C84" i="11"/>
  <c r="H16" i="11"/>
  <c r="H16" i="10"/>
  <c r="E17" i="10"/>
  <c r="J83" i="10"/>
  <c r="C84" i="10"/>
  <c r="L78" i="10"/>
  <c r="L13" i="10"/>
  <c r="J18" i="10"/>
  <c r="C19" i="10"/>
  <c r="G81" i="10"/>
  <c r="E83" i="10"/>
  <c r="K80" i="10"/>
  <c r="L80" i="10" s="1"/>
  <c r="I80" i="10"/>
  <c r="G17" i="10"/>
  <c r="K80" i="8"/>
  <c r="I80" i="8"/>
  <c r="E17" i="8"/>
  <c r="G81" i="8"/>
  <c r="H81" i="8" s="1"/>
  <c r="G17" i="8"/>
  <c r="J83" i="8"/>
  <c r="C84" i="8"/>
  <c r="J18" i="8"/>
  <c r="C19" i="8"/>
  <c r="E82" i="8"/>
  <c r="K14" i="8"/>
  <c r="H16" i="8"/>
  <c r="I16" i="8" s="1"/>
  <c r="K16" i="8" s="1"/>
  <c r="L16" i="8" s="1"/>
  <c r="J83" i="6"/>
  <c r="C84" i="6"/>
  <c r="E17" i="6"/>
  <c r="L78" i="6"/>
  <c r="G17" i="6"/>
  <c r="H80" i="6"/>
  <c r="J20" i="6"/>
  <c r="C21" i="6"/>
  <c r="L13" i="6"/>
  <c r="K79" i="6"/>
  <c r="L79" i="6" s="1"/>
  <c r="I79" i="6"/>
  <c r="I15" i="6"/>
  <c r="G81" i="6"/>
  <c r="E81" i="6"/>
  <c r="I17" i="5"/>
  <c r="K17" i="5" s="1"/>
  <c r="L17" i="5" s="1"/>
  <c r="J83" i="5"/>
  <c r="J20" i="5"/>
  <c r="C21" i="5"/>
  <c r="L14" i="5"/>
  <c r="G18" i="5"/>
  <c r="L80" i="5"/>
  <c r="E84" i="5"/>
  <c r="E18" i="5"/>
  <c r="G82" i="5"/>
  <c r="H82" i="5" s="1"/>
  <c r="I81" i="5"/>
  <c r="K81" i="5"/>
  <c r="L81" i="5" s="1"/>
  <c r="G93" i="3"/>
  <c r="F94" i="3"/>
  <c r="C95" i="3"/>
  <c r="J95" i="3" s="1"/>
  <c r="E92" i="3"/>
  <c r="H92" i="3" s="1"/>
  <c r="I92" i="3" s="1"/>
  <c r="L92" i="3" s="1"/>
  <c r="I90" i="3"/>
  <c r="L88" i="3"/>
  <c r="F30" i="3"/>
  <c r="G29" i="3"/>
  <c r="C30" i="3"/>
  <c r="L28" i="3"/>
  <c r="D29" i="3"/>
  <c r="E29" i="3" s="1"/>
  <c r="H17" i="12" l="1"/>
  <c r="I17" i="12" s="1"/>
  <c r="K17" i="12" s="1"/>
  <c r="H81" i="12"/>
  <c r="K81" i="13"/>
  <c r="L81" i="13" s="1"/>
  <c r="I81" i="13"/>
  <c r="E18" i="13"/>
  <c r="G82" i="13"/>
  <c r="H82" i="13" s="1"/>
  <c r="G18" i="13"/>
  <c r="I16" i="13"/>
  <c r="E83" i="13"/>
  <c r="L14" i="13"/>
  <c r="J83" i="13"/>
  <c r="C84" i="13"/>
  <c r="J21" i="13"/>
  <c r="C22" i="13"/>
  <c r="H17" i="13"/>
  <c r="I17" i="13" s="1"/>
  <c r="K17" i="13" s="1"/>
  <c r="L17" i="13" s="1"/>
  <c r="L80" i="13"/>
  <c r="E82" i="12"/>
  <c r="K81" i="12"/>
  <c r="L81" i="12" s="1"/>
  <c r="I81" i="12"/>
  <c r="A19" i="12"/>
  <c r="J18" i="12"/>
  <c r="L14" i="12"/>
  <c r="G82" i="12"/>
  <c r="I16" i="12"/>
  <c r="K80" i="12"/>
  <c r="I80" i="12"/>
  <c r="L17" i="12"/>
  <c r="C21" i="12"/>
  <c r="J83" i="12"/>
  <c r="C84" i="12"/>
  <c r="E18" i="12"/>
  <c r="G18" i="12"/>
  <c r="K81" i="11"/>
  <c r="L81" i="11" s="1"/>
  <c r="I81" i="11"/>
  <c r="C21" i="11"/>
  <c r="J20" i="11"/>
  <c r="G82" i="11"/>
  <c r="H82" i="11" s="1"/>
  <c r="G18" i="11"/>
  <c r="E18" i="11"/>
  <c r="H18" i="11" s="1"/>
  <c r="I18" i="11" s="1"/>
  <c r="K18" i="11" s="1"/>
  <c r="L18" i="11" s="1"/>
  <c r="L80" i="11"/>
  <c r="L14" i="11"/>
  <c r="C85" i="11"/>
  <c r="J84" i="11"/>
  <c r="H17" i="11"/>
  <c r="I17" i="11" s="1"/>
  <c r="K17" i="11" s="1"/>
  <c r="L17" i="11" s="1"/>
  <c r="I16" i="11"/>
  <c r="E83" i="11"/>
  <c r="E84" i="10"/>
  <c r="E18" i="10"/>
  <c r="H17" i="10"/>
  <c r="I17" i="10" s="1"/>
  <c r="K17" i="10" s="1"/>
  <c r="L17" i="10" s="1"/>
  <c r="I16" i="10"/>
  <c r="G18" i="10"/>
  <c r="H81" i="10"/>
  <c r="G82" i="10"/>
  <c r="H82" i="10" s="1"/>
  <c r="C85" i="10"/>
  <c r="J84" i="10"/>
  <c r="C20" i="10"/>
  <c r="J19" i="10"/>
  <c r="H17" i="8"/>
  <c r="L14" i="8"/>
  <c r="G18" i="8"/>
  <c r="E83" i="8"/>
  <c r="E18" i="8"/>
  <c r="C20" i="8"/>
  <c r="J19" i="8"/>
  <c r="I81" i="8"/>
  <c r="K81" i="8"/>
  <c r="L81" i="8" s="1"/>
  <c r="J84" i="8"/>
  <c r="C85" i="8"/>
  <c r="G82" i="8"/>
  <c r="H82" i="8" s="1"/>
  <c r="L80" i="8"/>
  <c r="J21" i="6"/>
  <c r="C22" i="6"/>
  <c r="H17" i="6"/>
  <c r="E18" i="6"/>
  <c r="K15" i="6"/>
  <c r="K80" i="6"/>
  <c r="I80" i="6"/>
  <c r="C85" i="6"/>
  <c r="J84" i="6"/>
  <c r="G82" i="6"/>
  <c r="H81" i="6"/>
  <c r="E82" i="6"/>
  <c r="G18" i="6"/>
  <c r="I18" i="5"/>
  <c r="G19" i="5"/>
  <c r="J84" i="5"/>
  <c r="C22" i="5"/>
  <c r="J21" i="5"/>
  <c r="E19" i="5"/>
  <c r="E85" i="5"/>
  <c r="K82" i="5"/>
  <c r="L82" i="5" s="1"/>
  <c r="I82" i="5"/>
  <c r="G83" i="5"/>
  <c r="H83" i="5" s="1"/>
  <c r="C96" i="3"/>
  <c r="J96" i="3" s="1"/>
  <c r="E93" i="3"/>
  <c r="F95" i="3"/>
  <c r="G94" i="3"/>
  <c r="F31" i="3"/>
  <c r="G30" i="3"/>
  <c r="L29" i="3"/>
  <c r="D30" i="3"/>
  <c r="E30" i="3" s="1"/>
  <c r="C31" i="3"/>
  <c r="H18" i="10" l="1"/>
  <c r="I18" i="10" s="1"/>
  <c r="K18" i="10" s="1"/>
  <c r="L18" i="10" s="1"/>
  <c r="H18" i="6"/>
  <c r="I18" i="6" s="1"/>
  <c r="K18" i="6" s="1"/>
  <c r="L18" i="6" s="1"/>
  <c r="I82" i="13"/>
  <c r="K82" i="13"/>
  <c r="E84" i="13"/>
  <c r="C23" i="13"/>
  <c r="J22" i="13"/>
  <c r="E19" i="13"/>
  <c r="G83" i="13"/>
  <c r="H83" i="13" s="1"/>
  <c r="H18" i="13"/>
  <c r="I18" i="13" s="1"/>
  <c r="K18" i="13" s="1"/>
  <c r="L18" i="13" s="1"/>
  <c r="K16" i="13"/>
  <c r="C85" i="13"/>
  <c r="J84" i="13"/>
  <c r="G19" i="13"/>
  <c r="K16" i="12"/>
  <c r="A20" i="12"/>
  <c r="J19" i="12"/>
  <c r="G19" i="12"/>
  <c r="H82" i="12"/>
  <c r="C85" i="12"/>
  <c r="J84" i="12"/>
  <c r="G83" i="12"/>
  <c r="E19" i="12"/>
  <c r="E83" i="12"/>
  <c r="C22" i="12"/>
  <c r="H18" i="12"/>
  <c r="L80" i="12"/>
  <c r="K82" i="11"/>
  <c r="I82" i="11"/>
  <c r="E19" i="11"/>
  <c r="E84" i="11"/>
  <c r="J85" i="11"/>
  <c r="C86" i="11"/>
  <c r="C22" i="11"/>
  <c r="J21" i="11"/>
  <c r="G19" i="11"/>
  <c r="G83" i="11"/>
  <c r="H83" i="11" s="1"/>
  <c r="K16" i="11"/>
  <c r="C21" i="10"/>
  <c r="J20" i="10"/>
  <c r="G83" i="10"/>
  <c r="H83" i="10" s="1"/>
  <c r="K81" i="10"/>
  <c r="I81" i="10"/>
  <c r="E19" i="10"/>
  <c r="K16" i="10"/>
  <c r="J85" i="10"/>
  <c r="C86" i="10"/>
  <c r="E85" i="10"/>
  <c r="K82" i="10"/>
  <c r="L82" i="10" s="1"/>
  <c r="I82" i="10"/>
  <c r="G19" i="10"/>
  <c r="K82" i="8"/>
  <c r="I82" i="8"/>
  <c r="J85" i="8"/>
  <c r="C86" i="8"/>
  <c r="C21" i="8"/>
  <c r="J20" i="8"/>
  <c r="G19" i="8"/>
  <c r="H18" i="8"/>
  <c r="I18" i="8" s="1"/>
  <c r="K18" i="8" s="1"/>
  <c r="L18" i="8" s="1"/>
  <c r="G83" i="8"/>
  <c r="E19" i="8"/>
  <c r="E84" i="8"/>
  <c r="H83" i="8"/>
  <c r="I17" i="8"/>
  <c r="E19" i="6"/>
  <c r="I17" i="6"/>
  <c r="J85" i="6"/>
  <c r="C86" i="6"/>
  <c r="K81" i="6"/>
  <c r="L81" i="6" s="1"/>
  <c r="I81" i="6"/>
  <c r="G19" i="6"/>
  <c r="G83" i="6"/>
  <c r="L15" i="6"/>
  <c r="C23" i="6"/>
  <c r="J22" i="6"/>
  <c r="H82" i="6"/>
  <c r="E83" i="6"/>
  <c r="L80" i="6"/>
  <c r="E86" i="5"/>
  <c r="G20" i="5"/>
  <c r="I83" i="5"/>
  <c r="K83" i="5"/>
  <c r="I19" i="5"/>
  <c r="K19" i="5" s="1"/>
  <c r="L19" i="5" s="1"/>
  <c r="J85" i="5"/>
  <c r="G84" i="5"/>
  <c r="H84" i="5" s="1"/>
  <c r="E20" i="5"/>
  <c r="K18" i="5"/>
  <c r="J22" i="5"/>
  <c r="C23" i="5"/>
  <c r="H93" i="3"/>
  <c r="I93" i="3" s="1"/>
  <c r="L90" i="3"/>
  <c r="E94" i="3"/>
  <c r="H94" i="3" s="1"/>
  <c r="I94" i="3" s="1"/>
  <c r="L94" i="3" s="1"/>
  <c r="G95" i="3"/>
  <c r="F96" i="3"/>
  <c r="C97" i="3"/>
  <c r="J97" i="3" s="1"/>
  <c r="F32" i="3"/>
  <c r="G31" i="3"/>
  <c r="L30" i="3"/>
  <c r="D31" i="3"/>
  <c r="E31" i="3" s="1"/>
  <c r="C32" i="3"/>
  <c r="H19" i="12" l="1"/>
  <c r="I19" i="12" s="1"/>
  <c r="K19" i="12" s="1"/>
  <c r="L19" i="12" s="1"/>
  <c r="H19" i="13"/>
  <c r="I19" i="13" s="1"/>
  <c r="K19" i="13" s="1"/>
  <c r="L19" i="13" s="1"/>
  <c r="K83" i="13"/>
  <c r="L83" i="13" s="1"/>
  <c r="I83" i="13"/>
  <c r="E85" i="13"/>
  <c r="G20" i="13"/>
  <c r="G84" i="13"/>
  <c r="H84" i="13" s="1"/>
  <c r="L16" i="13"/>
  <c r="L82" i="13"/>
  <c r="J23" i="13"/>
  <c r="C24" i="13"/>
  <c r="J85" i="13"/>
  <c r="C86" i="13"/>
  <c r="E20" i="13"/>
  <c r="I18" i="12"/>
  <c r="K18" i="12" s="1"/>
  <c r="L18" i="12" s="1"/>
  <c r="G20" i="12"/>
  <c r="G84" i="12"/>
  <c r="C23" i="12"/>
  <c r="H83" i="12"/>
  <c r="A21" i="12"/>
  <c r="J20" i="12"/>
  <c r="K82" i="12"/>
  <c r="I82" i="12"/>
  <c r="E20" i="12"/>
  <c r="E84" i="12"/>
  <c r="J85" i="12"/>
  <c r="C86" i="12"/>
  <c r="L16" i="12"/>
  <c r="K83" i="11"/>
  <c r="L83" i="11" s="1"/>
  <c r="I83" i="11"/>
  <c r="H19" i="11"/>
  <c r="I19" i="11" s="1"/>
  <c r="E85" i="11"/>
  <c r="E20" i="11"/>
  <c r="G20" i="11"/>
  <c r="L16" i="11"/>
  <c r="C23" i="11"/>
  <c r="J22" i="11"/>
  <c r="C87" i="11"/>
  <c r="J86" i="11"/>
  <c r="G84" i="11"/>
  <c r="H84" i="11" s="1"/>
  <c r="L82" i="11"/>
  <c r="G20" i="10"/>
  <c r="L81" i="10"/>
  <c r="E86" i="10"/>
  <c r="C87" i="10"/>
  <c r="J86" i="10"/>
  <c r="K83" i="10"/>
  <c r="L83" i="10" s="1"/>
  <c r="I83" i="10"/>
  <c r="H19" i="10"/>
  <c r="I19" i="10" s="1"/>
  <c r="G84" i="10"/>
  <c r="H84" i="10" s="1"/>
  <c r="E20" i="10"/>
  <c r="L16" i="10"/>
  <c r="C22" i="10"/>
  <c r="J21" i="10"/>
  <c r="E85" i="8"/>
  <c r="K17" i="8"/>
  <c r="E20" i="8"/>
  <c r="C87" i="8"/>
  <c r="J86" i="8"/>
  <c r="H19" i="8"/>
  <c r="G20" i="8"/>
  <c r="I83" i="8"/>
  <c r="K83" i="8"/>
  <c r="L83" i="8" s="1"/>
  <c r="C22" i="8"/>
  <c r="J21" i="8"/>
  <c r="G84" i="8"/>
  <c r="H84" i="8"/>
  <c r="L82" i="8"/>
  <c r="C87" i="6"/>
  <c r="J86" i="6"/>
  <c r="G84" i="6"/>
  <c r="G20" i="6"/>
  <c r="K17" i="6"/>
  <c r="H19" i="6"/>
  <c r="I19" i="6" s="1"/>
  <c r="K19" i="6" s="1"/>
  <c r="L19" i="6" s="1"/>
  <c r="H83" i="6"/>
  <c r="E84" i="6"/>
  <c r="H84" i="6" s="1"/>
  <c r="K82" i="6"/>
  <c r="L82" i="6" s="1"/>
  <c r="I82" i="6"/>
  <c r="J23" i="6"/>
  <c r="C24" i="6"/>
  <c r="E20" i="6"/>
  <c r="H20" i="6" s="1"/>
  <c r="I20" i="6" s="1"/>
  <c r="K20" i="6" s="1"/>
  <c r="L20" i="6" s="1"/>
  <c r="I20" i="5"/>
  <c r="K20" i="5" s="1"/>
  <c r="L20" i="5" s="1"/>
  <c r="L18" i="5"/>
  <c r="K84" i="5"/>
  <c r="L84" i="5" s="1"/>
  <c r="I84" i="5"/>
  <c r="L83" i="5"/>
  <c r="C24" i="5"/>
  <c r="J23" i="5"/>
  <c r="G85" i="5"/>
  <c r="H85" i="5" s="1"/>
  <c r="G21" i="5"/>
  <c r="E21" i="5"/>
  <c r="E87" i="5"/>
  <c r="J86" i="5"/>
  <c r="F97" i="3"/>
  <c r="G96" i="3"/>
  <c r="E95" i="3"/>
  <c r="H95" i="3" s="1"/>
  <c r="I95" i="3" s="1"/>
  <c r="L95" i="3" s="1"/>
  <c r="C98" i="3"/>
  <c r="J98" i="3" s="1"/>
  <c r="L98" i="3" s="1"/>
  <c r="F33" i="3"/>
  <c r="G32" i="3"/>
  <c r="C33" i="3"/>
  <c r="L31" i="3"/>
  <c r="D32" i="3"/>
  <c r="E32" i="3" s="1"/>
  <c r="H20" i="11" l="1"/>
  <c r="I20" i="11" s="1"/>
  <c r="K20" i="11" s="1"/>
  <c r="L20" i="11" s="1"/>
  <c r="H20" i="10"/>
  <c r="I20" i="10" s="1"/>
  <c r="K20" i="10" s="1"/>
  <c r="L20" i="10" s="1"/>
  <c r="H20" i="8"/>
  <c r="I20" i="8" s="1"/>
  <c r="K20" i="8" s="1"/>
  <c r="L20" i="8" s="1"/>
  <c r="H20" i="13"/>
  <c r="I20" i="13" s="1"/>
  <c r="E86" i="13"/>
  <c r="C87" i="13"/>
  <c r="J86" i="13"/>
  <c r="I84" i="13"/>
  <c r="K84" i="13"/>
  <c r="G85" i="13"/>
  <c r="H85" i="13" s="1"/>
  <c r="G21" i="13"/>
  <c r="E21" i="13"/>
  <c r="H21" i="13" s="1"/>
  <c r="I21" i="13" s="1"/>
  <c r="K21" i="13" s="1"/>
  <c r="L21" i="13" s="1"/>
  <c r="J24" i="13"/>
  <c r="C25" i="13"/>
  <c r="E85" i="12"/>
  <c r="H20" i="12"/>
  <c r="I20" i="12" s="1"/>
  <c r="K20" i="12" s="1"/>
  <c r="C24" i="12"/>
  <c r="C87" i="12"/>
  <c r="J86" i="12"/>
  <c r="L82" i="12"/>
  <c r="G21" i="12"/>
  <c r="G85" i="12"/>
  <c r="A22" i="12"/>
  <c r="J21" i="12"/>
  <c r="E21" i="12"/>
  <c r="H84" i="12"/>
  <c r="K83" i="12"/>
  <c r="L83" i="12" s="1"/>
  <c r="I83" i="12"/>
  <c r="E21" i="11"/>
  <c r="K84" i="11"/>
  <c r="I84" i="11"/>
  <c r="E86" i="11"/>
  <c r="K19" i="11"/>
  <c r="G21" i="11"/>
  <c r="J87" i="11"/>
  <c r="C88" i="11"/>
  <c r="C24" i="11"/>
  <c r="J23" i="11"/>
  <c r="G85" i="11"/>
  <c r="H85" i="11" s="1"/>
  <c r="J87" i="10"/>
  <c r="C88" i="10"/>
  <c r="G85" i="10"/>
  <c r="H85" i="10" s="1"/>
  <c r="E87" i="10"/>
  <c r="J22" i="10"/>
  <c r="C23" i="10"/>
  <c r="K84" i="10"/>
  <c r="I84" i="10"/>
  <c r="K19" i="10"/>
  <c r="G21" i="10"/>
  <c r="E21" i="10"/>
  <c r="H21" i="10" s="1"/>
  <c r="I21" i="10" s="1"/>
  <c r="K21" i="10" s="1"/>
  <c r="L21" i="10" s="1"/>
  <c r="J87" i="8"/>
  <c r="C88" i="8"/>
  <c r="C23" i="8"/>
  <c r="J22" i="8"/>
  <c r="K84" i="8"/>
  <c r="L84" i="8" s="1"/>
  <c r="I84" i="8"/>
  <c r="L17" i="8"/>
  <c r="E21" i="8"/>
  <c r="G85" i="8"/>
  <c r="H85" i="8"/>
  <c r="G21" i="8"/>
  <c r="I19" i="8"/>
  <c r="K19" i="8" s="1"/>
  <c r="L19" i="8" s="1"/>
  <c r="E86" i="8"/>
  <c r="G85" i="6"/>
  <c r="G21" i="6"/>
  <c r="K84" i="6"/>
  <c r="L84" i="6" s="1"/>
  <c r="I84" i="6"/>
  <c r="K83" i="6"/>
  <c r="I83" i="6"/>
  <c r="C25" i="6"/>
  <c r="J24" i="6"/>
  <c r="E21" i="6"/>
  <c r="E85" i="6"/>
  <c r="H85" i="6" s="1"/>
  <c r="L17" i="6"/>
  <c r="J87" i="6"/>
  <c r="C88" i="6"/>
  <c r="G22" i="5"/>
  <c r="J24" i="5"/>
  <c r="C25" i="5"/>
  <c r="J87" i="5"/>
  <c r="G86" i="5"/>
  <c r="H86" i="5" s="1"/>
  <c r="E22" i="5"/>
  <c r="I21" i="5"/>
  <c r="K21" i="5" s="1"/>
  <c r="E88" i="5"/>
  <c r="I85" i="5"/>
  <c r="K85" i="5"/>
  <c r="C99" i="3"/>
  <c r="J99" i="3" s="1"/>
  <c r="L93" i="3"/>
  <c r="E96" i="3"/>
  <c r="H96" i="3" s="1"/>
  <c r="I96" i="3" s="1"/>
  <c r="L96" i="3" s="1"/>
  <c r="G97" i="3"/>
  <c r="F98" i="3"/>
  <c r="F34" i="3"/>
  <c r="G33" i="3"/>
  <c r="L32" i="3"/>
  <c r="D33" i="3"/>
  <c r="E33" i="3" s="1"/>
  <c r="C34" i="3"/>
  <c r="H21" i="6" l="1"/>
  <c r="I21" i="6" s="1"/>
  <c r="K21" i="6" s="1"/>
  <c r="L21" i="6" s="1"/>
  <c r="K85" i="13"/>
  <c r="L85" i="13" s="1"/>
  <c r="I85" i="13"/>
  <c r="E87" i="13"/>
  <c r="J25" i="13"/>
  <c r="C26" i="13"/>
  <c r="L84" i="13"/>
  <c r="K20" i="13"/>
  <c r="G22" i="13"/>
  <c r="G86" i="13"/>
  <c r="H86" i="13" s="1"/>
  <c r="E22" i="13"/>
  <c r="H22" i="13" s="1"/>
  <c r="I22" i="13" s="1"/>
  <c r="K22" i="13" s="1"/>
  <c r="L22" i="13" s="1"/>
  <c r="J87" i="13"/>
  <c r="C88" i="13"/>
  <c r="H21" i="12"/>
  <c r="I21" i="12" s="1"/>
  <c r="K21" i="12" s="1"/>
  <c r="L21" i="12" s="1"/>
  <c r="C25" i="12"/>
  <c r="L20" i="12"/>
  <c r="G22" i="12"/>
  <c r="A23" i="12"/>
  <c r="J22" i="12"/>
  <c r="J87" i="12"/>
  <c r="C88" i="12"/>
  <c r="E22" i="12"/>
  <c r="G86" i="12"/>
  <c r="H85" i="12"/>
  <c r="I84" i="12"/>
  <c r="K84" i="12"/>
  <c r="E86" i="12"/>
  <c r="K85" i="11"/>
  <c r="L85" i="11" s="1"/>
  <c r="I85" i="11"/>
  <c r="G86" i="11"/>
  <c r="H86" i="11" s="1"/>
  <c r="L19" i="11"/>
  <c r="L84" i="11"/>
  <c r="G22" i="11"/>
  <c r="C25" i="11"/>
  <c r="J24" i="11"/>
  <c r="H21" i="11"/>
  <c r="I21" i="11" s="1"/>
  <c r="K21" i="11" s="1"/>
  <c r="L21" i="11" s="1"/>
  <c r="E87" i="11"/>
  <c r="C89" i="11"/>
  <c r="J88" i="11"/>
  <c r="E22" i="11"/>
  <c r="H22" i="11" s="1"/>
  <c r="I22" i="11" s="1"/>
  <c r="K22" i="11" s="1"/>
  <c r="L22" i="11" s="1"/>
  <c r="E88" i="10"/>
  <c r="E22" i="10"/>
  <c r="L19" i="10"/>
  <c r="G22" i="10"/>
  <c r="K85" i="10"/>
  <c r="L85" i="10" s="1"/>
  <c r="I85" i="10"/>
  <c r="G86" i="10"/>
  <c r="H86" i="10" s="1"/>
  <c r="L84" i="10"/>
  <c r="C89" i="10"/>
  <c r="J88" i="10"/>
  <c r="C24" i="10"/>
  <c r="J23" i="10"/>
  <c r="E87" i="8"/>
  <c r="H21" i="8"/>
  <c r="I21" i="8" s="1"/>
  <c r="K21" i="8" s="1"/>
  <c r="L21" i="8" s="1"/>
  <c r="C24" i="8"/>
  <c r="J23" i="8"/>
  <c r="E22" i="8"/>
  <c r="J88" i="8"/>
  <c r="C89" i="8"/>
  <c r="I85" i="8"/>
  <c r="K85" i="8"/>
  <c r="L85" i="8" s="1"/>
  <c r="G86" i="8"/>
  <c r="H86" i="8" s="1"/>
  <c r="G22" i="8"/>
  <c r="K85" i="6"/>
  <c r="L85" i="6" s="1"/>
  <c r="I85" i="6"/>
  <c r="C89" i="6"/>
  <c r="J88" i="6"/>
  <c r="E22" i="6"/>
  <c r="G22" i="6"/>
  <c r="L83" i="6"/>
  <c r="E86" i="6"/>
  <c r="J25" i="6"/>
  <c r="C26" i="6"/>
  <c r="G86" i="6"/>
  <c r="I22" i="5"/>
  <c r="K22" i="5" s="1"/>
  <c r="L22" i="5" s="1"/>
  <c r="J88" i="5"/>
  <c r="L21" i="5"/>
  <c r="C26" i="5"/>
  <c r="J25" i="5"/>
  <c r="L85" i="5"/>
  <c r="E23" i="5"/>
  <c r="K86" i="5"/>
  <c r="L86" i="5" s="1"/>
  <c r="I86" i="5"/>
  <c r="E89" i="5"/>
  <c r="G87" i="5"/>
  <c r="H87" i="5" s="1"/>
  <c r="G23" i="5"/>
  <c r="F99" i="3"/>
  <c r="G98" i="3"/>
  <c r="C100" i="3"/>
  <c r="J100" i="3" s="1"/>
  <c r="E97" i="3"/>
  <c r="H97" i="3" s="1"/>
  <c r="I97" i="3" s="1"/>
  <c r="L97" i="3" s="1"/>
  <c r="F35" i="3"/>
  <c r="G34" i="3"/>
  <c r="C35" i="3"/>
  <c r="L33" i="3"/>
  <c r="D34" i="3"/>
  <c r="E34" i="3" s="1"/>
  <c r="H22" i="8" l="1"/>
  <c r="I22" i="8" s="1"/>
  <c r="K22" i="8" s="1"/>
  <c r="L22" i="8" s="1"/>
  <c r="H86" i="6"/>
  <c r="H22" i="6"/>
  <c r="I22" i="6" s="1"/>
  <c r="K22" i="6" s="1"/>
  <c r="L22" i="6" s="1"/>
  <c r="I86" i="13"/>
  <c r="K86" i="13"/>
  <c r="L86" i="13" s="1"/>
  <c r="J26" i="13"/>
  <c r="C27" i="13"/>
  <c r="E23" i="13"/>
  <c r="G23" i="13"/>
  <c r="E88" i="13"/>
  <c r="C89" i="13"/>
  <c r="J88" i="13"/>
  <c r="G87" i="13"/>
  <c r="H87" i="13" s="1"/>
  <c r="L20" i="13"/>
  <c r="G87" i="12"/>
  <c r="G23" i="12"/>
  <c r="H22" i="12"/>
  <c r="I22" i="12" s="1"/>
  <c r="K22" i="12" s="1"/>
  <c r="H86" i="12"/>
  <c r="L84" i="12"/>
  <c r="C89" i="12"/>
  <c r="J88" i="12"/>
  <c r="A24" i="12"/>
  <c r="J23" i="12"/>
  <c r="E23" i="12"/>
  <c r="C26" i="12"/>
  <c r="E87" i="12"/>
  <c r="K85" i="12"/>
  <c r="L85" i="12" s="1"/>
  <c r="I85" i="12"/>
  <c r="E23" i="11"/>
  <c r="E88" i="11"/>
  <c r="C26" i="11"/>
  <c r="J25" i="11"/>
  <c r="G87" i="11"/>
  <c r="H87" i="11" s="1"/>
  <c r="G23" i="11"/>
  <c r="K86" i="11"/>
  <c r="L86" i="11" s="1"/>
  <c r="I86" i="11"/>
  <c r="J89" i="11"/>
  <c r="C90" i="11"/>
  <c r="E23" i="10"/>
  <c r="K86" i="10"/>
  <c r="L86" i="10" s="1"/>
  <c r="I86" i="10"/>
  <c r="H22" i="10"/>
  <c r="I22" i="10" s="1"/>
  <c r="K22" i="10" s="1"/>
  <c r="J89" i="10"/>
  <c r="C90" i="10"/>
  <c r="G23" i="10"/>
  <c r="G87" i="10"/>
  <c r="H87" i="10" s="1"/>
  <c r="J24" i="10"/>
  <c r="C25" i="10"/>
  <c r="E89" i="10"/>
  <c r="K86" i="8"/>
  <c r="L86" i="8" s="1"/>
  <c r="I86" i="8"/>
  <c r="G87" i="8"/>
  <c r="H87" i="8" s="1"/>
  <c r="E23" i="8"/>
  <c r="H23" i="8" s="1"/>
  <c r="I23" i="8" s="1"/>
  <c r="K23" i="8" s="1"/>
  <c r="L23" i="8" s="1"/>
  <c r="C25" i="8"/>
  <c r="J24" i="8"/>
  <c r="G23" i="8"/>
  <c r="J89" i="8"/>
  <c r="C90" i="8"/>
  <c r="E88" i="8"/>
  <c r="J89" i="6"/>
  <c r="C90" i="6"/>
  <c r="E87" i="6"/>
  <c r="K86" i="6"/>
  <c r="L86" i="6" s="1"/>
  <c r="I86" i="6"/>
  <c r="C27" i="6"/>
  <c r="J26" i="6"/>
  <c r="G23" i="6"/>
  <c r="E23" i="6"/>
  <c r="G87" i="6"/>
  <c r="I87" i="5"/>
  <c r="K87" i="5"/>
  <c r="L87" i="5" s="1"/>
  <c r="J26" i="5"/>
  <c r="C27" i="5"/>
  <c r="G24" i="5"/>
  <c r="E24" i="5"/>
  <c r="I23" i="5"/>
  <c r="K23" i="5" s="1"/>
  <c r="J89" i="5"/>
  <c r="E90" i="5"/>
  <c r="G88" i="5"/>
  <c r="H88" i="5" s="1"/>
  <c r="E98" i="3"/>
  <c r="H98" i="3" s="1"/>
  <c r="I98" i="3" s="1"/>
  <c r="C101" i="3"/>
  <c r="J101" i="3" s="1"/>
  <c r="G99" i="3"/>
  <c r="F100" i="3"/>
  <c r="F36" i="3"/>
  <c r="G35" i="3"/>
  <c r="L34" i="3"/>
  <c r="D35" i="3"/>
  <c r="E35" i="3" s="1"/>
  <c r="C36" i="3"/>
  <c r="H23" i="12" l="1"/>
  <c r="I23" i="12" s="1"/>
  <c r="K23" i="12" s="1"/>
  <c r="L23" i="12" s="1"/>
  <c r="H23" i="13"/>
  <c r="I23" i="13" s="1"/>
  <c r="K23" i="13" s="1"/>
  <c r="L23" i="13" s="1"/>
  <c r="H87" i="12"/>
  <c r="H87" i="6"/>
  <c r="H23" i="6"/>
  <c r="I23" i="6" s="1"/>
  <c r="K23" i="6" s="1"/>
  <c r="L23" i="6" s="1"/>
  <c r="K87" i="13"/>
  <c r="L87" i="13" s="1"/>
  <c r="I87" i="13"/>
  <c r="E24" i="13"/>
  <c r="H24" i="13" s="1"/>
  <c r="I24" i="13" s="1"/>
  <c r="K24" i="13" s="1"/>
  <c r="L24" i="13" s="1"/>
  <c r="J89" i="13"/>
  <c r="C90" i="13"/>
  <c r="J27" i="13"/>
  <c r="C28" i="13"/>
  <c r="G24" i="13"/>
  <c r="G88" i="13"/>
  <c r="H88" i="13" s="1"/>
  <c r="E89" i="13"/>
  <c r="L22" i="12"/>
  <c r="I86" i="12"/>
  <c r="K86" i="12"/>
  <c r="L86" i="12" s="1"/>
  <c r="K87" i="12"/>
  <c r="L87" i="12" s="1"/>
  <c r="I87" i="12"/>
  <c r="E88" i="12"/>
  <c r="J89" i="12"/>
  <c r="C90" i="12"/>
  <c r="G24" i="12"/>
  <c r="E24" i="12"/>
  <c r="H24" i="12" s="1"/>
  <c r="I24" i="12" s="1"/>
  <c r="K24" i="12" s="1"/>
  <c r="L24" i="12" s="1"/>
  <c r="C27" i="12"/>
  <c r="A25" i="12"/>
  <c r="J24" i="12"/>
  <c r="G88" i="12"/>
  <c r="C27" i="11"/>
  <c r="J26" i="11"/>
  <c r="G24" i="11"/>
  <c r="C91" i="11"/>
  <c r="J90" i="11"/>
  <c r="E24" i="11"/>
  <c r="G88" i="11"/>
  <c r="H88" i="11" s="1"/>
  <c r="H23" i="11"/>
  <c r="I23" i="11" s="1"/>
  <c r="K23" i="11" s="1"/>
  <c r="L23" i="11" s="1"/>
  <c r="E89" i="11"/>
  <c r="K87" i="11"/>
  <c r="L87" i="11" s="1"/>
  <c r="I87" i="11"/>
  <c r="G88" i="10"/>
  <c r="H88" i="10" s="1"/>
  <c r="G24" i="10"/>
  <c r="E24" i="10"/>
  <c r="H23" i="10"/>
  <c r="I23" i="10" s="1"/>
  <c r="K23" i="10" s="1"/>
  <c r="L23" i="10" s="1"/>
  <c r="C91" i="10"/>
  <c r="J90" i="10"/>
  <c r="K87" i="10"/>
  <c r="L87" i="10" s="1"/>
  <c r="I87" i="10"/>
  <c r="E90" i="10"/>
  <c r="J25" i="10"/>
  <c r="C26" i="10"/>
  <c r="L22" i="10"/>
  <c r="I87" i="8"/>
  <c r="K87" i="8"/>
  <c r="L87" i="8" s="1"/>
  <c r="G24" i="8"/>
  <c r="C91" i="8"/>
  <c r="J90" i="8"/>
  <c r="E24" i="8"/>
  <c r="G88" i="8"/>
  <c r="H88" i="8"/>
  <c r="E89" i="8"/>
  <c r="C26" i="8"/>
  <c r="J25" i="8"/>
  <c r="K87" i="6"/>
  <c r="L87" i="6" s="1"/>
  <c r="I87" i="6"/>
  <c r="G24" i="6"/>
  <c r="E88" i="6"/>
  <c r="G88" i="6"/>
  <c r="C91" i="6"/>
  <c r="J90" i="6"/>
  <c r="E24" i="6"/>
  <c r="J27" i="6"/>
  <c r="C28" i="6"/>
  <c r="J90" i="5"/>
  <c r="E25" i="5"/>
  <c r="G25" i="5"/>
  <c r="L23" i="5"/>
  <c r="C28" i="5"/>
  <c r="J27" i="5"/>
  <c r="G89" i="5"/>
  <c r="H89" i="5" s="1"/>
  <c r="K88" i="5"/>
  <c r="L88" i="5" s="1"/>
  <c r="I88" i="5"/>
  <c r="E91" i="5"/>
  <c r="I24" i="5"/>
  <c r="K24" i="5" s="1"/>
  <c r="L24" i="5" s="1"/>
  <c r="F101" i="3"/>
  <c r="G100" i="3"/>
  <c r="C102" i="3"/>
  <c r="J102" i="3" s="1"/>
  <c r="E99" i="3"/>
  <c r="H99" i="3" s="1"/>
  <c r="I99" i="3" s="1"/>
  <c r="L99" i="3" s="1"/>
  <c r="F37" i="3"/>
  <c r="G36" i="3"/>
  <c r="C37" i="3"/>
  <c r="L35" i="3"/>
  <c r="D36" i="3"/>
  <c r="E36" i="3" s="1"/>
  <c r="H88" i="12" l="1"/>
  <c r="K88" i="12" s="1"/>
  <c r="L88" i="12" s="1"/>
  <c r="H24" i="11"/>
  <c r="I24" i="11" s="1"/>
  <c r="K24" i="11" s="1"/>
  <c r="L24" i="11" s="1"/>
  <c r="H24" i="8"/>
  <c r="I24" i="8" s="1"/>
  <c r="K24" i="8" s="1"/>
  <c r="L24" i="8" s="1"/>
  <c r="H88" i="6"/>
  <c r="H24" i="6"/>
  <c r="I24" i="6" s="1"/>
  <c r="K24" i="6" s="1"/>
  <c r="L24" i="6" s="1"/>
  <c r="E90" i="13"/>
  <c r="K88" i="13"/>
  <c r="L88" i="13" s="1"/>
  <c r="I88" i="13"/>
  <c r="G89" i="13"/>
  <c r="H89" i="13" s="1"/>
  <c r="E25" i="13"/>
  <c r="H25" i="13" s="1"/>
  <c r="I25" i="13" s="1"/>
  <c r="K25" i="13" s="1"/>
  <c r="L25" i="13" s="1"/>
  <c r="C29" i="13"/>
  <c r="J28" i="13"/>
  <c r="C91" i="13"/>
  <c r="J90" i="13"/>
  <c r="G25" i="13"/>
  <c r="G89" i="12"/>
  <c r="C28" i="12"/>
  <c r="E25" i="12"/>
  <c r="G25" i="12"/>
  <c r="C91" i="12"/>
  <c r="J90" i="12"/>
  <c r="I88" i="12"/>
  <c r="E89" i="12"/>
  <c r="A26" i="12"/>
  <c r="J25" i="12"/>
  <c r="K88" i="11"/>
  <c r="L88" i="11" s="1"/>
  <c r="I88" i="11"/>
  <c r="E25" i="11"/>
  <c r="E90" i="11"/>
  <c r="J91" i="11"/>
  <c r="C92" i="11"/>
  <c r="G89" i="11"/>
  <c r="H89" i="11" s="1"/>
  <c r="G25" i="11"/>
  <c r="C28" i="11"/>
  <c r="J27" i="11"/>
  <c r="H24" i="10"/>
  <c r="I24" i="10" s="1"/>
  <c r="K24" i="10" s="1"/>
  <c r="L24" i="10" s="1"/>
  <c r="G25" i="10"/>
  <c r="E25" i="10"/>
  <c r="G89" i="10"/>
  <c r="H89" i="10" s="1"/>
  <c r="J26" i="10"/>
  <c r="C27" i="10"/>
  <c r="E91" i="10"/>
  <c r="J91" i="10"/>
  <c r="C92" i="10"/>
  <c r="K88" i="10"/>
  <c r="L88" i="10" s="1"/>
  <c r="I88" i="10"/>
  <c r="E25" i="8"/>
  <c r="J91" i="8"/>
  <c r="C92" i="8"/>
  <c r="E90" i="8"/>
  <c r="G89" i="8"/>
  <c r="H89" i="8" s="1"/>
  <c r="C27" i="8"/>
  <c r="J26" i="8"/>
  <c r="G25" i="8"/>
  <c r="K88" i="8"/>
  <c r="L88" i="8" s="1"/>
  <c r="I88" i="8"/>
  <c r="C29" i="6"/>
  <c r="J28" i="6"/>
  <c r="E25" i="6"/>
  <c r="K88" i="6"/>
  <c r="L88" i="6" s="1"/>
  <c r="I88" i="6"/>
  <c r="E89" i="6"/>
  <c r="H89" i="6" s="1"/>
  <c r="G25" i="6"/>
  <c r="G89" i="6"/>
  <c r="J91" i="6"/>
  <c r="C92" i="6"/>
  <c r="G90" i="5"/>
  <c r="H90" i="5" s="1"/>
  <c r="E26" i="5"/>
  <c r="I25" i="5"/>
  <c r="K25" i="5" s="1"/>
  <c r="J91" i="5"/>
  <c r="G26" i="5"/>
  <c r="I89" i="5"/>
  <c r="K89" i="5"/>
  <c r="L89" i="5" s="1"/>
  <c r="E92" i="5"/>
  <c r="J28" i="5"/>
  <c r="C29" i="5"/>
  <c r="E100" i="3"/>
  <c r="H100" i="3" s="1"/>
  <c r="I100" i="3" s="1"/>
  <c r="L100" i="3" s="1"/>
  <c r="C103" i="3"/>
  <c r="J103" i="3" s="1"/>
  <c r="G101" i="3"/>
  <c r="F102" i="3"/>
  <c r="F38" i="3"/>
  <c r="G37" i="3"/>
  <c r="L36" i="3"/>
  <c r="D37" i="3"/>
  <c r="E37" i="3" s="1"/>
  <c r="C38" i="3"/>
  <c r="H89" i="12" l="1"/>
  <c r="H25" i="10"/>
  <c r="I25" i="10" s="1"/>
  <c r="K25" i="10" s="1"/>
  <c r="L25" i="10" s="1"/>
  <c r="H25" i="6"/>
  <c r="I25" i="6" s="1"/>
  <c r="K25" i="6" s="1"/>
  <c r="L25" i="6" s="1"/>
  <c r="K89" i="13"/>
  <c r="L89" i="13" s="1"/>
  <c r="I89" i="13"/>
  <c r="G90" i="13"/>
  <c r="H90" i="13" s="1"/>
  <c r="J91" i="13"/>
  <c r="C92" i="13"/>
  <c r="J29" i="13"/>
  <c r="C30" i="13"/>
  <c r="E91" i="13"/>
  <c r="G26" i="13"/>
  <c r="E26" i="13"/>
  <c r="H26" i="13" s="1"/>
  <c r="I26" i="13" s="1"/>
  <c r="K26" i="13" s="1"/>
  <c r="L26" i="13" s="1"/>
  <c r="G26" i="12"/>
  <c r="H25" i="12"/>
  <c r="I25" i="12" s="1"/>
  <c r="K25" i="12" s="1"/>
  <c r="L25" i="12" s="1"/>
  <c r="A27" i="12"/>
  <c r="J26" i="12"/>
  <c r="E90" i="12"/>
  <c r="C29" i="12"/>
  <c r="K89" i="12"/>
  <c r="L89" i="12" s="1"/>
  <c r="I89" i="12"/>
  <c r="E26" i="12"/>
  <c r="H26" i="12" s="1"/>
  <c r="I26" i="12" s="1"/>
  <c r="K26" i="12" s="1"/>
  <c r="J91" i="12"/>
  <c r="C92" i="12"/>
  <c r="G90" i="12"/>
  <c r="K89" i="11"/>
  <c r="L89" i="11" s="1"/>
  <c r="I89" i="11"/>
  <c r="E91" i="11"/>
  <c r="G90" i="11"/>
  <c r="H90" i="11" s="1"/>
  <c r="E26" i="11"/>
  <c r="H26" i="11" s="1"/>
  <c r="I26" i="11" s="1"/>
  <c r="K26" i="11" s="1"/>
  <c r="L26" i="11" s="1"/>
  <c r="C93" i="11"/>
  <c r="J92" i="11"/>
  <c r="H25" i="11"/>
  <c r="I25" i="11" s="1"/>
  <c r="K25" i="11" s="1"/>
  <c r="L25" i="11" s="1"/>
  <c r="C29" i="11"/>
  <c r="J28" i="11"/>
  <c r="G26" i="11"/>
  <c r="E26" i="10"/>
  <c r="J27" i="10"/>
  <c r="C28" i="10"/>
  <c r="G26" i="10"/>
  <c r="G90" i="10"/>
  <c r="H90" i="10" s="1"/>
  <c r="E92" i="10"/>
  <c r="C93" i="10"/>
  <c r="J92" i="10"/>
  <c r="K89" i="10"/>
  <c r="L89" i="10" s="1"/>
  <c r="I89" i="10"/>
  <c r="I89" i="8"/>
  <c r="K89" i="8"/>
  <c r="L89" i="8" s="1"/>
  <c r="G90" i="8"/>
  <c r="H90" i="8" s="1"/>
  <c r="G26" i="8"/>
  <c r="E91" i="8"/>
  <c r="J92" i="8"/>
  <c r="C93" i="8"/>
  <c r="H25" i="8"/>
  <c r="I25" i="8" s="1"/>
  <c r="K25" i="8" s="1"/>
  <c r="L25" i="8" s="1"/>
  <c r="C28" i="8"/>
  <c r="J27" i="8"/>
  <c r="E26" i="8"/>
  <c r="H26" i="8" s="1"/>
  <c r="I26" i="8" s="1"/>
  <c r="K26" i="8" s="1"/>
  <c r="L26" i="8" s="1"/>
  <c r="C93" i="6"/>
  <c r="J92" i="6"/>
  <c r="E90" i="6"/>
  <c r="H90" i="6" s="1"/>
  <c r="E26" i="6"/>
  <c r="K89" i="6"/>
  <c r="L89" i="6" s="1"/>
  <c r="I89" i="6"/>
  <c r="G90" i="6"/>
  <c r="G26" i="6"/>
  <c r="J29" i="6"/>
  <c r="C30" i="6"/>
  <c r="I26" i="5"/>
  <c r="K26" i="5" s="1"/>
  <c r="L26" i="5" s="1"/>
  <c r="G91" i="5"/>
  <c r="H91" i="5" s="1"/>
  <c r="L25" i="5"/>
  <c r="E27" i="5"/>
  <c r="K90" i="5"/>
  <c r="L90" i="5" s="1"/>
  <c r="I90" i="5"/>
  <c r="G27" i="5"/>
  <c r="E93" i="5"/>
  <c r="C30" i="5"/>
  <c r="J29" i="5"/>
  <c r="J92" i="5"/>
  <c r="C104" i="3"/>
  <c r="J104" i="3" s="1"/>
  <c r="F103" i="3"/>
  <c r="G102" i="3"/>
  <c r="E101" i="3"/>
  <c r="H101" i="3" s="1"/>
  <c r="I101" i="3" s="1"/>
  <c r="L101" i="3" s="1"/>
  <c r="F39" i="3"/>
  <c r="G38" i="3"/>
  <c r="C39" i="3"/>
  <c r="L37" i="3"/>
  <c r="D38" i="3"/>
  <c r="E38" i="3" s="1"/>
  <c r="L26" i="12" l="1"/>
  <c r="H26" i="6"/>
  <c r="I26" i="6" s="1"/>
  <c r="K26" i="6" s="1"/>
  <c r="L26" i="6" s="1"/>
  <c r="E27" i="13"/>
  <c r="C93" i="13"/>
  <c r="J92" i="13"/>
  <c r="G91" i="13"/>
  <c r="H91" i="13" s="1"/>
  <c r="G27" i="13"/>
  <c r="E92" i="13"/>
  <c r="K90" i="13"/>
  <c r="L90" i="13" s="1"/>
  <c r="I90" i="13"/>
  <c r="C31" i="13"/>
  <c r="J30" i="13"/>
  <c r="C30" i="12"/>
  <c r="H90" i="12"/>
  <c r="A28" i="12"/>
  <c r="J27" i="12"/>
  <c r="E91" i="12"/>
  <c r="G27" i="12"/>
  <c r="C93" i="12"/>
  <c r="J92" i="12"/>
  <c r="E27" i="12"/>
  <c r="G91" i="12"/>
  <c r="K90" i="11"/>
  <c r="L90" i="11" s="1"/>
  <c r="I90" i="11"/>
  <c r="C30" i="11"/>
  <c r="J29" i="11"/>
  <c r="E92" i="11"/>
  <c r="G27" i="11"/>
  <c r="G91" i="11"/>
  <c r="H91" i="11" s="1"/>
  <c r="J93" i="11"/>
  <c r="C94" i="11"/>
  <c r="E27" i="11"/>
  <c r="J28" i="10"/>
  <c r="C29" i="10"/>
  <c r="J93" i="10"/>
  <c r="C94" i="10"/>
  <c r="G27" i="10"/>
  <c r="H26" i="10"/>
  <c r="I26" i="10" s="1"/>
  <c r="K26" i="10" s="1"/>
  <c r="L26" i="10" s="1"/>
  <c r="E27" i="10"/>
  <c r="G91" i="10"/>
  <c r="H91" i="10" s="1"/>
  <c r="E93" i="10"/>
  <c r="K90" i="10"/>
  <c r="L90" i="10" s="1"/>
  <c r="I90" i="10"/>
  <c r="K90" i="8"/>
  <c r="L90" i="8" s="1"/>
  <c r="I90" i="8"/>
  <c r="E27" i="8"/>
  <c r="H27" i="8" s="1"/>
  <c r="E92" i="8"/>
  <c r="G27" i="8"/>
  <c r="C29" i="8"/>
  <c r="J28" i="8"/>
  <c r="G91" i="8"/>
  <c r="H91" i="8" s="1"/>
  <c r="J93" i="8"/>
  <c r="C94" i="8"/>
  <c r="G27" i="6"/>
  <c r="E91" i="6"/>
  <c r="C31" i="6"/>
  <c r="J30" i="6"/>
  <c r="E27" i="6"/>
  <c r="K90" i="6"/>
  <c r="L90" i="6" s="1"/>
  <c r="I90" i="6"/>
  <c r="G91" i="6"/>
  <c r="J93" i="6"/>
  <c r="C94" i="6"/>
  <c r="I27" i="5"/>
  <c r="K27" i="5" s="1"/>
  <c r="L27" i="5" s="1"/>
  <c r="E94" i="5"/>
  <c r="G28" i="5"/>
  <c r="G92" i="5"/>
  <c r="H92" i="5" s="1"/>
  <c r="E28" i="5"/>
  <c r="I91" i="5"/>
  <c r="K91" i="5"/>
  <c r="L91" i="5" s="1"/>
  <c r="J30" i="5"/>
  <c r="C31" i="5"/>
  <c r="J93" i="5"/>
  <c r="E102" i="3"/>
  <c r="H102" i="3" s="1"/>
  <c r="G103" i="3"/>
  <c r="F104" i="3"/>
  <c r="C105" i="3"/>
  <c r="J105" i="3" s="1"/>
  <c r="F40" i="3"/>
  <c r="G39" i="3"/>
  <c r="L38" i="3"/>
  <c r="L56" i="3" s="1"/>
  <c r="D39" i="3"/>
  <c r="E39" i="3" s="1"/>
  <c r="C40" i="3"/>
  <c r="H27" i="13" l="1"/>
  <c r="H27" i="12"/>
  <c r="H91" i="6"/>
  <c r="H27" i="6"/>
  <c r="J31" i="13"/>
  <c r="C32" i="13"/>
  <c r="K91" i="13"/>
  <c r="L91" i="13" s="1"/>
  <c r="I91" i="13"/>
  <c r="G92" i="13"/>
  <c r="H92" i="13" s="1"/>
  <c r="G28" i="13"/>
  <c r="J93" i="13"/>
  <c r="C94" i="13"/>
  <c r="E93" i="13"/>
  <c r="K27" i="13"/>
  <c r="L27" i="13" s="1"/>
  <c r="I27" i="13"/>
  <c r="E28" i="13"/>
  <c r="G28" i="12"/>
  <c r="G92" i="12"/>
  <c r="E28" i="12"/>
  <c r="H28" i="12" s="1"/>
  <c r="A29" i="12"/>
  <c r="J28" i="12"/>
  <c r="K90" i="12"/>
  <c r="L90" i="12" s="1"/>
  <c r="I90" i="12"/>
  <c r="H91" i="12"/>
  <c r="E92" i="12"/>
  <c r="J93" i="12"/>
  <c r="C94" i="12"/>
  <c r="C31" i="12"/>
  <c r="K27" i="12"/>
  <c r="L27" i="12" s="1"/>
  <c r="I27" i="12"/>
  <c r="C95" i="11"/>
  <c r="J94" i="11"/>
  <c r="K91" i="11"/>
  <c r="L91" i="11" s="1"/>
  <c r="I91" i="11"/>
  <c r="E28" i="11"/>
  <c r="E93" i="11"/>
  <c r="C31" i="11"/>
  <c r="J30" i="11"/>
  <c r="H27" i="11"/>
  <c r="G92" i="11"/>
  <c r="H92" i="11"/>
  <c r="G28" i="11"/>
  <c r="G28" i="10"/>
  <c r="E94" i="10"/>
  <c r="G92" i="10"/>
  <c r="H92" i="10" s="1"/>
  <c r="C95" i="10"/>
  <c r="J94" i="10"/>
  <c r="H27" i="10"/>
  <c r="J29" i="10"/>
  <c r="C30" i="10"/>
  <c r="K91" i="10"/>
  <c r="L91" i="10" s="1"/>
  <c r="I91" i="10"/>
  <c r="E28" i="10"/>
  <c r="I91" i="8"/>
  <c r="K91" i="8"/>
  <c r="L91" i="8" s="1"/>
  <c r="C95" i="8"/>
  <c r="J94" i="8"/>
  <c r="G28" i="8"/>
  <c r="E93" i="8"/>
  <c r="E28" i="8"/>
  <c r="K27" i="8"/>
  <c r="L27" i="8" s="1"/>
  <c r="I27" i="8"/>
  <c r="G92" i="8"/>
  <c r="H92" i="8" s="1"/>
  <c r="C30" i="8"/>
  <c r="J29" i="8"/>
  <c r="K27" i="6"/>
  <c r="L27" i="6" s="1"/>
  <c r="I27" i="6"/>
  <c r="K91" i="6"/>
  <c r="L91" i="6" s="1"/>
  <c r="I91" i="6"/>
  <c r="G92" i="6"/>
  <c r="E92" i="6"/>
  <c r="E28" i="6"/>
  <c r="C95" i="6"/>
  <c r="J94" i="6"/>
  <c r="J31" i="6"/>
  <c r="C32" i="6"/>
  <c r="G28" i="6"/>
  <c r="K92" i="5"/>
  <c r="L92" i="5" s="1"/>
  <c r="I92" i="5"/>
  <c r="C32" i="5"/>
  <c r="J31" i="5"/>
  <c r="E95" i="5"/>
  <c r="J94" i="5"/>
  <c r="G93" i="5"/>
  <c r="H93" i="5" s="1"/>
  <c r="G29" i="5"/>
  <c r="E29" i="5"/>
  <c r="C106" i="3"/>
  <c r="J106" i="3" s="1"/>
  <c r="F105" i="3"/>
  <c r="G104" i="3"/>
  <c r="L102" i="3"/>
  <c r="I102" i="3"/>
  <c r="E103" i="3"/>
  <c r="H103" i="3" s="1"/>
  <c r="F41" i="3"/>
  <c r="G40" i="3"/>
  <c r="C41" i="3"/>
  <c r="L39" i="3"/>
  <c r="D40" i="3"/>
  <c r="E40" i="3" s="1"/>
  <c r="H28" i="13" l="1"/>
  <c r="H92" i="12"/>
  <c r="H28" i="10"/>
  <c r="H92" i="6"/>
  <c r="K92" i="13"/>
  <c r="L92" i="13" s="1"/>
  <c r="I92" i="13"/>
  <c r="G93" i="13"/>
  <c r="H93" i="13" s="1"/>
  <c r="G29" i="13"/>
  <c r="C95" i="13"/>
  <c r="J94" i="13"/>
  <c r="E94" i="13"/>
  <c r="C33" i="13"/>
  <c r="J32" i="13"/>
  <c r="K28" i="13"/>
  <c r="L28" i="13" s="1"/>
  <c r="I28" i="13"/>
  <c r="E29" i="13"/>
  <c r="A30" i="12"/>
  <c r="J29" i="12"/>
  <c r="C32" i="12"/>
  <c r="E29" i="12"/>
  <c r="H29" i="12" s="1"/>
  <c r="E93" i="12"/>
  <c r="G93" i="12"/>
  <c r="K28" i="12"/>
  <c r="L28" i="12" s="1"/>
  <c r="I28" i="12"/>
  <c r="K91" i="12"/>
  <c r="L91" i="12" s="1"/>
  <c r="I91" i="12"/>
  <c r="C95" i="12"/>
  <c r="J94" i="12"/>
  <c r="K92" i="12"/>
  <c r="L92" i="12" s="1"/>
  <c r="I92" i="12"/>
  <c r="G29" i="12"/>
  <c r="E94" i="11"/>
  <c r="G29" i="11"/>
  <c r="E29" i="11"/>
  <c r="H29" i="11" s="1"/>
  <c r="G93" i="11"/>
  <c r="H93" i="11" s="1"/>
  <c r="K27" i="11"/>
  <c r="L27" i="11" s="1"/>
  <c r="I27" i="11"/>
  <c r="K92" i="11"/>
  <c r="L92" i="11" s="1"/>
  <c r="I92" i="11"/>
  <c r="H28" i="11"/>
  <c r="C32" i="11"/>
  <c r="J31" i="11"/>
  <c r="J95" i="11"/>
  <c r="C96" i="11"/>
  <c r="E29" i="10"/>
  <c r="K92" i="10"/>
  <c r="L92" i="10" s="1"/>
  <c r="I92" i="10"/>
  <c r="J95" i="10"/>
  <c r="C96" i="10"/>
  <c r="E95" i="10"/>
  <c r="J30" i="10"/>
  <c r="C31" i="10"/>
  <c r="K28" i="10"/>
  <c r="L28" i="10" s="1"/>
  <c r="I28" i="10"/>
  <c r="G93" i="10"/>
  <c r="H93" i="10" s="1"/>
  <c r="I27" i="10"/>
  <c r="K27" i="10"/>
  <c r="L27" i="10" s="1"/>
  <c r="G29" i="10"/>
  <c r="K92" i="8"/>
  <c r="L92" i="8" s="1"/>
  <c r="I92" i="8"/>
  <c r="G29" i="8"/>
  <c r="E94" i="8"/>
  <c r="G93" i="8"/>
  <c r="H93" i="8" s="1"/>
  <c r="C31" i="8"/>
  <c r="J30" i="8"/>
  <c r="E29" i="8"/>
  <c r="J95" i="8"/>
  <c r="C96" i="8"/>
  <c r="H28" i="8"/>
  <c r="K92" i="6"/>
  <c r="L92" i="6" s="1"/>
  <c r="I92" i="6"/>
  <c r="C33" i="6"/>
  <c r="J32" i="6"/>
  <c r="E93" i="6"/>
  <c r="H93" i="6" s="1"/>
  <c r="J95" i="6"/>
  <c r="C96" i="6"/>
  <c r="E29" i="6"/>
  <c r="G29" i="6"/>
  <c r="G93" i="6"/>
  <c r="H28" i="6"/>
  <c r="E96" i="5"/>
  <c r="G30" i="5"/>
  <c r="J32" i="5"/>
  <c r="C33" i="5"/>
  <c r="E30" i="5"/>
  <c r="I29" i="5"/>
  <c r="K29" i="5"/>
  <c r="L29" i="5" s="1"/>
  <c r="I28" i="5"/>
  <c r="K28" i="5"/>
  <c r="L28" i="5" s="1"/>
  <c r="G94" i="5"/>
  <c r="H94" i="5" s="1"/>
  <c r="I93" i="5"/>
  <c r="K93" i="5"/>
  <c r="L93" i="5" s="1"/>
  <c r="J95" i="5"/>
  <c r="L103" i="3"/>
  <c r="I103" i="3"/>
  <c r="E104" i="3"/>
  <c r="H104" i="3" s="1"/>
  <c r="G105" i="3"/>
  <c r="F106" i="3"/>
  <c r="C107" i="3"/>
  <c r="J107" i="3" s="1"/>
  <c r="F42" i="3"/>
  <c r="G41" i="3"/>
  <c r="L40" i="3"/>
  <c r="D41" i="3"/>
  <c r="E41" i="3" s="1"/>
  <c r="C42" i="3"/>
  <c r="H93" i="12" l="1"/>
  <c r="H29" i="8"/>
  <c r="E30" i="13"/>
  <c r="K93" i="13"/>
  <c r="L93" i="13" s="1"/>
  <c r="I93" i="13"/>
  <c r="J33" i="13"/>
  <c r="C34" i="13"/>
  <c r="G94" i="13"/>
  <c r="H94" i="13" s="1"/>
  <c r="J95" i="13"/>
  <c r="C96" i="13"/>
  <c r="G30" i="13"/>
  <c r="E95" i="13"/>
  <c r="H29" i="13"/>
  <c r="E30" i="12"/>
  <c r="K93" i="12"/>
  <c r="L93" i="12" s="1"/>
  <c r="I93" i="12"/>
  <c r="C33" i="12"/>
  <c r="J95" i="12"/>
  <c r="C96" i="12"/>
  <c r="G30" i="12"/>
  <c r="E94" i="12"/>
  <c r="K29" i="12"/>
  <c r="L29" i="12" s="1"/>
  <c r="I29" i="12"/>
  <c r="G94" i="12"/>
  <c r="A31" i="12"/>
  <c r="J30" i="12"/>
  <c r="K29" i="11"/>
  <c r="L29" i="11" s="1"/>
  <c r="I29" i="11"/>
  <c r="G94" i="11"/>
  <c r="H94" i="11" s="1"/>
  <c r="C33" i="11"/>
  <c r="J32" i="11"/>
  <c r="G30" i="11"/>
  <c r="E30" i="11"/>
  <c r="K28" i="11"/>
  <c r="L28" i="11" s="1"/>
  <c r="I28" i="11"/>
  <c r="K93" i="11"/>
  <c r="L93" i="11" s="1"/>
  <c r="I93" i="11"/>
  <c r="C97" i="11"/>
  <c r="J96" i="11"/>
  <c r="E95" i="11"/>
  <c r="E96" i="10"/>
  <c r="K93" i="10"/>
  <c r="L93" i="10" s="1"/>
  <c r="I93" i="10"/>
  <c r="C97" i="10"/>
  <c r="J96" i="10"/>
  <c r="G94" i="10"/>
  <c r="H94" i="10" s="1"/>
  <c r="G30" i="10"/>
  <c r="J31" i="10"/>
  <c r="C32" i="10"/>
  <c r="H29" i="10"/>
  <c r="E30" i="10"/>
  <c r="I93" i="8"/>
  <c r="K93" i="8"/>
  <c r="L93" i="8" s="1"/>
  <c r="E95" i="8"/>
  <c r="G94" i="8"/>
  <c r="H94" i="8" s="1"/>
  <c r="K29" i="8"/>
  <c r="L29" i="8" s="1"/>
  <c r="I29" i="8"/>
  <c r="K28" i="8"/>
  <c r="L28" i="8" s="1"/>
  <c r="I28" i="8"/>
  <c r="J96" i="8"/>
  <c r="C97" i="8"/>
  <c r="G30" i="8"/>
  <c r="E30" i="8"/>
  <c r="C32" i="8"/>
  <c r="J31" i="8"/>
  <c r="C97" i="6"/>
  <c r="J96" i="6"/>
  <c r="K93" i="6"/>
  <c r="L93" i="6" s="1"/>
  <c r="I93" i="6"/>
  <c r="E94" i="6"/>
  <c r="G30" i="6"/>
  <c r="J33" i="6"/>
  <c r="C34" i="6"/>
  <c r="I28" i="6"/>
  <c r="K28" i="6"/>
  <c r="L28" i="6" s="1"/>
  <c r="H29" i="6"/>
  <c r="G94" i="6"/>
  <c r="E30" i="6"/>
  <c r="C34" i="5"/>
  <c r="J33" i="5"/>
  <c r="G31" i="5"/>
  <c r="K94" i="5"/>
  <c r="L94" i="5" s="1"/>
  <c r="I94" i="5"/>
  <c r="G95" i="5"/>
  <c r="H95" i="5" s="1"/>
  <c r="J96" i="5"/>
  <c r="E97" i="5"/>
  <c r="E31" i="5"/>
  <c r="F107" i="3"/>
  <c r="G106" i="3"/>
  <c r="C108" i="3"/>
  <c r="J108" i="3" s="1"/>
  <c r="E105" i="3"/>
  <c r="H105" i="3" s="1"/>
  <c r="L104" i="3"/>
  <c r="I104" i="3"/>
  <c r="F43" i="3"/>
  <c r="G42" i="3"/>
  <c r="C43" i="3"/>
  <c r="L41" i="3"/>
  <c r="D42" i="3"/>
  <c r="E42" i="3" s="1"/>
  <c r="H30" i="10" l="1"/>
  <c r="H30" i="8"/>
  <c r="H94" i="6"/>
  <c r="H30" i="6"/>
  <c r="K94" i="13"/>
  <c r="L94" i="13" s="1"/>
  <c r="I94" i="13"/>
  <c r="C35" i="13"/>
  <c r="J34" i="13"/>
  <c r="G31" i="13"/>
  <c r="E96" i="13"/>
  <c r="C97" i="13"/>
  <c r="J96" i="13"/>
  <c r="E31" i="13"/>
  <c r="K29" i="13"/>
  <c r="L29" i="13" s="1"/>
  <c r="I29" i="13"/>
  <c r="G95" i="13"/>
  <c r="H95" i="13" s="1"/>
  <c r="H30" i="13"/>
  <c r="C97" i="12"/>
  <c r="J96" i="12"/>
  <c r="C34" i="12"/>
  <c r="G95" i="12"/>
  <c r="H94" i="12"/>
  <c r="E95" i="12"/>
  <c r="G31" i="12"/>
  <c r="E31" i="12"/>
  <c r="A32" i="12"/>
  <c r="J31" i="12"/>
  <c r="H30" i="12"/>
  <c r="J97" i="11"/>
  <c r="C98" i="11"/>
  <c r="G95" i="11"/>
  <c r="H95" i="11" s="1"/>
  <c r="K94" i="11"/>
  <c r="L94" i="11" s="1"/>
  <c r="I94" i="11"/>
  <c r="E96" i="11"/>
  <c r="E31" i="11"/>
  <c r="G31" i="11"/>
  <c r="J33" i="11"/>
  <c r="C34" i="11"/>
  <c r="H30" i="11"/>
  <c r="I29" i="10"/>
  <c r="K29" i="10"/>
  <c r="L29" i="10" s="1"/>
  <c r="J97" i="10"/>
  <c r="C98" i="10"/>
  <c r="K94" i="10"/>
  <c r="L94" i="10" s="1"/>
  <c r="I94" i="10"/>
  <c r="J32" i="10"/>
  <c r="C33" i="10"/>
  <c r="E31" i="10"/>
  <c r="K30" i="10"/>
  <c r="L30" i="10" s="1"/>
  <c r="I30" i="10"/>
  <c r="G31" i="10"/>
  <c r="E97" i="10"/>
  <c r="G95" i="10"/>
  <c r="H95" i="10" s="1"/>
  <c r="K94" i="8"/>
  <c r="L94" i="8" s="1"/>
  <c r="I94" i="8"/>
  <c r="K30" i="8"/>
  <c r="L30" i="8" s="1"/>
  <c r="I30" i="8"/>
  <c r="G31" i="8"/>
  <c r="G95" i="8"/>
  <c r="H95" i="8" s="1"/>
  <c r="J97" i="8"/>
  <c r="C98" i="8"/>
  <c r="E96" i="8"/>
  <c r="C33" i="8"/>
  <c r="J32" i="8"/>
  <c r="E31" i="8"/>
  <c r="K30" i="6"/>
  <c r="L30" i="6" s="1"/>
  <c r="I30" i="6"/>
  <c r="G31" i="6"/>
  <c r="K94" i="6"/>
  <c r="L94" i="6" s="1"/>
  <c r="I94" i="6"/>
  <c r="K29" i="6"/>
  <c r="L29" i="6" s="1"/>
  <c r="I29" i="6"/>
  <c r="G95" i="6"/>
  <c r="C35" i="6"/>
  <c r="J34" i="6"/>
  <c r="E95" i="6"/>
  <c r="E31" i="6"/>
  <c r="J97" i="6"/>
  <c r="C98" i="6"/>
  <c r="G96" i="5"/>
  <c r="H96" i="5" s="1"/>
  <c r="I95" i="5"/>
  <c r="K95" i="5"/>
  <c r="L95" i="5" s="1"/>
  <c r="E32" i="5"/>
  <c r="E98" i="5"/>
  <c r="G32" i="5"/>
  <c r="I30" i="5"/>
  <c r="K30" i="5"/>
  <c r="L30" i="5" s="1"/>
  <c r="I31" i="5"/>
  <c r="K31" i="5"/>
  <c r="L31" i="5" s="1"/>
  <c r="J97" i="5"/>
  <c r="J34" i="5"/>
  <c r="C35" i="5"/>
  <c r="L105" i="3"/>
  <c r="I105" i="3"/>
  <c r="E106" i="3"/>
  <c r="H106" i="3" s="1"/>
  <c r="C109" i="3"/>
  <c r="J109" i="3" s="1"/>
  <c r="G107" i="3"/>
  <c r="F108" i="3"/>
  <c r="F44" i="3"/>
  <c r="G43" i="3"/>
  <c r="L42" i="3"/>
  <c r="D43" i="3"/>
  <c r="E43" i="3" s="1"/>
  <c r="C44" i="3"/>
  <c r="H31" i="12" l="1"/>
  <c r="H95" i="6"/>
  <c r="H31" i="6"/>
  <c r="H31" i="13"/>
  <c r="G32" i="13"/>
  <c r="E97" i="13"/>
  <c r="E32" i="13"/>
  <c r="G96" i="13"/>
  <c r="H96" i="13" s="1"/>
  <c r="J35" i="13"/>
  <c r="C36" i="13"/>
  <c r="K95" i="13"/>
  <c r="L95" i="13" s="1"/>
  <c r="I95" i="13"/>
  <c r="K30" i="13"/>
  <c r="L30" i="13" s="1"/>
  <c r="I30" i="13"/>
  <c r="J97" i="13"/>
  <c r="C98" i="13"/>
  <c r="K30" i="12"/>
  <c r="L30" i="12" s="1"/>
  <c r="I30" i="12"/>
  <c r="E96" i="12"/>
  <c r="H96" i="12" s="1"/>
  <c r="E32" i="12"/>
  <c r="C35" i="12"/>
  <c r="A33" i="12"/>
  <c r="J32" i="12"/>
  <c r="G96" i="12"/>
  <c r="G32" i="12"/>
  <c r="K94" i="12"/>
  <c r="L94" i="12" s="1"/>
  <c r="I94" i="12"/>
  <c r="K31" i="12"/>
  <c r="L31" i="12" s="1"/>
  <c r="I31" i="12"/>
  <c r="H95" i="12"/>
  <c r="J97" i="12"/>
  <c r="C98" i="12"/>
  <c r="E97" i="11"/>
  <c r="K30" i="11"/>
  <c r="L30" i="11" s="1"/>
  <c r="I30" i="11"/>
  <c r="G32" i="11"/>
  <c r="C35" i="11"/>
  <c r="J34" i="11"/>
  <c r="K95" i="11"/>
  <c r="L95" i="11" s="1"/>
  <c r="I95" i="11"/>
  <c r="H31" i="11"/>
  <c r="G96" i="11"/>
  <c r="H96" i="11" s="1"/>
  <c r="E32" i="11"/>
  <c r="H32" i="11" s="1"/>
  <c r="C99" i="11"/>
  <c r="J98" i="11"/>
  <c r="J33" i="10"/>
  <c r="C34" i="10"/>
  <c r="G32" i="10"/>
  <c r="C99" i="10"/>
  <c r="J98" i="10"/>
  <c r="K95" i="10"/>
  <c r="L95" i="10" s="1"/>
  <c r="I95" i="10"/>
  <c r="G96" i="10"/>
  <c r="H96" i="10" s="1"/>
  <c r="H31" i="10"/>
  <c r="E98" i="10"/>
  <c r="E32" i="10"/>
  <c r="H32" i="10" s="1"/>
  <c r="I95" i="8"/>
  <c r="K95" i="8"/>
  <c r="L95" i="8" s="1"/>
  <c r="C34" i="8"/>
  <c r="J33" i="8"/>
  <c r="G32" i="8"/>
  <c r="E97" i="8"/>
  <c r="E32" i="8"/>
  <c r="H32" i="8" s="1"/>
  <c r="G96" i="8"/>
  <c r="H96" i="8" s="1"/>
  <c r="C99" i="8"/>
  <c r="J98" i="8"/>
  <c r="H31" i="8"/>
  <c r="E32" i="6"/>
  <c r="J35" i="6"/>
  <c r="C36" i="6"/>
  <c r="G32" i="6"/>
  <c r="K95" i="6"/>
  <c r="L95" i="6" s="1"/>
  <c r="I95" i="6"/>
  <c r="E96" i="6"/>
  <c r="C99" i="6"/>
  <c r="J98" i="6"/>
  <c r="K31" i="6"/>
  <c r="L31" i="6" s="1"/>
  <c r="I31" i="6"/>
  <c r="G96" i="6"/>
  <c r="E99" i="5"/>
  <c r="I32" i="5"/>
  <c r="K32" i="5"/>
  <c r="L32" i="5" s="1"/>
  <c r="E33" i="5"/>
  <c r="C36" i="5"/>
  <c r="J35" i="5"/>
  <c r="K96" i="5"/>
  <c r="L96" i="5" s="1"/>
  <c r="I96" i="5"/>
  <c r="J98" i="5"/>
  <c r="G33" i="5"/>
  <c r="G97" i="5"/>
  <c r="H97" i="5" s="1"/>
  <c r="F109" i="3"/>
  <c r="G108" i="3"/>
  <c r="C110" i="3"/>
  <c r="J110" i="3" s="1"/>
  <c r="L106" i="3"/>
  <c r="I106" i="3"/>
  <c r="E107" i="3"/>
  <c r="H107" i="3" s="1"/>
  <c r="F45" i="3"/>
  <c r="G44" i="3"/>
  <c r="C45" i="3"/>
  <c r="L43" i="3"/>
  <c r="D44" i="3"/>
  <c r="E44" i="3" s="1"/>
  <c r="H32" i="13" l="1"/>
  <c r="H32" i="12"/>
  <c r="K96" i="13"/>
  <c r="L96" i="13" s="1"/>
  <c r="I96" i="13"/>
  <c r="K32" i="13"/>
  <c r="L32" i="13" s="1"/>
  <c r="I32" i="13"/>
  <c r="E98" i="13"/>
  <c r="C37" i="13"/>
  <c r="J36" i="13"/>
  <c r="G33" i="13"/>
  <c r="E33" i="13"/>
  <c r="H33" i="13" s="1"/>
  <c r="C99" i="13"/>
  <c r="J98" i="13"/>
  <c r="G97" i="13"/>
  <c r="H97" i="13" s="1"/>
  <c r="K31" i="13"/>
  <c r="L31" i="13" s="1"/>
  <c r="I31" i="13"/>
  <c r="C36" i="12"/>
  <c r="C99" i="12"/>
  <c r="J98" i="12"/>
  <c r="E33" i="12"/>
  <c r="G97" i="12"/>
  <c r="K96" i="12"/>
  <c r="L96" i="12" s="1"/>
  <c r="I96" i="12"/>
  <c r="K95" i="12"/>
  <c r="L95" i="12" s="1"/>
  <c r="I95" i="12"/>
  <c r="E97" i="12"/>
  <c r="K32" i="12"/>
  <c r="L32" i="12" s="1"/>
  <c r="I32" i="12"/>
  <c r="G33" i="12"/>
  <c r="A34" i="12"/>
  <c r="J33" i="12"/>
  <c r="K96" i="11"/>
  <c r="L96" i="11" s="1"/>
  <c r="I96" i="11"/>
  <c r="J35" i="11"/>
  <c r="C36" i="11"/>
  <c r="E33" i="11"/>
  <c r="J99" i="11"/>
  <c r="C100" i="11"/>
  <c r="K32" i="11"/>
  <c r="L32" i="11" s="1"/>
  <c r="I32" i="11"/>
  <c r="G97" i="11"/>
  <c r="H97" i="11" s="1"/>
  <c r="K31" i="11"/>
  <c r="L31" i="11" s="1"/>
  <c r="I31" i="11"/>
  <c r="G33" i="11"/>
  <c r="E98" i="11"/>
  <c r="E99" i="10"/>
  <c r="J99" i="10"/>
  <c r="C100" i="10"/>
  <c r="I31" i="10"/>
  <c r="K31" i="10"/>
  <c r="L31" i="10" s="1"/>
  <c r="G33" i="10"/>
  <c r="G97" i="10"/>
  <c r="H97" i="10" s="1"/>
  <c r="J34" i="10"/>
  <c r="C35" i="10"/>
  <c r="E33" i="10"/>
  <c r="K32" i="10"/>
  <c r="L32" i="10" s="1"/>
  <c r="I32" i="10"/>
  <c r="K96" i="10"/>
  <c r="L96" i="10" s="1"/>
  <c r="I96" i="10"/>
  <c r="K96" i="8"/>
  <c r="L96" i="8" s="1"/>
  <c r="I96" i="8"/>
  <c r="E98" i="8"/>
  <c r="C35" i="8"/>
  <c r="J34" i="8"/>
  <c r="J99" i="8"/>
  <c r="C100" i="8"/>
  <c r="G33" i="8"/>
  <c r="G97" i="8"/>
  <c r="H97" i="8" s="1"/>
  <c r="E33" i="8"/>
  <c r="K31" i="8"/>
  <c r="L31" i="8" s="1"/>
  <c r="I31" i="8"/>
  <c r="K32" i="8"/>
  <c r="L32" i="8" s="1"/>
  <c r="I32" i="8"/>
  <c r="G97" i="6"/>
  <c r="G33" i="6"/>
  <c r="J99" i="6"/>
  <c r="C100" i="6"/>
  <c r="C37" i="6"/>
  <c r="J36" i="6"/>
  <c r="H96" i="6"/>
  <c r="E33" i="6"/>
  <c r="E97" i="6"/>
  <c r="H32" i="6"/>
  <c r="E34" i="5"/>
  <c r="I97" i="5"/>
  <c r="K97" i="5"/>
  <c r="L97" i="5" s="1"/>
  <c r="G34" i="5"/>
  <c r="J99" i="5"/>
  <c r="C37" i="5"/>
  <c r="G98" i="5"/>
  <c r="H98" i="5" s="1"/>
  <c r="E100" i="5"/>
  <c r="L107" i="3"/>
  <c r="I107" i="3"/>
  <c r="C111" i="3"/>
  <c r="J111" i="3" s="1"/>
  <c r="E108" i="3"/>
  <c r="H108" i="3" s="1"/>
  <c r="G109" i="3"/>
  <c r="F110" i="3"/>
  <c r="F46" i="3"/>
  <c r="G45" i="3"/>
  <c r="L44" i="3"/>
  <c r="D45" i="3"/>
  <c r="E45" i="3" s="1"/>
  <c r="C46" i="3"/>
  <c r="H33" i="12" l="1"/>
  <c r="H33" i="10"/>
  <c r="H33" i="8"/>
  <c r="H97" i="6"/>
  <c r="J99" i="13"/>
  <c r="C100" i="13"/>
  <c r="E99" i="13"/>
  <c r="K33" i="13"/>
  <c r="L33" i="13" s="1"/>
  <c r="I33" i="13"/>
  <c r="K97" i="13"/>
  <c r="L97" i="13" s="1"/>
  <c r="I97" i="13"/>
  <c r="E34" i="13"/>
  <c r="J37" i="13"/>
  <c r="C38" i="13"/>
  <c r="G98" i="13"/>
  <c r="H98" i="13" s="1"/>
  <c r="G34" i="13"/>
  <c r="E98" i="12"/>
  <c r="E34" i="12"/>
  <c r="G98" i="12"/>
  <c r="A35" i="12"/>
  <c r="J34" i="12"/>
  <c r="J99" i="12"/>
  <c r="C100" i="12"/>
  <c r="K33" i="12"/>
  <c r="L33" i="12" s="1"/>
  <c r="I33" i="12"/>
  <c r="C37" i="12"/>
  <c r="H97" i="12"/>
  <c r="G34" i="12"/>
  <c r="K97" i="11"/>
  <c r="L97" i="11" s="1"/>
  <c r="I97" i="11"/>
  <c r="E34" i="11"/>
  <c r="G34" i="11"/>
  <c r="C37" i="11"/>
  <c r="J36" i="11"/>
  <c r="G98" i="11"/>
  <c r="H98" i="11" s="1"/>
  <c r="C101" i="11"/>
  <c r="J100" i="11"/>
  <c r="E99" i="11"/>
  <c r="H33" i="11"/>
  <c r="G34" i="10"/>
  <c r="E34" i="10"/>
  <c r="H34" i="10" s="1"/>
  <c r="C101" i="10"/>
  <c r="J100" i="10"/>
  <c r="K97" i="10"/>
  <c r="L97" i="10" s="1"/>
  <c r="I97" i="10"/>
  <c r="G98" i="10"/>
  <c r="H98" i="10" s="1"/>
  <c r="I33" i="10"/>
  <c r="K33" i="10"/>
  <c r="L33" i="10" s="1"/>
  <c r="J35" i="10"/>
  <c r="C36" i="10"/>
  <c r="E100" i="10"/>
  <c r="I97" i="8"/>
  <c r="K97" i="8"/>
  <c r="L97" i="8" s="1"/>
  <c r="E34" i="8"/>
  <c r="H34" i="8" s="1"/>
  <c r="C36" i="8"/>
  <c r="J35" i="8"/>
  <c r="G98" i="8"/>
  <c r="H98" i="8" s="1"/>
  <c r="G34" i="8"/>
  <c r="E99" i="8"/>
  <c r="K33" i="8"/>
  <c r="L33" i="8" s="1"/>
  <c r="I33" i="8"/>
  <c r="C101" i="8"/>
  <c r="J100" i="8"/>
  <c r="K32" i="6"/>
  <c r="L32" i="6" s="1"/>
  <c r="I32" i="6"/>
  <c r="K97" i="6"/>
  <c r="L97" i="6" s="1"/>
  <c r="I97" i="6"/>
  <c r="G34" i="6"/>
  <c r="J37" i="6"/>
  <c r="C38" i="6"/>
  <c r="C101" i="6"/>
  <c r="J100" i="6"/>
  <c r="E98" i="6"/>
  <c r="E34" i="6"/>
  <c r="H33" i="6"/>
  <c r="K96" i="6"/>
  <c r="L96" i="6" s="1"/>
  <c r="I96" i="6"/>
  <c r="G98" i="6"/>
  <c r="J100" i="5"/>
  <c r="K98" i="5"/>
  <c r="L98" i="5" s="1"/>
  <c r="I98" i="5"/>
  <c r="E101" i="5"/>
  <c r="G35" i="5"/>
  <c r="G99" i="5"/>
  <c r="H99" i="5" s="1"/>
  <c r="I33" i="5"/>
  <c r="K33" i="5"/>
  <c r="L33" i="5" s="1"/>
  <c r="C38" i="5"/>
  <c r="J37" i="5"/>
  <c r="E35" i="5"/>
  <c r="E109" i="3"/>
  <c r="H109" i="3" s="1"/>
  <c r="F111" i="3"/>
  <c r="G110" i="3"/>
  <c r="L108" i="3"/>
  <c r="I108" i="3"/>
  <c r="C112" i="3"/>
  <c r="J112" i="3" s="1"/>
  <c r="F47" i="3"/>
  <c r="G46" i="3"/>
  <c r="C47" i="3"/>
  <c r="L45" i="3"/>
  <c r="D46" i="3"/>
  <c r="E46" i="3" s="1"/>
  <c r="H98" i="6" l="1"/>
  <c r="H34" i="6"/>
  <c r="I98" i="13"/>
  <c r="K98" i="13"/>
  <c r="L98" i="13" s="1"/>
  <c r="G99" i="13"/>
  <c r="H99" i="13" s="1"/>
  <c r="G35" i="13"/>
  <c r="C39" i="13"/>
  <c r="J38" i="13"/>
  <c r="E100" i="13"/>
  <c r="E35" i="13"/>
  <c r="C101" i="13"/>
  <c r="J100" i="13"/>
  <c r="H34" i="13"/>
  <c r="A36" i="12"/>
  <c r="J35" i="12"/>
  <c r="E35" i="12"/>
  <c r="G99" i="12"/>
  <c r="H34" i="12"/>
  <c r="C101" i="12"/>
  <c r="J100" i="12"/>
  <c r="H98" i="12"/>
  <c r="K97" i="12"/>
  <c r="L97" i="12" s="1"/>
  <c r="I97" i="12"/>
  <c r="C38" i="12"/>
  <c r="G35" i="12"/>
  <c r="E99" i="12"/>
  <c r="K98" i="11"/>
  <c r="L98" i="11" s="1"/>
  <c r="I98" i="11"/>
  <c r="J101" i="11"/>
  <c r="C102" i="11"/>
  <c r="E35" i="11"/>
  <c r="H35" i="11" s="1"/>
  <c r="K33" i="11"/>
  <c r="L33" i="11" s="1"/>
  <c r="I33" i="11"/>
  <c r="J37" i="11"/>
  <c r="C38" i="11"/>
  <c r="G99" i="11"/>
  <c r="H34" i="11"/>
  <c r="H99" i="11"/>
  <c r="E100" i="11"/>
  <c r="G35" i="11"/>
  <c r="J101" i="10"/>
  <c r="C102" i="10"/>
  <c r="E101" i="10"/>
  <c r="J36" i="10"/>
  <c r="C37" i="10"/>
  <c r="K34" i="10"/>
  <c r="L34" i="10" s="1"/>
  <c r="I34" i="10"/>
  <c r="G99" i="10"/>
  <c r="H99" i="10" s="1"/>
  <c r="E35" i="10"/>
  <c r="H35" i="10" s="1"/>
  <c r="K98" i="10"/>
  <c r="L98" i="10" s="1"/>
  <c r="I98" i="10"/>
  <c r="G35" i="10"/>
  <c r="K98" i="8"/>
  <c r="L98" i="8" s="1"/>
  <c r="I98" i="8"/>
  <c r="G99" i="8"/>
  <c r="H99" i="8" s="1"/>
  <c r="E100" i="8"/>
  <c r="E35" i="8"/>
  <c r="G35" i="8"/>
  <c r="K34" i="8"/>
  <c r="L34" i="8" s="1"/>
  <c r="I34" i="8"/>
  <c r="J101" i="8"/>
  <c r="C102" i="8"/>
  <c r="C37" i="8"/>
  <c r="J36" i="8"/>
  <c r="C39" i="6"/>
  <c r="J38" i="6"/>
  <c r="E35" i="6"/>
  <c r="H35" i="6" s="1"/>
  <c r="E99" i="6"/>
  <c r="K33" i="6"/>
  <c r="L33" i="6" s="1"/>
  <c r="I33" i="6"/>
  <c r="G35" i="6"/>
  <c r="K98" i="6"/>
  <c r="L98" i="6" s="1"/>
  <c r="I98" i="6"/>
  <c r="K34" i="6"/>
  <c r="L34" i="6" s="1"/>
  <c r="I34" i="6"/>
  <c r="G99" i="6"/>
  <c r="J101" i="6"/>
  <c r="C102" i="6"/>
  <c r="I34" i="5"/>
  <c r="K34" i="5"/>
  <c r="L34" i="5" s="1"/>
  <c r="J38" i="5"/>
  <c r="C39" i="5"/>
  <c r="G100" i="5"/>
  <c r="H100" i="5" s="1"/>
  <c r="I99" i="5"/>
  <c r="K99" i="5"/>
  <c r="L99" i="5" s="1"/>
  <c r="J101" i="5"/>
  <c r="E102" i="5"/>
  <c r="E36" i="5"/>
  <c r="G36" i="5"/>
  <c r="I35" i="5"/>
  <c r="K35" i="5"/>
  <c r="L35" i="5" s="1"/>
  <c r="C113" i="3"/>
  <c r="J113" i="3" s="1"/>
  <c r="G111" i="3"/>
  <c r="F112" i="3"/>
  <c r="L109" i="3"/>
  <c r="I109" i="3"/>
  <c r="E110" i="3"/>
  <c r="H110" i="3" s="1"/>
  <c r="F48" i="3"/>
  <c r="G47" i="3"/>
  <c r="L46" i="3"/>
  <c r="D47" i="3"/>
  <c r="E47" i="3" s="1"/>
  <c r="C48" i="3"/>
  <c r="H35" i="8" l="1"/>
  <c r="K99" i="13"/>
  <c r="L99" i="13" s="1"/>
  <c r="I99" i="13"/>
  <c r="H35" i="13"/>
  <c r="G36" i="13"/>
  <c r="E36" i="13"/>
  <c r="J39" i="13"/>
  <c r="C40" i="13"/>
  <c r="G100" i="13"/>
  <c r="H100" i="13" s="1"/>
  <c r="E101" i="13"/>
  <c r="K34" i="13"/>
  <c r="L34" i="13" s="1"/>
  <c r="I34" i="13"/>
  <c r="J101" i="13"/>
  <c r="C102" i="13"/>
  <c r="K34" i="12"/>
  <c r="L34" i="12" s="1"/>
  <c r="I34" i="12"/>
  <c r="H35" i="12"/>
  <c r="J101" i="12"/>
  <c r="C102" i="12"/>
  <c r="G36" i="12"/>
  <c r="C39" i="12"/>
  <c r="E36" i="12"/>
  <c r="H99" i="12"/>
  <c r="K98" i="12"/>
  <c r="L98" i="12" s="1"/>
  <c r="I98" i="12"/>
  <c r="G100" i="12"/>
  <c r="E100" i="12"/>
  <c r="A37" i="12"/>
  <c r="J36" i="12"/>
  <c r="E101" i="11"/>
  <c r="E36" i="11"/>
  <c r="H36" i="11" s="1"/>
  <c r="C103" i="11"/>
  <c r="J102" i="11"/>
  <c r="K34" i="11"/>
  <c r="L34" i="11" s="1"/>
  <c r="I34" i="11"/>
  <c r="G100" i="11"/>
  <c r="H100" i="11" s="1"/>
  <c r="K35" i="11"/>
  <c r="L35" i="11" s="1"/>
  <c r="I35" i="11"/>
  <c r="C39" i="11"/>
  <c r="J38" i="11"/>
  <c r="K99" i="11"/>
  <c r="L99" i="11" s="1"/>
  <c r="I99" i="11"/>
  <c r="G36" i="11"/>
  <c r="G36" i="10"/>
  <c r="I35" i="10"/>
  <c r="K35" i="10"/>
  <c r="L35" i="10" s="1"/>
  <c r="E36" i="10"/>
  <c r="H36" i="10" s="1"/>
  <c r="E102" i="10"/>
  <c r="J37" i="10"/>
  <c r="C38" i="10"/>
  <c r="K99" i="10"/>
  <c r="L99" i="10" s="1"/>
  <c r="I99" i="10"/>
  <c r="C103" i="10"/>
  <c r="J102" i="10"/>
  <c r="G100" i="10"/>
  <c r="H100" i="10" s="1"/>
  <c r="I99" i="8"/>
  <c r="K99" i="8"/>
  <c r="L99" i="8" s="1"/>
  <c r="E36" i="8"/>
  <c r="C38" i="8"/>
  <c r="J37" i="8"/>
  <c r="E101" i="8"/>
  <c r="G36" i="8"/>
  <c r="G100" i="8"/>
  <c r="K35" i="8"/>
  <c r="L35" i="8" s="1"/>
  <c r="I35" i="8"/>
  <c r="C103" i="8"/>
  <c r="J102" i="8"/>
  <c r="H100" i="8"/>
  <c r="G100" i="6"/>
  <c r="K35" i="6"/>
  <c r="L35" i="6" s="1"/>
  <c r="I35" i="6"/>
  <c r="E36" i="6"/>
  <c r="H36" i="6" s="1"/>
  <c r="E100" i="6"/>
  <c r="H100" i="6" s="1"/>
  <c r="C103" i="6"/>
  <c r="J102" i="6"/>
  <c r="H99" i="6"/>
  <c r="G36" i="6"/>
  <c r="J39" i="6"/>
  <c r="C40" i="6"/>
  <c r="C40" i="5"/>
  <c r="J39" i="5"/>
  <c r="I36" i="5"/>
  <c r="K36" i="5"/>
  <c r="L36" i="5" s="1"/>
  <c r="G101" i="5"/>
  <c r="H101" i="5" s="1"/>
  <c r="K100" i="5"/>
  <c r="L100" i="5" s="1"/>
  <c r="I100" i="5"/>
  <c r="J102" i="5"/>
  <c r="G37" i="5"/>
  <c r="E37" i="5"/>
  <c r="E103" i="5"/>
  <c r="E111" i="3"/>
  <c r="H111" i="3" s="1"/>
  <c r="C114" i="3"/>
  <c r="J114" i="3" s="1"/>
  <c r="L110" i="3"/>
  <c r="I110" i="3"/>
  <c r="G112" i="3"/>
  <c r="F113" i="3"/>
  <c r="F49" i="3"/>
  <c r="G48" i="3"/>
  <c r="C49" i="3"/>
  <c r="L47" i="3"/>
  <c r="D48" i="3"/>
  <c r="E48" i="3" s="1"/>
  <c r="H36" i="13" l="1"/>
  <c r="I100" i="13"/>
  <c r="K100" i="13"/>
  <c r="L100" i="13" s="1"/>
  <c r="E37" i="13"/>
  <c r="H37" i="13" s="1"/>
  <c r="K36" i="13"/>
  <c r="L36" i="13" s="1"/>
  <c r="I36" i="13"/>
  <c r="E102" i="13"/>
  <c r="G37" i="13"/>
  <c r="G101" i="13"/>
  <c r="H101" i="13" s="1"/>
  <c r="K35" i="13"/>
  <c r="L35" i="13" s="1"/>
  <c r="I35" i="13"/>
  <c r="C103" i="13"/>
  <c r="J102" i="13"/>
  <c r="C41" i="13"/>
  <c r="J40" i="13"/>
  <c r="C103" i="12"/>
  <c r="J102" i="12"/>
  <c r="G37" i="12"/>
  <c r="K99" i="12"/>
  <c r="L99" i="12" s="1"/>
  <c r="I99" i="12"/>
  <c r="G101" i="12"/>
  <c r="A38" i="12"/>
  <c r="J37" i="12"/>
  <c r="E37" i="12"/>
  <c r="K35" i="12"/>
  <c r="L35" i="12" s="1"/>
  <c r="I35" i="12"/>
  <c r="H100" i="12"/>
  <c r="H36" i="12"/>
  <c r="C40" i="12"/>
  <c r="E101" i="12"/>
  <c r="E37" i="11"/>
  <c r="J39" i="11"/>
  <c r="C40" i="11"/>
  <c r="G37" i="11"/>
  <c r="K100" i="11"/>
  <c r="L100" i="11" s="1"/>
  <c r="I100" i="11"/>
  <c r="K36" i="11"/>
  <c r="L36" i="11" s="1"/>
  <c r="I36" i="11"/>
  <c r="J103" i="11"/>
  <c r="C104" i="11"/>
  <c r="G101" i="11"/>
  <c r="H101" i="11" s="1"/>
  <c r="E102" i="11"/>
  <c r="K100" i="10"/>
  <c r="L100" i="10" s="1"/>
  <c r="I100" i="10"/>
  <c r="J103" i="10"/>
  <c r="C104" i="10"/>
  <c r="K36" i="10"/>
  <c r="L36" i="10" s="1"/>
  <c r="I36" i="10"/>
  <c r="E103" i="10"/>
  <c r="E37" i="10"/>
  <c r="J38" i="10"/>
  <c r="C39" i="10"/>
  <c r="G101" i="10"/>
  <c r="H101" i="10" s="1"/>
  <c r="G37" i="10"/>
  <c r="E37" i="8"/>
  <c r="H36" i="8"/>
  <c r="E102" i="8"/>
  <c r="G101" i="8"/>
  <c r="H101" i="8" s="1"/>
  <c r="G37" i="8"/>
  <c r="J103" i="8"/>
  <c r="C104" i="8"/>
  <c r="C39" i="8"/>
  <c r="J38" i="8"/>
  <c r="K100" i="8"/>
  <c r="L100" i="8" s="1"/>
  <c r="I100" i="8"/>
  <c r="K100" i="6"/>
  <c r="L100" i="6" s="1"/>
  <c r="I100" i="6"/>
  <c r="E101" i="6"/>
  <c r="K36" i="6"/>
  <c r="L36" i="6" s="1"/>
  <c r="I36" i="6"/>
  <c r="K99" i="6"/>
  <c r="L99" i="6" s="1"/>
  <c r="I99" i="6"/>
  <c r="C41" i="6"/>
  <c r="J40" i="6"/>
  <c r="E37" i="6"/>
  <c r="G37" i="6"/>
  <c r="G101" i="6"/>
  <c r="J103" i="6"/>
  <c r="C104" i="6"/>
  <c r="I37" i="5"/>
  <c r="K37" i="5"/>
  <c r="L37" i="5" s="1"/>
  <c r="E104" i="5"/>
  <c r="E38" i="5"/>
  <c r="K101" i="5"/>
  <c r="L101" i="5" s="1"/>
  <c r="I101" i="5"/>
  <c r="J103" i="5"/>
  <c r="G102" i="5"/>
  <c r="H102" i="5" s="1"/>
  <c r="G38" i="5"/>
  <c r="J40" i="5"/>
  <c r="C41" i="5"/>
  <c r="G113" i="3"/>
  <c r="F114" i="3"/>
  <c r="C115" i="3"/>
  <c r="J115" i="3" s="1"/>
  <c r="L111" i="3"/>
  <c r="I111" i="3"/>
  <c r="E112" i="3"/>
  <c r="H112" i="3" s="1"/>
  <c r="F50" i="3"/>
  <c r="G49" i="3"/>
  <c r="L48" i="3"/>
  <c r="D49" i="3"/>
  <c r="E49" i="3" s="1"/>
  <c r="C50" i="3"/>
  <c r="H37" i="12" l="1"/>
  <c r="H37" i="10"/>
  <c r="K101" i="13"/>
  <c r="L101" i="13" s="1"/>
  <c r="I101" i="13"/>
  <c r="E103" i="13"/>
  <c r="K37" i="13"/>
  <c r="L37" i="13" s="1"/>
  <c r="I37" i="13"/>
  <c r="J103" i="13"/>
  <c r="C104" i="13"/>
  <c r="G102" i="13"/>
  <c r="E38" i="13"/>
  <c r="J41" i="13"/>
  <c r="C42" i="13"/>
  <c r="G38" i="13"/>
  <c r="H102" i="13"/>
  <c r="G102" i="12"/>
  <c r="H101" i="12"/>
  <c r="K37" i="12"/>
  <c r="L37" i="12" s="1"/>
  <c r="I37" i="12"/>
  <c r="K100" i="12"/>
  <c r="L100" i="12" s="1"/>
  <c r="I100" i="12"/>
  <c r="E38" i="12"/>
  <c r="G38" i="12"/>
  <c r="E102" i="12"/>
  <c r="H102" i="12" s="1"/>
  <c r="C41" i="12"/>
  <c r="K36" i="12"/>
  <c r="L36" i="12" s="1"/>
  <c r="I36" i="12"/>
  <c r="A39" i="12"/>
  <c r="J38" i="12"/>
  <c r="J103" i="12"/>
  <c r="C104" i="12"/>
  <c r="G102" i="11"/>
  <c r="H102" i="11" s="1"/>
  <c r="G38" i="11"/>
  <c r="C105" i="11"/>
  <c r="J104" i="11"/>
  <c r="C41" i="11"/>
  <c r="J40" i="11"/>
  <c r="K101" i="11"/>
  <c r="L101" i="11" s="1"/>
  <c r="I101" i="11"/>
  <c r="E103" i="11"/>
  <c r="H37" i="11"/>
  <c r="E38" i="11"/>
  <c r="H38" i="11" s="1"/>
  <c r="G38" i="10"/>
  <c r="E104" i="10"/>
  <c r="G102" i="10"/>
  <c r="H102" i="10" s="1"/>
  <c r="K101" i="10"/>
  <c r="L101" i="10" s="1"/>
  <c r="I101" i="10"/>
  <c r="C105" i="10"/>
  <c r="J104" i="10"/>
  <c r="J39" i="10"/>
  <c r="C40" i="10"/>
  <c r="I37" i="10"/>
  <c r="K37" i="10"/>
  <c r="L37" i="10" s="1"/>
  <c r="E38" i="10"/>
  <c r="I101" i="8"/>
  <c r="K101" i="8"/>
  <c r="L101" i="8" s="1"/>
  <c r="G102" i="8"/>
  <c r="H102" i="8" s="1"/>
  <c r="C40" i="8"/>
  <c r="J39" i="8"/>
  <c r="K36" i="8"/>
  <c r="L36" i="8" s="1"/>
  <c r="I36" i="8"/>
  <c r="H37" i="8"/>
  <c r="E103" i="8"/>
  <c r="J104" i="8"/>
  <c r="C105" i="8"/>
  <c r="G38" i="8"/>
  <c r="E38" i="8"/>
  <c r="H101" i="6"/>
  <c r="G102" i="6"/>
  <c r="H37" i="6"/>
  <c r="E38" i="6"/>
  <c r="E102" i="6"/>
  <c r="G38" i="6"/>
  <c r="C105" i="6"/>
  <c r="J104" i="6"/>
  <c r="J41" i="6"/>
  <c r="C42" i="6"/>
  <c r="I38" i="5"/>
  <c r="K38" i="5"/>
  <c r="L38" i="5" s="1"/>
  <c r="G39" i="5"/>
  <c r="C42" i="5"/>
  <c r="J41" i="5"/>
  <c r="E39" i="5"/>
  <c r="K102" i="5"/>
  <c r="L102" i="5" s="1"/>
  <c r="I102" i="5"/>
  <c r="G103" i="5"/>
  <c r="H103" i="5" s="1"/>
  <c r="E105" i="5"/>
  <c r="J104" i="5"/>
  <c r="E113" i="3"/>
  <c r="H113" i="3" s="1"/>
  <c r="L112" i="3"/>
  <c r="I112" i="3"/>
  <c r="C116" i="3"/>
  <c r="J116" i="3" s="1"/>
  <c r="F115" i="3"/>
  <c r="G114" i="3"/>
  <c r="F51" i="3"/>
  <c r="G50" i="3"/>
  <c r="C51" i="3"/>
  <c r="L49" i="3"/>
  <c r="D50" i="3"/>
  <c r="E50" i="3" s="1"/>
  <c r="H38" i="12" l="1"/>
  <c r="H38" i="10"/>
  <c r="H102" i="6"/>
  <c r="H38" i="6"/>
  <c r="J42" i="13"/>
  <c r="J43" i="13" s="1"/>
  <c r="C43" i="13"/>
  <c r="C105" i="13"/>
  <c r="J104" i="13"/>
  <c r="E39" i="13"/>
  <c r="H38" i="13"/>
  <c r="E104" i="13"/>
  <c r="G103" i="13"/>
  <c r="H103" i="13" s="1"/>
  <c r="G39" i="13"/>
  <c r="I102" i="13"/>
  <c r="K102" i="13"/>
  <c r="L102" i="13" s="1"/>
  <c r="C105" i="12"/>
  <c r="J104" i="12"/>
  <c r="K38" i="12"/>
  <c r="L38" i="12" s="1"/>
  <c r="I38" i="12"/>
  <c r="E103" i="12"/>
  <c r="G39" i="12"/>
  <c r="K101" i="12"/>
  <c r="L101" i="12" s="1"/>
  <c r="I101" i="12"/>
  <c r="I102" i="12"/>
  <c r="K102" i="12"/>
  <c r="L102" i="12" s="1"/>
  <c r="A40" i="12"/>
  <c r="J39" i="12"/>
  <c r="G103" i="12"/>
  <c r="C42" i="12"/>
  <c r="E39" i="12"/>
  <c r="E39" i="11"/>
  <c r="K37" i="11"/>
  <c r="L37" i="11" s="1"/>
  <c r="I37" i="11"/>
  <c r="J105" i="11"/>
  <c r="C106" i="11"/>
  <c r="G39" i="11"/>
  <c r="E104" i="11"/>
  <c r="K38" i="11"/>
  <c r="L38" i="11" s="1"/>
  <c r="I38" i="11"/>
  <c r="K102" i="11"/>
  <c r="L102" i="11" s="1"/>
  <c r="I102" i="11"/>
  <c r="G103" i="11"/>
  <c r="H103" i="11" s="1"/>
  <c r="J41" i="11"/>
  <c r="C42" i="11"/>
  <c r="K38" i="10"/>
  <c r="L38" i="10" s="1"/>
  <c r="I38" i="10"/>
  <c r="G103" i="10"/>
  <c r="H103" i="10" s="1"/>
  <c r="E105" i="10"/>
  <c r="J105" i="10"/>
  <c r="C106" i="10"/>
  <c r="K102" i="10"/>
  <c r="L102" i="10" s="1"/>
  <c r="I102" i="10"/>
  <c r="J40" i="10"/>
  <c r="C41" i="10"/>
  <c r="E39" i="10"/>
  <c r="G39" i="10"/>
  <c r="K102" i="8"/>
  <c r="L102" i="8" s="1"/>
  <c r="I102" i="8"/>
  <c r="C41" i="8"/>
  <c r="J40" i="8"/>
  <c r="G39" i="8"/>
  <c r="E104" i="8"/>
  <c r="G103" i="8"/>
  <c r="H103" i="8" s="1"/>
  <c r="E39" i="8"/>
  <c r="K37" i="8"/>
  <c r="L37" i="8" s="1"/>
  <c r="I37" i="8"/>
  <c r="J105" i="8"/>
  <c r="C106" i="8"/>
  <c r="H38" i="8"/>
  <c r="E103" i="6"/>
  <c r="K102" i="6"/>
  <c r="L102" i="6" s="1"/>
  <c r="I102" i="6"/>
  <c r="J42" i="6"/>
  <c r="J43" i="6" s="1"/>
  <c r="C43" i="6"/>
  <c r="K38" i="6"/>
  <c r="L38" i="6" s="1"/>
  <c r="I38" i="6"/>
  <c r="G103" i="6"/>
  <c r="E39" i="6"/>
  <c r="G39" i="6"/>
  <c r="K37" i="6"/>
  <c r="L37" i="6" s="1"/>
  <c r="I37" i="6"/>
  <c r="J105" i="6"/>
  <c r="C106" i="6"/>
  <c r="K101" i="6"/>
  <c r="L101" i="6" s="1"/>
  <c r="I101" i="6"/>
  <c r="G104" i="5"/>
  <c r="H104" i="5" s="1"/>
  <c r="G40" i="5"/>
  <c r="K103" i="5"/>
  <c r="L103" i="5" s="1"/>
  <c r="I103" i="5"/>
  <c r="E40" i="5"/>
  <c r="J42" i="5"/>
  <c r="C43" i="5"/>
  <c r="I39" i="5"/>
  <c r="K39" i="5"/>
  <c r="L39" i="5" s="1"/>
  <c r="E106" i="5"/>
  <c r="J105" i="5"/>
  <c r="G115" i="3"/>
  <c r="F116" i="3"/>
  <c r="L113" i="3"/>
  <c r="I113" i="3"/>
  <c r="C117" i="3"/>
  <c r="E114" i="3"/>
  <c r="H114" i="3" s="1"/>
  <c r="F52" i="3"/>
  <c r="G51" i="3"/>
  <c r="L50" i="3"/>
  <c r="D51" i="3"/>
  <c r="E51" i="3" s="1"/>
  <c r="C52" i="3"/>
  <c r="H39" i="10" l="1"/>
  <c r="K103" i="13"/>
  <c r="L103" i="13" s="1"/>
  <c r="I103" i="13"/>
  <c r="H39" i="13"/>
  <c r="G40" i="13"/>
  <c r="E40" i="13"/>
  <c r="G104" i="13"/>
  <c r="H104" i="13" s="1"/>
  <c r="J105" i="13"/>
  <c r="C106" i="13"/>
  <c r="K38" i="13"/>
  <c r="L38" i="13" s="1"/>
  <c r="I38" i="13"/>
  <c r="E105" i="13"/>
  <c r="H103" i="12"/>
  <c r="H39" i="12"/>
  <c r="E40" i="12"/>
  <c r="G104" i="12"/>
  <c r="A41" i="12"/>
  <c r="J40" i="12"/>
  <c r="C43" i="12"/>
  <c r="G40" i="12"/>
  <c r="E104" i="12"/>
  <c r="J105" i="12"/>
  <c r="C106" i="12"/>
  <c r="K103" i="11"/>
  <c r="L103" i="11" s="1"/>
  <c r="I103" i="11"/>
  <c r="G104" i="11"/>
  <c r="H104" i="11" s="1"/>
  <c r="J106" i="11"/>
  <c r="J107" i="11" s="1"/>
  <c r="C107" i="11"/>
  <c r="J42" i="11"/>
  <c r="J43" i="11" s="1"/>
  <c r="C43" i="11"/>
  <c r="H39" i="11"/>
  <c r="G40" i="11"/>
  <c r="E105" i="11"/>
  <c r="E40" i="11"/>
  <c r="H40" i="11" s="1"/>
  <c r="E106" i="10"/>
  <c r="D107" i="10"/>
  <c r="K103" i="10"/>
  <c r="L103" i="10" s="1"/>
  <c r="I103" i="10"/>
  <c r="G40" i="10"/>
  <c r="I39" i="10"/>
  <c r="K39" i="10"/>
  <c r="L39" i="10" s="1"/>
  <c r="E40" i="10"/>
  <c r="J41" i="10"/>
  <c r="C42" i="10"/>
  <c r="G104" i="10"/>
  <c r="H104" i="10" s="1"/>
  <c r="J106" i="10"/>
  <c r="J107" i="10" s="1"/>
  <c r="C107" i="10"/>
  <c r="E40" i="8"/>
  <c r="C42" i="8"/>
  <c r="J41" i="8"/>
  <c r="K38" i="8"/>
  <c r="L38" i="8" s="1"/>
  <c r="I38" i="8"/>
  <c r="G104" i="8"/>
  <c r="H104" i="8" s="1"/>
  <c r="E105" i="8"/>
  <c r="I103" i="8"/>
  <c r="K103" i="8"/>
  <c r="L103" i="8" s="1"/>
  <c r="G40" i="8"/>
  <c r="H39" i="8"/>
  <c r="J106" i="8"/>
  <c r="J107" i="8" s="1"/>
  <c r="C107" i="8"/>
  <c r="G40" i="6"/>
  <c r="H39" i="6"/>
  <c r="E40" i="6"/>
  <c r="J106" i="6"/>
  <c r="J107" i="6" s="1"/>
  <c r="C107" i="6"/>
  <c r="H103" i="6"/>
  <c r="G104" i="6"/>
  <c r="E104" i="6"/>
  <c r="E107" i="5"/>
  <c r="D108" i="5"/>
  <c r="G41" i="5"/>
  <c r="J43" i="5"/>
  <c r="J44" i="5" s="1"/>
  <c r="C44" i="5"/>
  <c r="K104" i="5"/>
  <c r="L104" i="5" s="1"/>
  <c r="I104" i="5"/>
  <c r="E41" i="5"/>
  <c r="G105" i="5"/>
  <c r="H105" i="5" s="1"/>
  <c r="J106" i="5"/>
  <c r="J117" i="3"/>
  <c r="C118" i="3"/>
  <c r="L114" i="3"/>
  <c r="I114" i="3"/>
  <c r="E115" i="3"/>
  <c r="H115" i="3" s="1"/>
  <c r="J118" i="3"/>
  <c r="F117" i="3"/>
  <c r="G116" i="3"/>
  <c r="F53" i="3"/>
  <c r="G53" i="3" s="1"/>
  <c r="G52" i="3"/>
  <c r="C53" i="3"/>
  <c r="L51" i="3"/>
  <c r="D52" i="3"/>
  <c r="E52" i="3" s="1"/>
  <c r="H40" i="13" l="1"/>
  <c r="H104" i="12"/>
  <c r="I104" i="12" s="1"/>
  <c r="H104" i="6"/>
  <c r="H40" i="6"/>
  <c r="K104" i="13"/>
  <c r="L104" i="13" s="1"/>
  <c r="I104" i="13"/>
  <c r="K40" i="13"/>
  <c r="L40" i="13" s="1"/>
  <c r="I40" i="13"/>
  <c r="G41" i="13"/>
  <c r="J106" i="13"/>
  <c r="J107" i="13" s="1"/>
  <c r="C107" i="13"/>
  <c r="K39" i="13"/>
  <c r="L39" i="13" s="1"/>
  <c r="I39" i="13"/>
  <c r="E106" i="13"/>
  <c r="D107" i="13"/>
  <c r="E41" i="13"/>
  <c r="G105" i="13"/>
  <c r="H105" i="13" s="1"/>
  <c r="J106" i="12"/>
  <c r="J107" i="12" s="1"/>
  <c r="C107" i="12"/>
  <c r="E105" i="12"/>
  <c r="G105" i="12"/>
  <c r="G41" i="12"/>
  <c r="E41" i="12"/>
  <c r="A42" i="12"/>
  <c r="J42" i="12" s="1"/>
  <c r="J43" i="12" s="1"/>
  <c r="J41" i="12"/>
  <c r="K39" i="12"/>
  <c r="L39" i="12" s="1"/>
  <c r="I39" i="12"/>
  <c r="H40" i="12"/>
  <c r="K103" i="12"/>
  <c r="L103" i="12" s="1"/>
  <c r="I103" i="12"/>
  <c r="K104" i="11"/>
  <c r="L104" i="11" s="1"/>
  <c r="I104" i="11"/>
  <c r="G105" i="11"/>
  <c r="H105" i="11" s="1"/>
  <c r="E41" i="11"/>
  <c r="K40" i="11"/>
  <c r="L40" i="11" s="1"/>
  <c r="I40" i="11"/>
  <c r="G41" i="11"/>
  <c r="E106" i="11"/>
  <c r="D107" i="11"/>
  <c r="K39" i="11"/>
  <c r="L39" i="11" s="1"/>
  <c r="I39" i="11"/>
  <c r="G105" i="10"/>
  <c r="H105" i="10" s="1"/>
  <c r="G41" i="10"/>
  <c r="J42" i="10"/>
  <c r="J43" i="10" s="1"/>
  <c r="C43" i="10"/>
  <c r="E41" i="10"/>
  <c r="H40" i="10"/>
  <c r="K104" i="10"/>
  <c r="L104" i="10" s="1"/>
  <c r="I104" i="10"/>
  <c r="E107" i="10"/>
  <c r="K104" i="8"/>
  <c r="L104" i="8" s="1"/>
  <c r="I104" i="8"/>
  <c r="G41" i="8"/>
  <c r="K39" i="8"/>
  <c r="L39" i="8" s="1"/>
  <c r="I39" i="8"/>
  <c r="G105" i="8"/>
  <c r="H105" i="8" s="1"/>
  <c r="J42" i="8"/>
  <c r="J43" i="8" s="1"/>
  <c r="C43" i="8"/>
  <c r="E41" i="8"/>
  <c r="E106" i="8"/>
  <c r="D107" i="8"/>
  <c r="H40" i="8"/>
  <c r="K104" i="6"/>
  <c r="L104" i="6" s="1"/>
  <c r="I104" i="6"/>
  <c r="E105" i="6"/>
  <c r="K39" i="6"/>
  <c r="L39" i="6" s="1"/>
  <c r="I39" i="6"/>
  <c r="K40" i="6"/>
  <c r="L40" i="6" s="1"/>
  <c r="I40" i="6"/>
  <c r="G105" i="6"/>
  <c r="G41" i="6"/>
  <c r="K103" i="6"/>
  <c r="L103" i="6" s="1"/>
  <c r="I103" i="6"/>
  <c r="E41" i="6"/>
  <c r="H41" i="6" s="1"/>
  <c r="I40" i="5"/>
  <c r="K40" i="5"/>
  <c r="L40" i="5" s="1"/>
  <c r="J107" i="5"/>
  <c r="J108" i="5" s="1"/>
  <c r="C108" i="5"/>
  <c r="G106" i="5"/>
  <c r="H106" i="5" s="1"/>
  <c r="E42" i="5"/>
  <c r="E108" i="5"/>
  <c r="G42" i="5"/>
  <c r="K105" i="5"/>
  <c r="L105" i="5" s="1"/>
  <c r="I105" i="5"/>
  <c r="G117" i="3"/>
  <c r="G118" i="3" s="1"/>
  <c r="F118" i="3"/>
  <c r="L115" i="3"/>
  <c r="I115" i="3"/>
  <c r="E116" i="3"/>
  <c r="H116" i="3" s="1"/>
  <c r="L52" i="3"/>
  <c r="D53" i="3"/>
  <c r="E53" i="3" s="1"/>
  <c r="C54" i="3"/>
  <c r="K104" i="12" l="1"/>
  <c r="L104" i="12" s="1"/>
  <c r="H41" i="11"/>
  <c r="H41" i="10"/>
  <c r="H41" i="8"/>
  <c r="H105" i="6"/>
  <c r="G106" i="13"/>
  <c r="G107" i="13" s="1"/>
  <c r="F107" i="13"/>
  <c r="K105" i="13"/>
  <c r="L105" i="13" s="1"/>
  <c r="I105" i="13"/>
  <c r="G42" i="13"/>
  <c r="G43" i="13" s="1"/>
  <c r="F43" i="13"/>
  <c r="E107" i="13"/>
  <c r="H41" i="13"/>
  <c r="E42" i="13"/>
  <c r="D43" i="13"/>
  <c r="G42" i="12"/>
  <c r="G43" i="12" s="1"/>
  <c r="F43" i="12"/>
  <c r="G106" i="12"/>
  <c r="G107" i="12" s="1"/>
  <c r="F107" i="12"/>
  <c r="H105" i="12"/>
  <c r="E106" i="12"/>
  <c r="D107" i="12"/>
  <c r="H41" i="12"/>
  <c r="K40" i="12"/>
  <c r="L40" i="12" s="1"/>
  <c r="I40" i="12"/>
  <c r="E42" i="12"/>
  <c r="D43" i="12"/>
  <c r="K105" i="11"/>
  <c r="L105" i="11" s="1"/>
  <c r="I105" i="11"/>
  <c r="E42" i="11"/>
  <c r="D43" i="11"/>
  <c r="G106" i="11"/>
  <c r="G107" i="11" s="1"/>
  <c r="F107" i="11"/>
  <c r="K41" i="11"/>
  <c r="L41" i="11" s="1"/>
  <c r="I41" i="11"/>
  <c r="E107" i="11"/>
  <c r="G42" i="11"/>
  <c r="G43" i="11" s="1"/>
  <c r="F43" i="11"/>
  <c r="E42" i="10"/>
  <c r="D43" i="10"/>
  <c r="I41" i="10"/>
  <c r="K41" i="10"/>
  <c r="L41" i="10" s="1"/>
  <c r="G42" i="10"/>
  <c r="G43" i="10" s="1"/>
  <c r="F43" i="10"/>
  <c r="K105" i="10"/>
  <c r="L105" i="10" s="1"/>
  <c r="I105" i="10"/>
  <c r="K40" i="10"/>
  <c r="L40" i="10" s="1"/>
  <c r="I40" i="10"/>
  <c r="G106" i="10"/>
  <c r="F107" i="10"/>
  <c r="I105" i="8"/>
  <c r="K105" i="8"/>
  <c r="L105" i="8" s="1"/>
  <c r="K40" i="8"/>
  <c r="L40" i="8" s="1"/>
  <c r="I40" i="8"/>
  <c r="E107" i="8"/>
  <c r="G106" i="8"/>
  <c r="G107" i="8" s="1"/>
  <c r="F107" i="8"/>
  <c r="K41" i="8"/>
  <c r="L41" i="8" s="1"/>
  <c r="I41" i="8"/>
  <c r="E42" i="8"/>
  <c r="D43" i="8"/>
  <c r="G42" i="8"/>
  <c r="G43" i="8" s="1"/>
  <c r="F43" i="8"/>
  <c r="K41" i="6"/>
  <c r="L41" i="6" s="1"/>
  <c r="I41" i="6"/>
  <c r="E42" i="6"/>
  <c r="D43" i="6"/>
  <c r="E106" i="6"/>
  <c r="D107" i="6"/>
  <c r="G42" i="6"/>
  <c r="G43" i="6" s="1"/>
  <c r="F43" i="6"/>
  <c r="K105" i="6"/>
  <c r="L105" i="6" s="1"/>
  <c r="I105" i="6"/>
  <c r="G106" i="6"/>
  <c r="G107" i="6" s="1"/>
  <c r="F107" i="6"/>
  <c r="G43" i="5"/>
  <c r="G44" i="5" s="1"/>
  <c r="G107" i="5"/>
  <c r="F108" i="5"/>
  <c r="I42" i="5"/>
  <c r="K42" i="5"/>
  <c r="L42" i="5" s="1"/>
  <c r="E43" i="5"/>
  <c r="K106" i="5"/>
  <c r="L106" i="5" s="1"/>
  <c r="I106" i="5"/>
  <c r="I41" i="5"/>
  <c r="K41" i="5"/>
  <c r="L41" i="5" s="1"/>
  <c r="E117" i="3"/>
  <c r="D118" i="3"/>
  <c r="L116" i="3"/>
  <c r="I116" i="3"/>
  <c r="I54" i="3"/>
  <c r="H106" i="13" l="1"/>
  <c r="K106" i="13" s="1"/>
  <c r="I106" i="13"/>
  <c r="I107" i="13" s="1"/>
  <c r="H107" i="13"/>
  <c r="H42" i="13"/>
  <c r="E43" i="13"/>
  <c r="K41" i="13"/>
  <c r="L41" i="13" s="1"/>
  <c r="I41" i="13"/>
  <c r="K105" i="12"/>
  <c r="L105" i="12" s="1"/>
  <c r="I105" i="12"/>
  <c r="K41" i="12"/>
  <c r="L41" i="12" s="1"/>
  <c r="I41" i="12"/>
  <c r="H106" i="12"/>
  <c r="E107" i="12"/>
  <c r="H42" i="12"/>
  <c r="E43" i="12"/>
  <c r="H42" i="11"/>
  <c r="E43" i="11"/>
  <c r="H106" i="11"/>
  <c r="G107" i="10"/>
  <c r="H106" i="10"/>
  <c r="H42" i="10"/>
  <c r="E43" i="10"/>
  <c r="H106" i="8"/>
  <c r="H42" i="8"/>
  <c r="E43" i="8"/>
  <c r="H42" i="6"/>
  <c r="E43" i="6"/>
  <c r="H106" i="6"/>
  <c r="E107" i="6"/>
  <c r="E44" i="5"/>
  <c r="G108" i="5"/>
  <c r="H107" i="5"/>
  <c r="H117" i="3"/>
  <c r="E118" i="3"/>
  <c r="L53" i="3"/>
  <c r="L55" i="3"/>
  <c r="F17" i="3" s="1"/>
  <c r="L106" i="13" l="1"/>
  <c r="K107" i="13"/>
  <c r="L108" i="13" s="1"/>
  <c r="E67" i="13" s="1"/>
  <c r="K42" i="13"/>
  <c r="I42" i="13"/>
  <c r="I43" i="13" s="1"/>
  <c r="H43" i="13"/>
  <c r="K42" i="12"/>
  <c r="I42" i="12"/>
  <c r="I43" i="12" s="1"/>
  <c r="H43" i="12"/>
  <c r="K106" i="12"/>
  <c r="I106" i="12"/>
  <c r="I107" i="12" s="1"/>
  <c r="H107" i="12"/>
  <c r="K106" i="11"/>
  <c r="I106" i="11"/>
  <c r="I107" i="11" s="1"/>
  <c r="H107" i="11"/>
  <c r="K42" i="11"/>
  <c r="I42" i="11"/>
  <c r="I43" i="11" s="1"/>
  <c r="H43" i="11"/>
  <c r="K42" i="10"/>
  <c r="I42" i="10"/>
  <c r="I43" i="10" s="1"/>
  <c r="H43" i="10"/>
  <c r="K106" i="10"/>
  <c r="I106" i="10"/>
  <c r="I107" i="10" s="1"/>
  <c r="H107" i="10"/>
  <c r="K106" i="8"/>
  <c r="I106" i="8"/>
  <c r="I107" i="8" s="1"/>
  <c r="H107" i="8"/>
  <c r="K42" i="8"/>
  <c r="I42" i="8"/>
  <c r="I43" i="8" s="1"/>
  <c r="H43" i="8"/>
  <c r="K106" i="6"/>
  <c r="I106" i="6"/>
  <c r="I107" i="6" s="1"/>
  <c r="H107" i="6"/>
  <c r="K42" i="6"/>
  <c r="I42" i="6"/>
  <c r="I43" i="6" s="1"/>
  <c r="H43" i="6"/>
  <c r="K107" i="5"/>
  <c r="I107" i="5"/>
  <c r="I108" i="5" s="1"/>
  <c r="H108" i="5"/>
  <c r="I43" i="5"/>
  <c r="I44" i="5" s="1"/>
  <c r="K43" i="5"/>
  <c r="I117" i="3"/>
  <c r="I118" i="3" s="1"/>
  <c r="H118" i="3"/>
  <c r="L54" i="3"/>
  <c r="F16" i="3" s="1"/>
  <c r="F18" i="3"/>
  <c r="L42" i="13" l="1"/>
  <c r="K43" i="13"/>
  <c r="L44" i="13" s="1"/>
  <c r="F6" i="13" s="1"/>
  <c r="L109" i="13"/>
  <c r="E68" i="13" s="1"/>
  <c r="L107" i="13"/>
  <c r="E66" i="13" s="1"/>
  <c r="L106" i="12"/>
  <c r="K107" i="12"/>
  <c r="L108" i="12" s="1"/>
  <c r="E67" i="12" s="1"/>
  <c r="L42" i="12"/>
  <c r="K43" i="12"/>
  <c r="L44" i="12" s="1"/>
  <c r="F6" i="12" s="1"/>
  <c r="L42" i="11"/>
  <c r="K43" i="11"/>
  <c r="L44" i="11" s="1"/>
  <c r="F6" i="11" s="1"/>
  <c r="L106" i="11"/>
  <c r="K107" i="11"/>
  <c r="L108" i="11" s="1"/>
  <c r="E67" i="11" s="1"/>
  <c r="L106" i="10"/>
  <c r="K107" i="10"/>
  <c r="L108" i="10" s="1"/>
  <c r="E67" i="10" s="1"/>
  <c r="L42" i="10"/>
  <c r="K43" i="10"/>
  <c r="L44" i="10" s="1"/>
  <c r="F6" i="10" s="1"/>
  <c r="L42" i="8"/>
  <c r="K43" i="8"/>
  <c r="L44" i="8" s="1"/>
  <c r="F6" i="8" s="1"/>
  <c r="L106" i="8"/>
  <c r="K107" i="8"/>
  <c r="L108" i="8" s="1"/>
  <c r="E67" i="8" s="1"/>
  <c r="L42" i="6"/>
  <c r="K43" i="6"/>
  <c r="L44" i="6" s="1"/>
  <c r="F6" i="6" s="1"/>
  <c r="L106" i="6"/>
  <c r="K107" i="6"/>
  <c r="L108" i="6" s="1"/>
  <c r="E67" i="6" s="1"/>
  <c r="L43" i="5"/>
  <c r="K44" i="5"/>
  <c r="L45" i="5" s="1"/>
  <c r="F7" i="5" s="1"/>
  <c r="L107" i="5"/>
  <c r="K108" i="5"/>
  <c r="L109" i="5" s="1"/>
  <c r="E68" i="5" s="1"/>
  <c r="L117" i="3"/>
  <c r="L119" i="3"/>
  <c r="E78" i="3" s="1"/>
  <c r="L43" i="13" l="1"/>
  <c r="F5" i="13" s="1"/>
  <c r="L45" i="13"/>
  <c r="F7" i="13" s="1"/>
  <c r="L43" i="12"/>
  <c r="F5" i="12" s="1"/>
  <c r="L45" i="12"/>
  <c r="F7" i="12" s="1"/>
  <c r="L109" i="12"/>
  <c r="E68" i="12" s="1"/>
  <c r="L107" i="12"/>
  <c r="E66" i="12" s="1"/>
  <c r="L109" i="11"/>
  <c r="E68" i="11" s="1"/>
  <c r="L107" i="11"/>
  <c r="E66" i="11" s="1"/>
  <c r="L45" i="11"/>
  <c r="F7" i="11" s="1"/>
  <c r="L43" i="11"/>
  <c r="F5" i="11" s="1"/>
  <c r="L43" i="10"/>
  <c r="F5" i="10" s="1"/>
  <c r="L45" i="10"/>
  <c r="F7" i="10" s="1"/>
  <c r="L107" i="10"/>
  <c r="E66" i="10" s="1"/>
  <c r="L109" i="10"/>
  <c r="E68" i="10" s="1"/>
  <c r="L107" i="8"/>
  <c r="E66" i="8" s="1"/>
  <c r="L109" i="8"/>
  <c r="E68" i="8" s="1"/>
  <c r="L45" i="8"/>
  <c r="F7" i="8" s="1"/>
  <c r="L43" i="8"/>
  <c r="F5" i="8" s="1"/>
  <c r="L109" i="6"/>
  <c r="E68" i="6" s="1"/>
  <c r="L107" i="6"/>
  <c r="E66" i="6" s="1"/>
  <c r="F7" i="6"/>
  <c r="L43" i="6"/>
  <c r="F5" i="6" s="1"/>
  <c r="L110" i="5"/>
  <c r="E69" i="5" s="1"/>
  <c r="L108" i="5"/>
  <c r="E67" i="5" s="1"/>
  <c r="F6" i="5"/>
  <c r="L46" i="5"/>
  <c r="F8" i="5" s="1"/>
  <c r="L120" i="3"/>
  <c r="E79" i="3" s="1"/>
  <c r="L118" i="3"/>
  <c r="E77" i="3" s="1"/>
</calcChain>
</file>

<file path=xl/sharedStrings.xml><?xml version="1.0" encoding="utf-8"?>
<sst xmlns="http://schemas.openxmlformats.org/spreadsheetml/2006/main" count="994" uniqueCount="170">
  <si>
    <t>Inputs</t>
  </si>
  <si>
    <t>Lifetime</t>
  </si>
  <si>
    <t>Results</t>
  </si>
  <si>
    <t>Criterion</t>
  </si>
  <si>
    <t>Comment</t>
  </si>
  <si>
    <t xml:space="preserve">Annual increase in exposure and losses (assumed proportional to estimated population increases) </t>
  </si>
  <si>
    <t>NPV (billion)</t>
  </si>
  <si>
    <t>Discounted net benefits</t>
  </si>
  <si>
    <t>Costs of project (millions)</t>
  </si>
  <si>
    <t>B/C ratio</t>
  </si>
  <si>
    <t>Discounted benefits divided by discounted costs</t>
  </si>
  <si>
    <t>Estimated internal rate of returm</t>
  </si>
  <si>
    <t>Standardly calculated in excel</t>
  </si>
  <si>
    <t>Year</t>
  </si>
  <si>
    <t>Calendar Year</t>
  </si>
  <si>
    <t>Costs</t>
  </si>
  <si>
    <t>Net benefits: benefits-costs</t>
  </si>
  <si>
    <t>Discounted costs</t>
  </si>
  <si>
    <t xml:space="preserve">Discounted benefits </t>
  </si>
  <si>
    <t>Sum</t>
  </si>
  <si>
    <t>NPV</t>
  </si>
  <si>
    <t>Category</t>
  </si>
  <si>
    <t>Type</t>
  </si>
  <si>
    <t>Average Annual Losses Due to Flooding (2015)</t>
  </si>
  <si>
    <t>Average Annual Losses Due to Inundation (2015)</t>
  </si>
  <si>
    <t>Direct: Buildings</t>
  </si>
  <si>
    <t>Residential</t>
  </si>
  <si>
    <t>-</t>
  </si>
  <si>
    <t>Industrial</t>
  </si>
  <si>
    <t>Business</t>
  </si>
  <si>
    <t>Indoor Movable</t>
  </si>
  <si>
    <t>Public Utilities</t>
  </si>
  <si>
    <t>Indirect</t>
  </si>
  <si>
    <t>700 million USD investment in first year, then 2 million  maintenance over whole lifetime</t>
  </si>
  <si>
    <t>Total Flooding Losses</t>
  </si>
  <si>
    <t>Total Inundation Losses</t>
  </si>
  <si>
    <t>Total Losses (2015)</t>
  </si>
  <si>
    <t xml:space="preserve">Discount rate </t>
  </si>
  <si>
    <t>i.e. 47</t>
  </si>
  <si>
    <t>Expected avoided losses (Flooding) in first year after building project (million)</t>
  </si>
  <si>
    <t>Expected avoided losses (Inundation) in first year after building project (million)</t>
  </si>
  <si>
    <t>Flooding: 95%, and Inundation: 90%</t>
  </si>
  <si>
    <t>Benefits (Flooding)</t>
  </si>
  <si>
    <t>Benefits (Flooding) adjusted for efficiency</t>
  </si>
  <si>
    <t>Benefits (Inundation)</t>
  </si>
  <si>
    <t>Benefits (Inundation) adjusted for efficiency</t>
  </si>
  <si>
    <t>Total Benefits        Adjusted for Efficiences</t>
  </si>
  <si>
    <t>30 years</t>
  </si>
  <si>
    <t>500 million USD investment in first year, then 1 million  maintenance over whole lifetime</t>
  </si>
  <si>
    <r>
      <t xml:space="preserve">Flooding: </t>
    </r>
    <r>
      <rPr>
        <b/>
        <sz val="9"/>
        <rFont val="Georgia Pro"/>
        <family val="1"/>
      </rPr>
      <t>95%</t>
    </r>
    <r>
      <rPr>
        <sz val="9"/>
        <rFont val="Georgia Pro"/>
        <family val="1"/>
      </rPr>
      <t xml:space="preserve">, and Inundation: </t>
    </r>
    <r>
      <rPr>
        <b/>
        <sz val="9"/>
        <rFont val="Georgia Pro"/>
        <family val="1"/>
      </rPr>
      <t>90%</t>
    </r>
  </si>
  <si>
    <r>
      <rPr>
        <b/>
        <sz val="9"/>
        <rFont val="Georgia Pro"/>
        <family val="1"/>
      </rPr>
      <t>12%</t>
    </r>
    <r>
      <rPr>
        <sz val="9"/>
        <rFont val="Georgia Pro"/>
        <family val="1"/>
      </rPr>
      <t xml:space="preserve"> for the first 15 years, followed by </t>
    </r>
    <r>
      <rPr>
        <b/>
        <sz val="9"/>
        <rFont val="Georgia Pro"/>
        <family val="1"/>
      </rPr>
      <t>10%</t>
    </r>
    <r>
      <rPr>
        <sz val="9"/>
        <rFont val="Georgia Pro"/>
        <family val="1"/>
      </rPr>
      <t xml:space="preserve"> for the last 15 ears</t>
    </r>
  </si>
  <si>
    <t>Scenario 1</t>
  </si>
  <si>
    <t>Scenario 2</t>
  </si>
  <si>
    <t>Estimated internal rate of return</t>
  </si>
  <si>
    <t>DR</t>
  </si>
  <si>
    <t>2015-2030: 10%, and 2031-2045: 8%</t>
  </si>
  <si>
    <t>2015-2030: 12%, and 2031-2045: 10%</t>
  </si>
  <si>
    <r>
      <rPr>
        <b/>
        <sz val="9"/>
        <rFont val="Georgia Pro"/>
        <family val="1"/>
      </rPr>
      <t>10%</t>
    </r>
    <r>
      <rPr>
        <sz val="9"/>
        <rFont val="Georgia Pro"/>
        <family val="1"/>
      </rPr>
      <t xml:space="preserve"> for the first 15 years, followed by </t>
    </r>
    <r>
      <rPr>
        <b/>
        <sz val="9"/>
        <rFont val="Georgia Pro"/>
        <family val="1"/>
      </rPr>
      <t>8%</t>
    </r>
    <r>
      <rPr>
        <sz val="9"/>
        <rFont val="Georgia Pro"/>
        <family val="1"/>
      </rPr>
      <t xml:space="preserve"> for the last 15 years</t>
    </r>
  </si>
  <si>
    <r>
      <rPr>
        <b/>
        <sz val="9"/>
        <rFont val="Georgia Pro"/>
        <family val="1"/>
      </rPr>
      <t>12%</t>
    </r>
    <r>
      <rPr>
        <sz val="9"/>
        <rFont val="Georgia Pro"/>
        <family val="1"/>
      </rPr>
      <t xml:space="preserve"> for the first 15 years, followed by </t>
    </r>
    <r>
      <rPr>
        <b/>
        <sz val="9"/>
        <rFont val="Georgia Pro"/>
        <family val="1"/>
      </rPr>
      <t>10%</t>
    </r>
    <r>
      <rPr>
        <sz val="9"/>
        <rFont val="Georgia Pro"/>
        <family val="1"/>
      </rPr>
      <t xml:space="preserve"> for the last 15 years</t>
    </r>
  </si>
  <si>
    <t xml:space="preserve">NPV </t>
  </si>
  <si>
    <t>Effectiveness</t>
  </si>
  <si>
    <t>Benefits (Flooding) adjusted for Effectiveness</t>
  </si>
  <si>
    <t>Benefits (Inundation) adjusted for Effectiveness</t>
  </si>
  <si>
    <t>Total Benefits        Adjusted for Effectiveness</t>
  </si>
  <si>
    <t>Project Cost: 700 million USD investment in first year, then 2 million  maintenance over whole lifetime</t>
  </si>
  <si>
    <t>Project Cost: 500 million USD investment in first year, then 1 million  maintenance over whole lifetime</t>
  </si>
  <si>
    <t xml:space="preserve">Annual increase in exposure and land subsidence losses (assumed proportional to estimated population increases) </t>
  </si>
  <si>
    <t xml:space="preserve">Annual increase in exposure and  land subsidencelosses (assumed proportional to estimated population increases) </t>
  </si>
  <si>
    <t>Taking Asset Exposure growth rate as 0</t>
  </si>
  <si>
    <t>Taking  land subsidence loss growth rate as 0</t>
  </si>
  <si>
    <t xml:space="preserve">Asset Exposure Growth Rate </t>
  </si>
  <si>
    <t>Land Subsidence Loss Growth Rate</t>
  </si>
  <si>
    <t>Asset Exposure and Land Subsidence Loss Growth Rate</t>
  </si>
  <si>
    <t>Parameter</t>
  </si>
  <si>
    <t>Road Network</t>
  </si>
  <si>
    <t>Public Transport</t>
  </si>
  <si>
    <t>Metro Rail</t>
  </si>
  <si>
    <t>Initial Cost (Rs. lakh)</t>
  </si>
  <si>
    <t>Annual Maintenance (Rs. lakh)</t>
  </si>
  <si>
    <t>Construction Time (Years)</t>
  </si>
  <si>
    <t>Employment Created (Man-days)</t>
  </si>
  <si>
    <t>Time Saving per Year (Hours)</t>
  </si>
  <si>
    <t>CO2 Emissions per Year (tons)</t>
  </si>
  <si>
    <t>Sound Pollution</t>
  </si>
  <si>
    <t>Moderate</t>
  </si>
  <si>
    <t>Least</t>
  </si>
  <si>
    <t>Environmental Damage</t>
  </si>
  <si>
    <t>Extremely bad</t>
  </si>
  <si>
    <t>Discount Rate</t>
  </si>
  <si>
    <t>Cost per Hour Saved</t>
  </si>
  <si>
    <t>Cost per Ton of CO2 Reduced</t>
  </si>
  <si>
    <t>Discount Factor</t>
  </si>
  <si>
    <t>PV of Maintenance Cost</t>
  </si>
  <si>
    <t>Total</t>
  </si>
  <si>
    <t xml:space="preserve">Total Cost </t>
  </si>
  <si>
    <t>Summary</t>
  </si>
  <si>
    <t>New Roads</t>
  </si>
  <si>
    <r>
      <t>Infrastructure projects often are chosen on the basis of discount rates between 6-12%. Although that remains the standard range, when considering economic viablity with environmnetal management in focus, a lower discounted rate i.e.</t>
    </r>
    <r>
      <rPr>
        <b/>
        <sz val="10"/>
        <color rgb="FF000000"/>
        <rFont val="Georgia Pro"/>
        <family val="1"/>
      </rPr>
      <t xml:space="preserve"> 8%</t>
    </r>
    <r>
      <rPr>
        <sz val="10"/>
        <color rgb="FF000000"/>
        <rFont val="Georgia Pro"/>
        <family val="1"/>
      </rPr>
      <t xml:space="preserve"> is practiced by the Government of India.</t>
    </r>
  </si>
  <si>
    <t>(i) Cost Effectiveness Analysis</t>
  </si>
  <si>
    <t>Inference</t>
  </si>
  <si>
    <t>Summary and inferences</t>
  </si>
  <si>
    <t>The coloured boxes show the choice that is better in the particular parameter.</t>
  </si>
  <si>
    <t>Also, in the case of Sound Pollution and Environmental Damage, them being in atrributive format a general score range is given i.e. from 0-5, to make calculations easier.</t>
  </si>
  <si>
    <t>Moderate, 3</t>
  </si>
  <si>
    <t>Least, 1</t>
  </si>
  <si>
    <t>Extremely bad, 5</t>
  </si>
  <si>
    <t>Extremely Bad, 5</t>
  </si>
  <si>
    <t>Condition 1: More weightage to CO2 reduction</t>
  </si>
  <si>
    <t>Weights</t>
  </si>
  <si>
    <t>Condition 2: More weightage to the Initial costs</t>
  </si>
  <si>
    <t xml:space="preserve"> </t>
  </si>
  <si>
    <t>(ii) MULTI CRITERia Analysis</t>
  </si>
  <si>
    <t>W.R.T to CO2 reduction</t>
  </si>
  <si>
    <t>W.R.T to Initial Costs</t>
  </si>
  <si>
    <r>
      <t xml:space="preserve">Since the question requires me to choose the project that controls pollutions with acceptable costs, the percentage weightage will be given accordingly i.e. to </t>
    </r>
    <r>
      <rPr>
        <b/>
        <sz val="12"/>
        <color theme="1"/>
        <rFont val="Georgia Pro"/>
        <family val="1"/>
      </rPr>
      <t>CO2 Emissions</t>
    </r>
    <r>
      <rPr>
        <sz val="12"/>
        <color theme="1"/>
        <rFont val="Georgia Pro"/>
        <family val="1"/>
      </rPr>
      <t xml:space="preserve"> and </t>
    </r>
    <r>
      <rPr>
        <b/>
        <sz val="12"/>
        <color theme="1"/>
        <rFont val="Georgia Pro"/>
        <family val="1"/>
      </rPr>
      <t>Initial Costs</t>
    </r>
  </si>
  <si>
    <r>
      <t>The project is </t>
    </r>
    <r>
      <rPr>
        <sz val="12"/>
        <color theme="1"/>
        <rFont val="Georgia Pro"/>
        <family val="1"/>
      </rPr>
      <t>marginally viable</t>
    </r>
    <r>
      <rPr>
        <sz val="12"/>
        <color theme="1"/>
        <rFont val="Georgia Pro"/>
        <family val="1"/>
      </rPr>
      <t> under moderate discounting. Benefit-Cost ratio &gt;1 indicates benefits outweigh costs, but not by much. NPV is positive but not robust, and IRR barely exceeds discount rates, signaling modest economic return and risk from future uncertainty.</t>
    </r>
  </si>
  <si>
    <r>
      <t>Under higher discounting, future benefits are weighted less, yet NPV and BC Ratio increase due to discount structure. IRR only slightly improves. Indicates project feasibility </t>
    </r>
    <r>
      <rPr>
        <sz val="12"/>
        <color theme="1"/>
        <rFont val="Georgia Pro"/>
        <family val="1"/>
      </rPr>
      <t>improves with more front-loaded benefits</t>
    </r>
    <r>
      <rPr>
        <sz val="12"/>
        <color theme="1"/>
        <rFont val="Georgia Pro"/>
        <family val="1"/>
      </rPr>
      <t>, but remains only moderately attractive for public investment.</t>
    </r>
  </si>
  <si>
    <r>
      <rPr>
        <sz val="12"/>
        <color theme="1"/>
        <rFont val="Georgia Pro"/>
        <family val="1"/>
      </rPr>
      <t>When asset exposure is assumed </t>
    </r>
    <r>
      <rPr>
        <sz val="12"/>
        <color theme="1"/>
        <rFont val="Georgia Pro"/>
        <family val="1"/>
      </rPr>
      <t>not to grow</t>
    </r>
    <r>
      <rPr>
        <sz val="12"/>
        <color theme="1"/>
        <rFont val="Georgia Pro"/>
        <family val="1"/>
      </rPr>
      <t>, project benefits plummet, making economic justification weak. BC Ratio barely breaks even, NPV is barely positive, showing the project relies heavily on increasing future exposure (e.g., population or asset growth).</t>
    </r>
  </si>
  <si>
    <t>High sensitivity to growth assumptions: no growth leads to loss-making outcomes, BC &lt;1, negative NPV, negative IRR. The intervention cannot be economically justified unless future exposure increases.</t>
  </si>
  <si>
    <r>
      <rPr>
        <sz val="12"/>
        <color theme="1"/>
        <rFont val="Georgia Pro"/>
        <family val="1"/>
      </rPr>
      <t>Negligible land subsidence losses make the project </t>
    </r>
    <r>
      <rPr>
        <sz val="12"/>
        <color theme="1"/>
        <rFont val="Georgia Pro"/>
        <family val="1"/>
      </rPr>
      <t>barely viable</t>
    </r>
    <r>
      <rPr>
        <sz val="12"/>
        <color theme="1"/>
        <rFont val="Georgia Pro"/>
        <family val="1"/>
      </rPr>
      <t>. BC Ratio barely exceeds 1, NPV close to zero, indicating subsidence is a crucial component for project benefit flow.</t>
    </r>
  </si>
  <si>
    <r>
      <rPr>
        <sz val="12"/>
        <color theme="1"/>
        <rFont val="Georgia Pro"/>
        <family val="1"/>
      </rPr>
      <t>With neither asset exposure nor subsidence expected to grow, the intervention is </t>
    </r>
    <r>
      <rPr>
        <sz val="12"/>
        <color theme="1"/>
        <rFont val="Georgia Pro"/>
        <family val="1"/>
      </rPr>
      <t>uneconomical</t>
    </r>
    <r>
      <rPr>
        <sz val="12"/>
        <color theme="1"/>
        <rFont val="Georgia Pro"/>
        <family val="1"/>
      </rPr>
      <t>. Both metrics are negative or below break-even, signaling the project should not proceed under these assumptions.</t>
    </r>
  </si>
  <si>
    <r>
      <rPr>
        <sz val="12"/>
        <color theme="1"/>
        <rFont val="Georgia Pro"/>
        <family val="1"/>
      </rPr>
      <t>Lower capital and maintenance cost makes the project </t>
    </r>
    <r>
      <rPr>
        <sz val="12"/>
        <color theme="1"/>
        <rFont val="Georgia Pro"/>
        <family val="1"/>
      </rPr>
      <t>very attractive economically</t>
    </r>
    <r>
      <rPr>
        <sz val="12"/>
        <color theme="1"/>
        <rFont val="Georgia Pro"/>
        <family val="1"/>
      </rPr>
      <t>. BC ratio well above unity, NPV robust, IRR offers strong returns. Indicates significant leverage if upfront investment can be reduced.</t>
    </r>
  </si>
  <si>
    <r>
      <rPr>
        <sz val="12"/>
        <color theme="1"/>
        <rFont val="Georgia Pro"/>
        <family val="1"/>
      </rPr>
      <t>Still strongly positive; demonstrates cost minimization is the </t>
    </r>
    <r>
      <rPr>
        <sz val="12"/>
        <color theme="1"/>
        <rFont val="Georgia Pro"/>
        <family val="1"/>
      </rPr>
      <t>most powerful driver</t>
    </r>
    <r>
      <rPr>
        <sz val="12"/>
        <color theme="1"/>
        <rFont val="Georgia Pro"/>
        <family val="1"/>
      </rPr>
      <t> toward economic viability.</t>
    </r>
  </si>
  <si>
    <t>Project remains attractive at reduced cost even with no exposure growth. Indicates risk buffering effect through cost control.</t>
  </si>
  <si>
    <t>Still viable, but advantage largely explained by lower upfront investment.</t>
  </si>
  <si>
    <t>Economic case remains positive but strongly tied to reduced costs.</t>
  </si>
  <si>
    <t>Low cost makes up for reduced benefit; robust under conservative loss assumptions.</t>
  </si>
  <si>
    <t>Even with static risk, project is marginally attractive at lower cost.</t>
  </si>
  <si>
    <r>
      <rPr>
        <sz val="12"/>
        <color theme="1"/>
        <rFont val="Georgia Pro"/>
        <family val="1"/>
      </rPr>
      <t>Viability uncertain; </t>
    </r>
    <r>
      <rPr>
        <sz val="12"/>
        <color theme="1"/>
        <rFont val="Georgia Pro"/>
        <family val="1"/>
      </rPr>
      <t>strongly caution against overestimating benefit without growth</t>
    </r>
    <r>
      <rPr>
        <sz val="12"/>
        <color theme="1"/>
        <rFont val="Georgia Pro"/>
        <family val="1"/>
      </rPr>
      <t>.</t>
    </r>
  </si>
  <si>
    <t>Sensitivity Analysis</t>
  </si>
  <si>
    <t>700 million initial cost, 2 million annual maintenance</t>
  </si>
  <si>
    <t>500 million initial cost, 1 million annual maintenance</t>
  </si>
  <si>
    <t>Lower project cost substantially boosts NPV and benefit-cost performance, especially at lower discount rates.</t>
  </si>
  <si>
    <t>NPV drops substantially, BC ratio drops below unity, IRR close to zero or negative at higher rates.</t>
  </si>
  <si>
    <t>NPV is lowest, BC ratios fall towards 1, IRR often close to zero.</t>
  </si>
  <si>
    <t>NPV turns negative under some scenarios, especially at higher interest rates and higher costs.</t>
  </si>
  <si>
    <r>
      <t>(10%, 8%)</t>
    </r>
    <r>
      <rPr>
        <sz val="12"/>
        <color theme="1"/>
        <rFont val="Georgia"/>
        <family val="1"/>
      </rPr>
      <t> vs </t>
    </r>
    <r>
      <rPr>
        <sz val="12"/>
        <color theme="1"/>
        <rFont val="Georgia"/>
        <family val="1"/>
      </rPr>
      <t>(12%, 10%)</t>
    </r>
    <r>
      <rPr>
        <sz val="12"/>
        <color theme="1"/>
        <rFont val="Georgia"/>
        <family val="1"/>
      </rPr>
      <t> (for years 1–15 and 16–30)</t>
    </r>
  </si>
  <si>
    <r>
      <t>10%/8% Rate:</t>
    </r>
    <r>
      <rPr>
        <sz val="12"/>
        <color theme="1"/>
        <rFont val="Georgia"/>
        <family val="1"/>
      </rPr>
      <t> Lower rate increases present value of future benefits/costs, tends to yield </t>
    </r>
    <r>
      <rPr>
        <sz val="12"/>
        <color theme="1"/>
        <rFont val="Georgia"/>
        <family val="1"/>
      </rPr>
      <t>higher NPV, BC ratios</t>
    </r>
    <r>
      <rPr>
        <sz val="12"/>
        <color theme="1"/>
        <rFont val="Georgia"/>
        <family val="1"/>
      </rPr>
      <t>, and IRR, but is more optimistic about feasibility.</t>
    </r>
  </si>
  <si>
    <r>
      <t>12%/10% Rate:</t>
    </r>
    <r>
      <rPr>
        <sz val="12"/>
        <color theme="1"/>
        <rFont val="Georgia"/>
        <family val="1"/>
      </rPr>
      <t> Higher rate penalizes delayed benefits, yielding </t>
    </r>
    <r>
      <rPr>
        <sz val="12"/>
        <color theme="1"/>
        <rFont val="Georgia"/>
        <family val="1"/>
      </rPr>
      <t>lower NPV, BC ratios</t>
    </r>
    <r>
      <rPr>
        <sz val="12"/>
        <color theme="1"/>
        <rFont val="Georgia"/>
        <family val="1"/>
      </rPr>
      <t>, and IRR.</t>
    </r>
  </si>
  <si>
    <r>
      <t>Asset Exposure Growth Rate = 0:</t>
    </r>
    <r>
      <rPr>
        <sz val="12"/>
        <color theme="1"/>
        <rFont val="Georgia"/>
        <family val="1"/>
      </rPr>
      <t> This assumes no annual increase in risk/exposure due to population or asset values.</t>
    </r>
  </si>
  <si>
    <r>
      <t>Land Subsidence Loss Rate = 0:</t>
    </r>
    <r>
      <rPr>
        <sz val="12"/>
        <color theme="1"/>
        <rFont val="Georgia"/>
        <family val="1"/>
      </rPr>
      <t> No increase in losses from land subsidence.</t>
    </r>
  </si>
  <si>
    <r>
      <t>Both Rates Zero:</t>
    </r>
    <r>
      <rPr>
        <sz val="12"/>
        <color theme="1"/>
        <rFont val="Georgia"/>
        <family val="1"/>
      </rPr>
      <t> Most conservative; confirms that projected benefits (avoided losses) are highly sensitive to these assumptions.</t>
    </r>
  </si>
  <si>
    <t>Applied to two project cost options:</t>
  </si>
  <si>
    <t>(ii) Sensitivity to Growth Rates</t>
  </si>
  <si>
    <t>(i) Discount Rate Sensitivity</t>
  </si>
  <si>
    <t>Two discount rate pairs</t>
  </si>
  <si>
    <t>Only undertake the project if you can justify projecting growth in exposure/losses.</t>
  </si>
  <si>
    <t> If land subsidence is not a factor, the project is less attractive economically.</t>
  </si>
  <si>
    <t>Projects are marginal unless growth in assets boosts future benefits.</t>
  </si>
  <si>
    <t>Most cost-effective for time savings, but not the best for emissions. Balances infrastructure cost and travel time, but likely enables/higher emissions versus other options. Suited if timesaving is priority and climate cost is less weight.</t>
  </si>
  <si>
    <t>Nearly as cheap as New Roads, but less cost-effective per hour saved, and also for emissions. Represents a balance between cost, timesaving, and environmental performance. Best for limited budgets with multi-dimensional priorities.</t>
  </si>
  <si>
    <t>Very expensive upfront and per ton CO2, matched cost per time to Public Transport, but least cost-efficient per ton CO2 reduced (unexpected, possibly due to high capex amortized over limited emissions savings). Not optimal purely on cost or emissions; compelling only when integrating co-benefits (urban renewal, longer-term modal shift, jobs).</t>
  </si>
  <si>
    <t xml:space="preserve">Standardized </t>
  </si>
  <si>
    <t xml:space="preserve">Weighted </t>
  </si>
  <si>
    <r>
      <t xml:space="preserve">Over long time horizons, future social rates of time preference and economic growth are highly uncertain. Using a high constant rate (e.g., 10-12%) heavily diminishes the value of long-term benefits, biasing against projects with lasting, intergenerational impact. A lower discount rate in later years (declining over time) gives greater weight to benefits/output accruing to future generations, which is especially important for climate and sustainability investments.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Georgia"/>
        <family val="1"/>
      </rPr>
      <t>(10%, 8%)</t>
    </r>
    <r>
      <rPr>
        <sz val="12"/>
        <color theme="1"/>
        <rFont val="Georgia"/>
        <family val="1"/>
      </rPr>
      <t xml:space="preserve"> and </t>
    </r>
    <r>
      <rPr>
        <b/>
        <sz val="12"/>
        <color theme="1"/>
        <rFont val="Georgia"/>
        <family val="1"/>
      </rPr>
      <t>(12%, 10%)</t>
    </r>
    <r>
      <rPr>
        <sz val="12"/>
        <color theme="1"/>
        <rFont val="Georgia"/>
        <family val="1"/>
      </rPr>
      <t xml:space="preserve"> serve as reasonable, policy-relevant choices:
(i) </t>
    </r>
    <r>
      <rPr>
        <b/>
        <sz val="12"/>
        <color theme="1"/>
        <rFont val="Georgia"/>
        <family val="1"/>
      </rPr>
      <t xml:space="preserve">Higher rates (12%, 10%) </t>
    </r>
    <r>
      <rPr>
        <sz val="12"/>
        <color theme="1"/>
        <rFont val="Georgia"/>
        <family val="1"/>
      </rPr>
      <t xml:space="preserve">reflect scenarios of greater risk, capital scarcity, or market volatility, discounting future outcomes more sharply.
(ii) </t>
    </r>
    <r>
      <rPr>
        <b/>
        <sz val="12"/>
        <color theme="1"/>
        <rFont val="Georgia"/>
        <family val="1"/>
      </rPr>
      <t xml:space="preserve">Lower/declining rates (10%, 8%) </t>
    </r>
    <r>
      <rPr>
        <sz val="12"/>
        <color theme="1"/>
        <rFont val="Georgia"/>
        <family val="1"/>
      </rPr>
      <t xml:space="preserve">reflect society’s increasing willingness to value future generations’ benefits, or anticipated reductions in capital opportunity cost.                             This </t>
    </r>
    <r>
      <rPr>
        <b/>
        <i/>
        <sz val="12"/>
        <color theme="1"/>
        <rFont val="Georgia"/>
        <family val="1"/>
      </rPr>
      <t>dual-rate framework</t>
    </r>
    <r>
      <rPr>
        <sz val="12"/>
        <color theme="1"/>
        <rFont val="Georgia"/>
        <family val="1"/>
      </rPr>
      <t xml:space="preserve"> reveals whether the project is only viable under optimistic (l</t>
    </r>
    <r>
      <rPr>
        <i/>
        <sz val="12"/>
        <color theme="1"/>
        <rFont val="Georgia"/>
        <family val="1"/>
      </rPr>
      <t>ower discount, high value for the far future</t>
    </r>
    <r>
      <rPr>
        <sz val="12"/>
        <color theme="1"/>
        <rFont val="Georgia"/>
        <family val="1"/>
      </rPr>
      <t xml:space="preserve">) or still robust if </t>
    </r>
    <r>
      <rPr>
        <i/>
        <sz val="12"/>
        <color theme="1"/>
        <rFont val="Georgia"/>
        <family val="1"/>
      </rPr>
      <t>society discounts the future more</t>
    </r>
    <r>
      <rPr>
        <sz val="12"/>
        <color theme="1"/>
        <rFont val="Georgia"/>
        <family val="1"/>
      </rPr>
      <t xml:space="preserve"> (higher rates). It prevents over-reliance on </t>
    </r>
    <r>
      <rPr>
        <b/>
        <sz val="12"/>
        <color theme="1"/>
        <rFont val="Georgia"/>
        <family val="1"/>
      </rPr>
      <t>arbitrary single-point assumptions</t>
    </r>
    <r>
      <rPr>
        <sz val="12"/>
        <color theme="1"/>
        <rFont val="Georgia"/>
        <family val="1"/>
      </rPr>
      <t>.</t>
    </r>
  </si>
  <si>
    <t>Option</t>
  </si>
  <si>
    <t>Weighted Score</t>
  </si>
  <si>
    <t>Ranking</t>
  </si>
  <si>
    <t>Outperforms due to best CO₂ emissions, highest time savings, and maximum employment, despite higher cost. Dominates since environmental factors have the highest policy weight; high cost and long construction are compensated by sustainability gains.</t>
  </si>
  <si>
    <t>Balanced performance: moderate emissions, lowest cost, moderate time savings. Quick to build, so a logical second-best when climate is prioritized but budget remains a concern.</t>
  </si>
  <si>
    <t>Least preferred: although cost and time savings are competitive, “extremely bad” environmental damage and worst emissions performance push it to the bottom when climate targets dominate.</t>
  </si>
  <si>
    <t>Still leads due to exceptional scores for time saving, job creation, and lowest emissions. While costly, its substantial co-benefits ensure it remains top even as initial cost is emphasized.</t>
  </si>
  <si>
    <t>Performs well in absolute cost and time savings, and gets a boost under cost-focused weighting, but is penalized by poor sustainability scores. It becomes more competitive where urgent/cheap capacity is the overriding aim.</t>
  </si>
  <si>
    <t>Drops to last—while cheap and quick to build, it lacks top scores in either environmental or social impact, so is overtaken by the other two when high-performance in some metric is a must.</t>
  </si>
  <si>
    <t>Metro Rail &gt; Public Transport &gt;New Roads</t>
  </si>
  <si>
    <r>
      <t>Metro Rail</t>
    </r>
    <r>
      <rPr>
        <sz val="12"/>
        <color theme="1"/>
        <rFont val="Georgia Pro"/>
        <family val="1"/>
      </rPr>
      <t> shows </t>
    </r>
    <r>
      <rPr>
        <sz val="12"/>
        <color theme="1"/>
        <rFont val="Georgia Pro"/>
        <family val="1"/>
      </rPr>
      <t>consistently top rankings across urban priorities</t>
    </r>
    <r>
      <rPr>
        <sz val="12"/>
        <color theme="1"/>
        <rFont val="Georgia Pro"/>
        <family val="1"/>
      </rPr>
      <t>—when environmental, time, and social benefits are duly valued and weighted. The only real constraint is upfront fiscal burden, which is offset when policy aims are long term.</t>
    </r>
  </si>
  <si>
    <r>
      <t>Public Transport</t>
    </r>
    <r>
      <rPr>
        <sz val="12"/>
        <color theme="1"/>
        <rFont val="Georgia Pro"/>
        <family val="1"/>
      </rPr>
      <t> excels as a low-cost, well-balanced choice but is best when moderate trade-offs are acceptable.</t>
    </r>
  </si>
  <si>
    <r>
      <t>New Roads</t>
    </r>
    <r>
      <rPr>
        <sz val="12"/>
        <color theme="1"/>
        <rFont val="Georgia Pro"/>
        <family val="1"/>
      </rPr>
      <t> are only competitive if environmental impacts are given little weight; otherwise, their long-term sustainability profile is weak.</t>
    </r>
  </si>
  <si>
    <t>With neither asset exposure nor subsidence expected to grow, the intervention is uneconomical. Both metrics are negative or below break-even, signaling the project should not proceed under these assumptions. The changed DR makes the project seem even more inviable.</t>
  </si>
  <si>
    <t>Higher discount rate reduces present value (negative), but slightly boosts BC ratio due to discounting future smaller costs. Still, viability is weak unless subsidence losses are projected.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</si>
</sst>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0.0"/>
    <numFmt numFmtId="166" formatCode="0.000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name val="Georgia Pro"/>
      <family val="1"/>
    </font>
    <font>
      <sz val="9"/>
      <name val="Georgia Pro"/>
      <family val="1"/>
    </font>
    <font>
      <b/>
      <i/>
      <sz val="9"/>
      <name val="Georgia Pro"/>
      <family val="1"/>
    </font>
    <font>
      <i/>
      <sz val="11"/>
      <color theme="1"/>
      <name val="Aptos Narrow"/>
      <family val="2"/>
      <scheme val="minor"/>
    </font>
    <font>
      <sz val="11"/>
      <color theme="1"/>
      <name val="Georgia Pro"/>
      <family val="1"/>
    </font>
    <font>
      <b/>
      <sz val="11"/>
      <color theme="1"/>
      <name val="Georgia Pro"/>
      <family val="1"/>
    </font>
    <font>
      <sz val="9"/>
      <color theme="1"/>
      <name val="Georgia Pro"/>
      <family val="1"/>
    </font>
    <font>
      <b/>
      <sz val="9"/>
      <color theme="1"/>
      <name val="Georgia Pro"/>
      <family val="1"/>
    </font>
    <font>
      <b/>
      <u/>
      <sz val="11"/>
      <name val="Georgia Pro"/>
      <family val="1"/>
    </font>
    <font>
      <sz val="10"/>
      <color theme="1"/>
      <name val="Segoe U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Georgia Pro"/>
      <family val="1"/>
    </font>
    <font>
      <sz val="10"/>
      <color rgb="FF000000"/>
      <name val="Georgia Pro"/>
      <family val="1"/>
    </font>
    <font>
      <sz val="10"/>
      <color theme="1"/>
      <name val="Georgia Pro"/>
      <family val="1"/>
    </font>
    <font>
      <b/>
      <sz val="10"/>
      <color theme="1"/>
      <name val="Georgia Pro"/>
      <family val="1"/>
    </font>
    <font>
      <b/>
      <sz val="14"/>
      <color theme="1"/>
      <name val="Georgia Pro"/>
      <family val="1"/>
    </font>
    <font>
      <b/>
      <sz val="11"/>
      <color rgb="FF000000"/>
      <name val="Georgia Pro"/>
      <family val="1"/>
    </font>
    <font>
      <sz val="11"/>
      <color rgb="FF000000"/>
      <name val="Georgia Pro"/>
      <family val="1"/>
    </font>
    <font>
      <sz val="12"/>
      <color theme="1"/>
      <name val="Georgia Pro"/>
      <family val="1"/>
    </font>
    <font>
      <b/>
      <sz val="12"/>
      <color theme="1"/>
      <name val="Georgia Pro"/>
      <family val="1"/>
    </font>
    <font>
      <b/>
      <u/>
      <sz val="18"/>
      <color theme="1"/>
      <name val="Felix Titling"/>
      <family val="5"/>
    </font>
    <font>
      <b/>
      <sz val="12"/>
      <color rgb="FF000000"/>
      <name val="Georgia Pro"/>
      <family val="1"/>
    </font>
    <font>
      <b/>
      <u/>
      <sz val="12"/>
      <color theme="1"/>
      <name val="Georgia Pro"/>
      <family val="1"/>
    </font>
    <font>
      <sz val="12"/>
      <color rgb="FF000000"/>
      <name val="Georgia Pro"/>
      <family val="1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Georgia Pro"/>
      <family val="1"/>
    </font>
    <font>
      <b/>
      <i/>
      <sz val="12"/>
      <color theme="1"/>
      <name val="Georgia Pro"/>
      <family val="1"/>
    </font>
    <font>
      <i/>
      <sz val="12"/>
      <color theme="1"/>
      <name val="Georgia Pro"/>
      <family val="1"/>
    </font>
    <font>
      <b/>
      <u/>
      <sz val="14"/>
      <color theme="1"/>
      <name val="Georgia Pro"/>
      <family val="1"/>
    </font>
    <font>
      <b/>
      <u/>
      <sz val="14"/>
      <color theme="1"/>
      <name val="Georgia"/>
      <family val="1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b/>
      <i/>
      <sz val="12"/>
      <color theme="1"/>
      <name val="Georgia"/>
      <family val="1"/>
    </font>
    <font>
      <sz val="12"/>
      <color theme="1"/>
      <name val="Georgia"/>
      <family val="1"/>
    </font>
    <font>
      <i/>
      <sz val="12"/>
      <color theme="1"/>
      <name val="Georgia"/>
      <family val="1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12"/>
      <color theme="1"/>
      <name val="Georgia Pro"/>
      <family val="1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CD2"/>
        <bgColor rgb="FFDCECD2"/>
      </patternFill>
    </fill>
    <fill>
      <patternFill patternType="solid">
        <fgColor rgb="FFC5E7F4"/>
        <bgColor rgb="FFC5E7F4"/>
      </patternFill>
    </fill>
    <fill>
      <patternFill patternType="solid">
        <fgColor rgb="FFB7E1CD"/>
        <bgColor rgb="FFB7E1CD"/>
      </patternFill>
    </fill>
    <fill>
      <patternFill patternType="solid">
        <fgColor theme="5" tint="0.79998168889431442"/>
        <bgColor rgb="FFFFF0C1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BAD8A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rgb="FFB7E1CD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rgb="FFB7E1CD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59">
    <xf numFmtId="0" fontId="0" fillId="0" borderId="0" xfId="0"/>
    <xf numFmtId="0" fontId="3" fillId="5" borderId="3" xfId="3" applyFont="1" applyFill="1" applyBorder="1"/>
    <xf numFmtId="0" fontId="5" fillId="4" borderId="3" xfId="3" applyFont="1" applyFill="1" applyBorder="1"/>
    <xf numFmtId="0" fontId="6" fillId="5" borderId="3" xfId="3" applyFont="1" applyFill="1" applyBorder="1"/>
    <xf numFmtId="0" fontId="6" fillId="4" borderId="3" xfId="3" applyFont="1" applyFill="1" applyBorder="1"/>
    <xf numFmtId="0" fontId="9" fillId="0" borderId="0" xfId="0" applyFont="1"/>
    <xf numFmtId="0" fontId="9" fillId="0" borderId="0" xfId="0" applyFont="1" applyAlignment="1">
      <alignment vertical="top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164" fontId="9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9" fontId="9" fillId="0" borderId="1" xfId="2" applyFont="1" applyBorder="1" applyAlignment="1">
      <alignment horizontal="center"/>
    </xf>
    <xf numFmtId="165" fontId="9" fillId="0" borderId="0" xfId="0" applyNumberFormat="1" applyFont="1"/>
    <xf numFmtId="165" fontId="9" fillId="0" borderId="0" xfId="1" applyNumberFormat="1" applyFont="1" applyAlignment="1"/>
    <xf numFmtId="9" fontId="8" fillId="0" borderId="0" xfId="0" applyNumberFormat="1" applyFont="1"/>
    <xf numFmtId="0" fontId="9" fillId="0" borderId="0" xfId="0" applyFont="1" applyAlignment="1">
      <alignment horizontal="center" vertical="center"/>
    </xf>
    <xf numFmtId="1" fontId="9" fillId="0" borderId="0" xfId="0" applyNumberFormat="1" applyFont="1"/>
    <xf numFmtId="1" fontId="8" fillId="0" borderId="1" xfId="0" applyNumberFormat="1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164" fontId="9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horizontal="center" wrapText="1"/>
    </xf>
    <xf numFmtId="9" fontId="9" fillId="0" borderId="1" xfId="2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9" fontId="9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5" fillId="4" borderId="3" xfId="3" applyFont="1" applyFill="1" applyBorder="1" applyAlignment="1">
      <alignment horizontal="center"/>
    </xf>
    <xf numFmtId="0" fontId="3" fillId="8" borderId="3" xfId="3" applyFont="1" applyFill="1" applyBorder="1" applyAlignment="1">
      <alignment horizontal="center"/>
    </xf>
    <xf numFmtId="0" fontId="3" fillId="8" borderId="3" xfId="3" applyFont="1" applyFill="1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4" borderId="0" xfId="3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" fontId="14" fillId="0" borderId="1" xfId="0" applyNumberFormat="1" applyFont="1" applyBorder="1"/>
    <xf numFmtId="1" fontId="15" fillId="0" borderId="1" xfId="0" applyNumberFormat="1" applyFont="1" applyBorder="1"/>
    <xf numFmtId="1" fontId="8" fillId="0" borderId="2" xfId="0" applyNumberFormat="1" applyFont="1" applyBorder="1" applyAlignment="1">
      <alignment horizontal="center"/>
    </xf>
    <xf numFmtId="0" fontId="0" fillId="0" borderId="1" xfId="0" applyBorder="1"/>
    <xf numFmtId="0" fontId="16" fillId="3" borderId="0" xfId="0" applyFont="1" applyFill="1" applyAlignment="1">
      <alignment horizontal="center"/>
    </xf>
    <xf numFmtId="2" fontId="9" fillId="0" borderId="1" xfId="0" applyNumberFormat="1" applyFont="1" applyBorder="1" applyAlignment="1">
      <alignment horizontal="center" wrapText="1"/>
    </xf>
    <xf numFmtId="0" fontId="3" fillId="8" borderId="6" xfId="3" applyFont="1" applyFill="1" applyBorder="1" applyAlignment="1">
      <alignment horizontal="center" wrapText="1"/>
    </xf>
    <xf numFmtId="0" fontId="5" fillId="4" borderId="6" xfId="3" applyFont="1" applyFill="1" applyBorder="1" applyAlignment="1">
      <alignment horizontal="center"/>
    </xf>
    <xf numFmtId="0" fontId="3" fillId="8" borderId="1" xfId="3" applyFont="1" applyFill="1" applyBorder="1" applyAlignment="1">
      <alignment horizontal="center"/>
    </xf>
    <xf numFmtId="0" fontId="3" fillId="8" borderId="1" xfId="3" applyFont="1" applyFill="1" applyBorder="1" applyAlignment="1">
      <alignment wrapText="1"/>
    </xf>
    <xf numFmtId="0" fontId="3" fillId="8" borderId="1" xfId="3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4" borderId="7" xfId="3" applyFont="1" applyFill="1" applyBorder="1" applyAlignment="1">
      <alignment horizontal="center"/>
    </xf>
    <xf numFmtId="0" fontId="5" fillId="4" borderId="1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/>
    </xf>
    <xf numFmtId="0" fontId="8" fillId="3" borderId="0" xfId="0" applyFont="1" applyFill="1" applyAlignment="1">
      <alignment wrapText="1"/>
    </xf>
    <xf numFmtId="0" fontId="8" fillId="3" borderId="0" xfId="0" applyFont="1" applyFill="1"/>
    <xf numFmtId="1" fontId="0" fillId="0" borderId="0" xfId="0" applyNumberFormat="1"/>
    <xf numFmtId="0" fontId="22" fillId="4" borderId="3" xfId="3" applyFont="1" applyFill="1" applyBorder="1" applyAlignment="1">
      <alignment horizontal="center" vertical="center" wrapText="1"/>
    </xf>
    <xf numFmtId="3" fontId="22" fillId="4" borderId="3" xfId="3" applyNumberFormat="1" applyFont="1" applyFill="1" applyBorder="1" applyAlignment="1">
      <alignment horizontal="center" vertical="center" wrapText="1"/>
    </xf>
    <xf numFmtId="0" fontId="23" fillId="0" borderId="0" xfId="3" applyFont="1"/>
    <xf numFmtId="0" fontId="29" fillId="15" borderId="19" xfId="0" applyFont="1" applyFill="1" applyBorder="1" applyAlignment="1">
      <alignment horizontal="center" vertical="center" wrapText="1"/>
    </xf>
    <xf numFmtId="0" fontId="29" fillId="15" borderId="22" xfId="0" applyFont="1" applyFill="1" applyBorder="1" applyAlignment="1">
      <alignment horizontal="center" vertical="center" wrapText="1"/>
    </xf>
    <xf numFmtId="2" fontId="28" fillId="0" borderId="22" xfId="0" applyNumberFormat="1" applyFont="1" applyBorder="1" applyAlignment="1">
      <alignment horizontal="center" vertical="center" wrapText="1"/>
    </xf>
    <xf numFmtId="166" fontId="28" fillId="0" borderId="19" xfId="0" applyNumberFormat="1" applyFont="1" applyBorder="1" applyAlignment="1">
      <alignment horizontal="center" vertical="center" wrapText="1"/>
    </xf>
    <xf numFmtId="166" fontId="28" fillId="0" borderId="22" xfId="0" applyNumberFormat="1" applyFont="1" applyBorder="1" applyAlignment="1">
      <alignment horizontal="center" vertical="center" wrapText="1"/>
    </xf>
    <xf numFmtId="0" fontId="26" fillId="11" borderId="30" xfId="3" applyFont="1" applyFill="1" applyBorder="1" applyAlignment="1">
      <alignment horizontal="center" wrapText="1"/>
    </xf>
    <xf numFmtId="0" fontId="26" fillId="11" borderId="22" xfId="3" applyFont="1" applyFill="1" applyBorder="1" applyAlignment="1">
      <alignment horizontal="center" wrapText="1"/>
    </xf>
    <xf numFmtId="0" fontId="13" fillId="11" borderId="22" xfId="3" applyFont="1" applyFill="1" applyBorder="1" applyAlignment="1">
      <alignment horizontal="center" wrapText="1"/>
    </xf>
    <xf numFmtId="9" fontId="24" fillId="0" borderId="22" xfId="3" applyNumberFormat="1" applyFont="1" applyBorder="1"/>
    <xf numFmtId="0" fontId="13" fillId="0" borderId="22" xfId="0" applyFont="1" applyBorder="1"/>
    <xf numFmtId="0" fontId="24" fillId="14" borderId="19" xfId="3" applyFont="1" applyFill="1" applyBorder="1"/>
    <xf numFmtId="0" fontId="24" fillId="14" borderId="9" xfId="3" applyFont="1" applyFill="1" applyBorder="1"/>
    <xf numFmtId="0" fontId="12" fillId="3" borderId="0" xfId="0" applyFont="1" applyFill="1"/>
    <xf numFmtId="0" fontId="0" fillId="3" borderId="0" xfId="0" applyFill="1"/>
    <xf numFmtId="9" fontId="5" fillId="3" borderId="0" xfId="3" applyNumberFormat="1" applyFont="1" applyFill="1" applyAlignment="1">
      <alignment wrapText="1"/>
    </xf>
    <xf numFmtId="0" fontId="26" fillId="3" borderId="0" xfId="3" applyFont="1" applyFill="1" applyAlignment="1">
      <alignment wrapText="1"/>
    </xf>
    <xf numFmtId="9" fontId="22" fillId="3" borderId="0" xfId="3" applyNumberFormat="1" applyFont="1" applyFill="1" applyAlignment="1">
      <alignment wrapText="1"/>
    </xf>
    <xf numFmtId="0" fontId="19" fillId="3" borderId="0" xfId="0" applyFont="1" applyFill="1" applyAlignment="1">
      <alignment vertical="center"/>
    </xf>
    <xf numFmtId="0" fontId="19" fillId="3" borderId="0" xfId="0" applyFont="1" applyFill="1"/>
    <xf numFmtId="0" fontId="18" fillId="3" borderId="0" xfId="0" applyFont="1" applyFill="1"/>
    <xf numFmtId="0" fontId="3" fillId="3" borderId="0" xfId="0" applyFont="1" applyFill="1" applyAlignment="1">
      <alignment horizontal="center"/>
    </xf>
    <xf numFmtId="166" fontId="18" fillId="3" borderId="0" xfId="0" applyNumberFormat="1" applyFont="1" applyFill="1"/>
    <xf numFmtId="0" fontId="18" fillId="3" borderId="0" xfId="0" applyFont="1" applyFill="1" applyAlignment="1">
      <alignment wrapText="1"/>
    </xf>
    <xf numFmtId="0" fontId="18" fillId="3" borderId="0" xfId="0" applyFont="1" applyFill="1" applyAlignment="1">
      <alignment horizontal="left" wrapText="1"/>
    </xf>
    <xf numFmtId="0" fontId="2" fillId="3" borderId="0" xfId="3" applyFill="1"/>
    <xf numFmtId="9" fontId="23" fillId="3" borderId="0" xfId="3" applyNumberFormat="1" applyFont="1" applyFill="1"/>
    <xf numFmtId="0" fontId="7" fillId="3" borderId="0" xfId="3" applyFont="1" applyFill="1"/>
    <xf numFmtId="9" fontId="7" fillId="3" borderId="0" xfId="3" applyNumberFormat="1" applyFont="1" applyFill="1"/>
    <xf numFmtId="0" fontId="3" fillId="3" borderId="0" xfId="3" applyFont="1" applyFill="1" applyAlignment="1">
      <alignment wrapText="1"/>
    </xf>
    <xf numFmtId="0" fontId="6" fillId="3" borderId="0" xfId="3" applyFont="1" applyFill="1" applyAlignment="1">
      <alignment wrapText="1"/>
    </xf>
    <xf numFmtId="0" fontId="5" fillId="3" borderId="0" xfId="3" applyFont="1" applyFill="1" applyAlignment="1">
      <alignment wrapText="1"/>
    </xf>
    <xf numFmtId="0" fontId="4" fillId="3" borderId="0" xfId="3" applyFont="1" applyFill="1" applyAlignment="1">
      <alignment wrapText="1"/>
    </xf>
    <xf numFmtId="9" fontId="4" fillId="3" borderId="0" xfId="3" applyNumberFormat="1" applyFont="1" applyFill="1" applyAlignment="1">
      <alignment wrapText="1"/>
    </xf>
    <xf numFmtId="0" fontId="20" fillId="3" borderId="0" xfId="0" applyFont="1" applyFill="1"/>
    <xf numFmtId="0" fontId="24" fillId="3" borderId="0" xfId="3" applyFont="1" applyFill="1"/>
    <xf numFmtId="0" fontId="24" fillId="3" borderId="0" xfId="0" applyFont="1" applyFill="1" applyAlignment="1">
      <alignment wrapText="1"/>
    </xf>
    <xf numFmtId="10" fontId="22" fillId="3" borderId="0" xfId="2" applyNumberFormat="1" applyFont="1" applyFill="1" applyBorder="1" applyAlignment="1">
      <alignment wrapText="1"/>
    </xf>
    <xf numFmtId="0" fontId="22" fillId="3" borderId="14" xfId="3" applyFont="1" applyFill="1" applyBorder="1" applyAlignment="1">
      <alignment horizontal="center" wrapText="1"/>
    </xf>
    <xf numFmtId="2" fontId="22" fillId="3" borderId="8" xfId="3" applyNumberFormat="1" applyFont="1" applyFill="1" applyBorder="1" applyAlignment="1">
      <alignment horizontal="center" wrapText="1"/>
    </xf>
    <xf numFmtId="2" fontId="22" fillId="3" borderId="34" xfId="3" applyNumberFormat="1" applyFont="1" applyFill="1" applyBorder="1" applyAlignment="1">
      <alignment horizontal="center" wrapText="1"/>
    </xf>
    <xf numFmtId="0" fontId="22" fillId="3" borderId="16" xfId="3" applyFont="1" applyFill="1" applyBorder="1" applyAlignment="1">
      <alignment horizontal="center" wrapText="1"/>
    </xf>
    <xf numFmtId="0" fontId="28" fillId="0" borderId="0" xfId="0" applyFont="1"/>
    <xf numFmtId="0" fontId="30" fillId="3" borderId="0" xfId="0" applyFont="1" applyFill="1"/>
    <xf numFmtId="0" fontId="32" fillId="3" borderId="0" xfId="0" applyFont="1" applyFill="1"/>
    <xf numFmtId="0" fontId="28" fillId="3" borderId="0" xfId="0" applyFont="1" applyFill="1"/>
    <xf numFmtId="0" fontId="28" fillId="14" borderId="22" xfId="0" applyFont="1" applyFill="1" applyBorder="1"/>
    <xf numFmtId="165" fontId="33" fillId="0" borderId="1" xfId="0" applyNumberFormat="1" applyFont="1" applyBorder="1" applyAlignment="1">
      <alignment wrapText="1"/>
    </xf>
    <xf numFmtId="165" fontId="28" fillId="0" borderId="1" xfId="0" applyNumberFormat="1" applyFont="1" applyBorder="1" applyAlignment="1">
      <alignment wrapText="1"/>
    </xf>
    <xf numFmtId="165" fontId="29" fillId="0" borderId="1" xfId="0" applyNumberFormat="1" applyFont="1" applyBorder="1" applyAlignment="1">
      <alignment horizontal="center" wrapText="1"/>
    </xf>
    <xf numFmtId="0" fontId="34" fillId="3" borderId="0" xfId="0" applyFont="1" applyFill="1" applyAlignment="1">
      <alignment horizontal="left" vertical="center" wrapText="1" indent="2"/>
    </xf>
    <xf numFmtId="0" fontId="34" fillId="3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17" fillId="3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2"/>
    </xf>
    <xf numFmtId="0" fontId="34" fillId="3" borderId="0" xfId="0" applyFont="1" applyFill="1" applyAlignment="1">
      <alignment vertical="center" wrapText="1"/>
    </xf>
    <xf numFmtId="0" fontId="29" fillId="21" borderId="40" xfId="0" applyFont="1" applyFill="1" applyBorder="1"/>
    <xf numFmtId="0" fontId="29" fillId="0" borderId="46" xfId="0" applyFont="1" applyBorder="1"/>
    <xf numFmtId="0" fontId="28" fillId="0" borderId="41" xfId="0" applyFont="1" applyBorder="1"/>
    <xf numFmtId="0" fontId="29" fillId="21" borderId="45" xfId="0" applyFont="1" applyFill="1" applyBorder="1"/>
    <xf numFmtId="0" fontId="37" fillId="3" borderId="0" xfId="0" applyFont="1" applyFill="1" applyAlignment="1">
      <alignment horizontal="left" vertical="center" wrapText="1" indent="2"/>
    </xf>
    <xf numFmtId="0" fontId="38" fillId="21" borderId="1" xfId="0" applyFont="1" applyFill="1" applyBorder="1"/>
    <xf numFmtId="1" fontId="28" fillId="0" borderId="1" xfId="0" applyNumberFormat="1" applyFont="1" applyBorder="1"/>
    <xf numFmtId="0" fontId="28" fillId="0" borderId="1" xfId="0" applyFont="1" applyBorder="1"/>
    <xf numFmtId="0" fontId="37" fillId="3" borderId="0" xfId="0" applyFont="1" applyFill="1" applyAlignment="1">
      <alignment horizontal="left" vertical="center" wrapText="1" indent="1"/>
    </xf>
    <xf numFmtId="2" fontId="28" fillId="0" borderId="1" xfId="0" applyNumberFormat="1" applyFont="1" applyBorder="1"/>
    <xf numFmtId="0" fontId="28" fillId="3" borderId="0" xfId="0" applyFont="1" applyFill="1" applyAlignment="1">
      <alignment horizontal="left" vertical="center" wrapText="1" indent="1"/>
    </xf>
    <xf numFmtId="9" fontId="28" fillId="3" borderId="1" xfId="0" applyNumberFormat="1" applyFont="1" applyFill="1" applyBorder="1"/>
    <xf numFmtId="0" fontId="28" fillId="3" borderId="0" xfId="0" applyFont="1" applyFill="1" applyAlignment="1">
      <alignment horizontal="left" vertical="center" wrapText="1" indent="2"/>
    </xf>
    <xf numFmtId="0" fontId="29" fillId="0" borderId="46" xfId="0" applyFont="1" applyBorder="1" applyAlignment="1">
      <alignment wrapText="1"/>
    </xf>
    <xf numFmtId="9" fontId="28" fillId="0" borderId="41" xfId="0" applyNumberFormat="1" applyFont="1" applyBorder="1"/>
    <xf numFmtId="9" fontId="28" fillId="3" borderId="0" xfId="0" applyNumberFormat="1" applyFont="1" applyFill="1"/>
    <xf numFmtId="0" fontId="37" fillId="3" borderId="0" xfId="0" applyFont="1" applyFill="1" applyAlignment="1">
      <alignment vertical="center" wrapText="1"/>
    </xf>
    <xf numFmtId="0" fontId="29" fillId="15" borderId="40" xfId="0" applyFont="1" applyFill="1" applyBorder="1"/>
    <xf numFmtId="0" fontId="29" fillId="15" borderId="45" xfId="0" applyFont="1" applyFill="1" applyBorder="1"/>
    <xf numFmtId="0" fontId="38" fillId="15" borderId="1" xfId="0" applyFont="1" applyFill="1" applyBorder="1"/>
    <xf numFmtId="0" fontId="29" fillId="0" borderId="45" xfId="0" applyFont="1" applyBorder="1"/>
    <xf numFmtId="0" fontId="35" fillId="3" borderId="0" xfId="0" applyFont="1" applyFill="1" applyAlignment="1">
      <alignment horizontal="left" vertical="center" wrapText="1" indent="1"/>
    </xf>
    <xf numFmtId="0" fontId="20" fillId="3" borderId="0" xfId="0" applyFont="1" applyFill="1" applyAlignment="1">
      <alignment horizontal="left" vertical="center" wrapText="1" indent="2"/>
    </xf>
    <xf numFmtId="0" fontId="36" fillId="3" borderId="0" xfId="0" applyFont="1" applyFill="1" applyAlignment="1">
      <alignment horizontal="left" vertical="center" wrapText="1" indent="2"/>
    </xf>
    <xf numFmtId="0" fontId="20" fillId="3" borderId="0" xfId="0" applyFont="1" applyFill="1" applyAlignment="1">
      <alignment horizontal="left" vertical="center" wrapText="1" indent="1"/>
    </xf>
    <xf numFmtId="0" fontId="36" fillId="3" borderId="0" xfId="0" applyFont="1" applyFill="1" applyAlignment="1">
      <alignment horizontal="left" vertical="center" wrapText="1" indent="1"/>
    </xf>
    <xf numFmtId="0" fontId="28" fillId="3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42" fillId="3" borderId="0" xfId="0" applyFont="1" applyFill="1"/>
    <xf numFmtId="0" fontId="43" fillId="3" borderId="0" xfId="0" applyFont="1" applyFill="1"/>
    <xf numFmtId="1" fontId="42" fillId="3" borderId="0" xfId="0" applyNumberFormat="1" applyFont="1" applyFill="1"/>
    <xf numFmtId="0" fontId="44" fillId="3" borderId="0" xfId="0" applyFont="1" applyFill="1"/>
    <xf numFmtId="2" fontId="42" fillId="3" borderId="0" xfId="0" applyNumberFormat="1" applyFont="1" applyFill="1"/>
    <xf numFmtId="9" fontId="42" fillId="3" borderId="0" xfId="0" applyNumberFormat="1" applyFont="1" applyFill="1"/>
    <xf numFmtId="0" fontId="42" fillId="3" borderId="0" xfId="0" applyFont="1" applyFill="1" applyAlignment="1">
      <alignment horizontal="left" vertical="center" wrapText="1" indent="1"/>
    </xf>
    <xf numFmtId="0" fontId="42" fillId="3" borderId="0" xfId="0" applyFont="1" applyFill="1" applyAlignment="1">
      <alignment horizontal="left" vertical="center" wrapText="1" indent="2"/>
    </xf>
    <xf numFmtId="0" fontId="45" fillId="3" borderId="0" xfId="0" applyFont="1" applyFill="1" applyAlignment="1">
      <alignment horizontal="left" vertical="center" wrapText="1" indent="2"/>
    </xf>
    <xf numFmtId="0" fontId="42" fillId="3" borderId="48" xfId="0" applyFont="1" applyFill="1" applyBorder="1"/>
    <xf numFmtId="0" fontId="42" fillId="0" borderId="43" xfId="0" applyFont="1" applyBorder="1" applyAlignment="1">
      <alignment horizontal="left" vertical="center" wrapText="1" indent="2"/>
    </xf>
    <xf numFmtId="0" fontId="43" fillId="0" borderId="22" xfId="0" applyFont="1" applyBorder="1" applyAlignment="1">
      <alignment horizontal="left" vertical="center" wrapText="1" indent="1"/>
    </xf>
    <xf numFmtId="0" fontId="0" fillId="3" borderId="49" xfId="0" applyFill="1" applyBorder="1"/>
    <xf numFmtId="0" fontId="43" fillId="3" borderId="50" xfId="0" applyFont="1" applyFill="1" applyBorder="1" applyAlignment="1">
      <alignment horizontal="left" vertical="center" wrapText="1" indent="2"/>
    </xf>
    <xf numFmtId="0" fontId="42" fillId="3" borderId="31" xfId="0" applyFont="1" applyFill="1" applyBorder="1" applyAlignment="1">
      <alignment horizontal="left" vertical="center" wrapText="1" indent="1"/>
    </xf>
    <xf numFmtId="0" fontId="45" fillId="0" borderId="22" xfId="0" applyFont="1" applyBorder="1" applyAlignment="1">
      <alignment horizontal="left" vertical="center" wrapText="1" indent="1"/>
    </xf>
    <xf numFmtId="0" fontId="42" fillId="3" borderId="0" xfId="0" applyFont="1" applyFill="1" applyAlignment="1">
      <alignment horizontal="left" vertical="center" wrapText="1" indent="3"/>
    </xf>
    <xf numFmtId="0" fontId="45" fillId="3" borderId="0" xfId="0" applyFont="1" applyFill="1" applyAlignment="1">
      <alignment horizontal="left" vertical="center" wrapText="1" indent="3"/>
    </xf>
    <xf numFmtId="0" fontId="46" fillId="3" borderId="0" xfId="0" applyFont="1" applyFill="1" applyAlignment="1">
      <alignment horizontal="left" vertical="center" wrapText="1" indent="2"/>
    </xf>
    <xf numFmtId="0" fontId="45" fillId="3" borderId="0" xfId="0" applyFont="1" applyFill="1" applyAlignment="1">
      <alignment horizontal="left" vertical="center" wrapText="1" indent="1"/>
    </xf>
    <xf numFmtId="0" fontId="45" fillId="3" borderId="22" xfId="0" applyFont="1" applyFill="1" applyBorder="1" applyAlignment="1">
      <alignment horizontal="left" vertical="center" wrapText="1" indent="1"/>
    </xf>
    <xf numFmtId="0" fontId="28" fillId="0" borderId="50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31" fillId="17" borderId="56" xfId="0" applyFont="1" applyFill="1" applyBorder="1" applyAlignment="1">
      <alignment wrapText="1"/>
    </xf>
    <xf numFmtId="0" fontId="31" fillId="17" borderId="57" xfId="0" applyFont="1" applyFill="1" applyBorder="1" applyAlignment="1">
      <alignment wrapText="1"/>
    </xf>
    <xf numFmtId="0" fontId="31" fillId="17" borderId="58" xfId="0" applyFont="1" applyFill="1" applyBorder="1" applyAlignment="1">
      <alignment wrapText="1"/>
    </xf>
    <xf numFmtId="0" fontId="31" fillId="16" borderId="22" xfId="0" applyFont="1" applyFill="1" applyBorder="1" applyAlignment="1">
      <alignment horizontal="center" wrapText="1"/>
    </xf>
    <xf numFmtId="0" fontId="33" fillId="4" borderId="56" xfId="0" applyFont="1" applyFill="1" applyBorder="1" applyAlignment="1">
      <alignment horizontal="center" wrapText="1"/>
    </xf>
    <xf numFmtId="0" fontId="31" fillId="16" borderId="20" xfId="0" applyFont="1" applyFill="1" applyBorder="1" applyAlignment="1">
      <alignment horizontal="center" wrapText="1"/>
    </xf>
    <xf numFmtId="0" fontId="33" fillId="4" borderId="33" xfId="0" applyFont="1" applyFill="1" applyBorder="1" applyAlignment="1">
      <alignment horizontal="center" wrapText="1"/>
    </xf>
    <xf numFmtId="0" fontId="33" fillId="4" borderId="35" xfId="0" applyFont="1" applyFill="1" applyBorder="1" applyAlignment="1">
      <alignment horizontal="center" wrapText="1"/>
    </xf>
    <xf numFmtId="0" fontId="31" fillId="16" borderId="21" xfId="0" applyFont="1" applyFill="1" applyBorder="1" applyAlignment="1">
      <alignment horizontal="center" wrapText="1"/>
    </xf>
    <xf numFmtId="0" fontId="33" fillId="4" borderId="63" xfId="0" applyFont="1" applyFill="1" applyBorder="1" applyAlignment="1">
      <alignment horizontal="center" wrapText="1"/>
    </xf>
    <xf numFmtId="0" fontId="33" fillId="4" borderId="64" xfId="0" applyFont="1" applyFill="1" applyBorder="1" applyAlignment="1">
      <alignment horizontal="center" wrapText="1"/>
    </xf>
    <xf numFmtId="1" fontId="33" fillId="4" borderId="56" xfId="0" applyNumberFormat="1" applyFont="1" applyFill="1" applyBorder="1" applyAlignment="1">
      <alignment horizontal="center" wrapText="1"/>
    </xf>
    <xf numFmtId="0" fontId="29" fillId="3" borderId="0" xfId="0" applyFont="1" applyFill="1" applyAlignment="1">
      <alignment wrapText="1"/>
    </xf>
    <xf numFmtId="9" fontId="28" fillId="3" borderId="0" xfId="0" applyNumberFormat="1" applyFont="1" applyFill="1" applyAlignment="1">
      <alignment wrapText="1"/>
    </xf>
    <xf numFmtId="0" fontId="28" fillId="3" borderId="0" xfId="0" applyFont="1" applyFill="1" applyAlignment="1">
      <alignment horizontal="right" wrapText="1"/>
    </xf>
    <xf numFmtId="0" fontId="28" fillId="3" borderId="0" xfId="0" applyFont="1" applyFill="1" applyAlignment="1">
      <alignment wrapText="1"/>
    </xf>
    <xf numFmtId="0" fontId="33" fillId="4" borderId="32" xfId="0" applyFont="1" applyFill="1" applyBorder="1" applyAlignment="1">
      <alignment horizontal="center" wrapText="1"/>
    </xf>
    <xf numFmtId="0" fontId="33" fillId="4" borderId="65" xfId="0" applyFont="1" applyFill="1" applyBorder="1" applyAlignment="1">
      <alignment horizontal="center" wrapText="1"/>
    </xf>
    <xf numFmtId="0" fontId="33" fillId="18" borderId="22" xfId="0" applyFont="1" applyFill="1" applyBorder="1" applyAlignment="1">
      <alignment horizontal="center" wrapText="1"/>
    </xf>
    <xf numFmtId="0" fontId="33" fillId="4" borderId="58" xfId="0" applyFont="1" applyFill="1" applyBorder="1" applyAlignment="1">
      <alignment horizontal="center" wrapText="1"/>
    </xf>
    <xf numFmtId="0" fontId="33" fillId="4" borderId="50" xfId="0" applyFont="1" applyFill="1" applyBorder="1" applyAlignment="1">
      <alignment horizontal="center" wrapText="1"/>
    </xf>
    <xf numFmtId="0" fontId="33" fillId="4" borderId="66" xfId="0" applyFont="1" applyFill="1" applyBorder="1" applyAlignment="1">
      <alignment horizontal="center" wrapText="1"/>
    </xf>
    <xf numFmtId="1" fontId="33" fillId="18" borderId="22" xfId="0" applyNumberFormat="1" applyFont="1" applyFill="1" applyBorder="1" applyAlignment="1">
      <alignment horizontal="center" wrapText="1"/>
    </xf>
    <xf numFmtId="0" fontId="33" fillId="4" borderId="67" xfId="0" applyFont="1" applyFill="1" applyBorder="1" applyAlignment="1">
      <alignment horizontal="center" wrapText="1"/>
    </xf>
    <xf numFmtId="0" fontId="33" fillId="4" borderId="39" xfId="0" applyFont="1" applyFill="1" applyBorder="1" applyAlignment="1">
      <alignment horizontal="center" wrapText="1"/>
    </xf>
    <xf numFmtId="165" fontId="33" fillId="0" borderId="45" xfId="0" applyNumberFormat="1" applyFont="1" applyBorder="1" applyAlignment="1">
      <alignment wrapText="1"/>
    </xf>
    <xf numFmtId="165" fontId="28" fillId="0" borderId="45" xfId="0" applyNumberFormat="1" applyFont="1" applyBorder="1" applyAlignment="1">
      <alignment wrapText="1"/>
    </xf>
    <xf numFmtId="0" fontId="31" fillId="19" borderId="46" xfId="0" applyFont="1" applyFill="1" applyBorder="1" applyAlignment="1">
      <alignment horizontal="center" wrapText="1"/>
    </xf>
    <xf numFmtId="0" fontId="31" fillId="19" borderId="41" xfId="0" applyFont="1" applyFill="1" applyBorder="1" applyAlignment="1">
      <alignment horizontal="center" wrapText="1"/>
    </xf>
    <xf numFmtId="9" fontId="31" fillId="13" borderId="68" xfId="0" applyNumberFormat="1" applyFont="1" applyFill="1" applyBorder="1" applyAlignment="1">
      <alignment wrapText="1"/>
    </xf>
    <xf numFmtId="9" fontId="33" fillId="0" borderId="44" xfId="0" applyNumberFormat="1" applyFont="1" applyBorder="1" applyAlignment="1">
      <alignment wrapText="1"/>
    </xf>
    <xf numFmtId="9" fontId="28" fillId="0" borderId="4" xfId="0" applyNumberFormat="1" applyFont="1" applyBorder="1" applyAlignment="1">
      <alignment wrapText="1"/>
    </xf>
    <xf numFmtId="9" fontId="28" fillId="0" borderId="4" xfId="0" applyNumberFormat="1" applyFont="1" applyBorder="1"/>
    <xf numFmtId="0" fontId="29" fillId="0" borderId="4" xfId="0" applyFont="1" applyBorder="1" applyAlignment="1">
      <alignment horizontal="center" wrapText="1"/>
    </xf>
    <xf numFmtId="0" fontId="31" fillId="19" borderId="22" xfId="0" applyFont="1" applyFill="1" applyBorder="1" applyAlignment="1">
      <alignment horizontal="center" wrapText="1"/>
    </xf>
    <xf numFmtId="0" fontId="31" fillId="20" borderId="29" xfId="0" applyFont="1" applyFill="1" applyBorder="1" applyAlignment="1">
      <alignment wrapText="1"/>
    </xf>
    <xf numFmtId="0" fontId="31" fillId="20" borderId="27" xfId="0" applyFont="1" applyFill="1" applyBorder="1" applyAlignment="1">
      <alignment wrapText="1"/>
    </xf>
    <xf numFmtId="0" fontId="29" fillId="13" borderId="28" xfId="0" applyFont="1" applyFill="1" applyBorder="1" applyAlignment="1">
      <alignment horizontal="center" wrapText="1"/>
    </xf>
    <xf numFmtId="165" fontId="29" fillId="0" borderId="2" xfId="0" applyNumberFormat="1" applyFont="1" applyBorder="1" applyAlignment="1">
      <alignment horizontal="center" wrapText="1"/>
    </xf>
    <xf numFmtId="165" fontId="28" fillId="0" borderId="5" xfId="0" applyNumberFormat="1" applyFont="1" applyBorder="1" applyAlignment="1">
      <alignment wrapText="1"/>
    </xf>
    <xf numFmtId="165" fontId="28" fillId="14" borderId="22" xfId="0" applyNumberFormat="1" applyFont="1" applyFill="1" applyBorder="1" applyAlignment="1">
      <alignment wrapText="1"/>
    </xf>
    <xf numFmtId="9" fontId="33" fillId="0" borderId="10" xfId="0" applyNumberFormat="1" applyFont="1" applyBorder="1" applyAlignment="1">
      <alignment wrapText="1"/>
    </xf>
    <xf numFmtId="165" fontId="33" fillId="0" borderId="11" xfId="0" applyNumberFormat="1" applyFont="1" applyBorder="1" applyAlignment="1">
      <alignment wrapText="1"/>
    </xf>
    <xf numFmtId="165" fontId="28" fillId="0" borderId="11" xfId="0" applyNumberFormat="1" applyFont="1" applyBorder="1" applyAlignment="1">
      <alignment wrapText="1"/>
    </xf>
    <xf numFmtId="165" fontId="28" fillId="0" borderId="23" xfId="0" applyNumberFormat="1" applyFont="1" applyBorder="1" applyAlignment="1">
      <alignment wrapText="1"/>
    </xf>
    <xf numFmtId="9" fontId="28" fillId="0" borderId="24" xfId="0" applyNumberFormat="1" applyFont="1" applyBorder="1" applyAlignment="1">
      <alignment wrapText="1"/>
    </xf>
    <xf numFmtId="165" fontId="28" fillId="0" borderId="15" xfId="0" applyNumberFormat="1" applyFont="1" applyBorder="1" applyAlignment="1">
      <alignment wrapText="1"/>
    </xf>
    <xf numFmtId="9" fontId="28" fillId="0" borderId="24" xfId="0" applyNumberFormat="1" applyFont="1" applyBorder="1"/>
    <xf numFmtId="0" fontId="29" fillId="0" borderId="25" xfId="0" applyFont="1" applyBorder="1" applyAlignment="1">
      <alignment horizontal="center" wrapText="1"/>
    </xf>
    <xf numFmtId="165" fontId="29" fillId="0" borderId="17" xfId="0" applyNumberFormat="1" applyFont="1" applyBorder="1" applyAlignment="1">
      <alignment horizontal="center" wrapText="1"/>
    </xf>
    <xf numFmtId="165" fontId="29" fillId="0" borderId="42" xfId="0" applyNumberFormat="1" applyFont="1" applyBorder="1" applyAlignment="1">
      <alignment horizontal="center" wrapText="1"/>
    </xf>
    <xf numFmtId="165" fontId="28" fillId="0" borderId="26" xfId="0" applyNumberFormat="1" applyFont="1" applyBorder="1" applyAlignment="1">
      <alignment wrapText="1"/>
    </xf>
    <xf numFmtId="165" fontId="28" fillId="0" borderId="18" xfId="0" applyNumberFormat="1" applyFont="1" applyBorder="1" applyAlignment="1">
      <alignment wrapText="1"/>
    </xf>
    <xf numFmtId="165" fontId="28" fillId="0" borderId="4" xfId="0" applyNumberFormat="1" applyFont="1" applyBorder="1" applyAlignment="1">
      <alignment wrapText="1"/>
    </xf>
    <xf numFmtId="0" fontId="22" fillId="4" borderId="51" xfId="3" applyFont="1" applyFill="1" applyBorder="1" applyAlignment="1">
      <alignment horizontal="center" vertical="center" wrapText="1"/>
    </xf>
    <xf numFmtId="3" fontId="22" fillId="4" borderId="51" xfId="3" applyNumberFormat="1" applyFont="1" applyFill="1" applyBorder="1" applyAlignment="1">
      <alignment horizontal="center" vertical="center" wrapText="1"/>
    </xf>
    <xf numFmtId="0" fontId="22" fillId="4" borderId="52" xfId="3" applyFont="1" applyFill="1" applyBorder="1" applyAlignment="1">
      <alignment horizontal="center" vertical="center" wrapText="1"/>
    </xf>
    <xf numFmtId="0" fontId="22" fillId="4" borderId="53" xfId="3" applyFont="1" applyFill="1" applyBorder="1" applyAlignment="1">
      <alignment horizontal="center" vertical="center" wrapText="1"/>
    </xf>
    <xf numFmtId="0" fontId="22" fillId="4" borderId="54" xfId="3" applyFont="1" applyFill="1" applyBorder="1" applyAlignment="1">
      <alignment horizontal="center" vertical="center" wrapText="1"/>
    </xf>
    <xf numFmtId="0" fontId="22" fillId="4" borderId="55" xfId="3" applyFont="1" applyFill="1" applyBorder="1" applyAlignment="1">
      <alignment horizontal="center" vertical="center" wrapText="1"/>
    </xf>
    <xf numFmtId="0" fontId="21" fillId="4" borderId="56" xfId="3" applyFont="1" applyFill="1" applyBorder="1" applyAlignment="1">
      <alignment wrapText="1"/>
    </xf>
    <xf numFmtId="0" fontId="21" fillId="4" borderId="57" xfId="3" applyFont="1" applyFill="1" applyBorder="1" applyAlignment="1">
      <alignment wrapText="1"/>
    </xf>
    <xf numFmtId="0" fontId="21" fillId="4" borderId="58" xfId="3" applyFont="1" applyFill="1" applyBorder="1" applyAlignment="1">
      <alignment wrapText="1"/>
    </xf>
    <xf numFmtId="0" fontId="22" fillId="4" borderId="59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22" fillId="4" borderId="34" xfId="3" applyFont="1" applyFill="1" applyBorder="1" applyAlignment="1">
      <alignment horizontal="center" vertical="center" wrapText="1"/>
    </xf>
    <xf numFmtId="0" fontId="21" fillId="7" borderId="22" xfId="3" applyFont="1" applyFill="1" applyBorder="1" applyAlignment="1">
      <alignment horizontal="center" wrapText="1"/>
    </xf>
    <xf numFmtId="0" fontId="21" fillId="7" borderId="60" xfId="3" applyFont="1" applyFill="1" applyBorder="1" applyAlignment="1">
      <alignment horizontal="center" wrapText="1"/>
    </xf>
    <xf numFmtId="0" fontId="21" fillId="7" borderId="61" xfId="3" applyFont="1" applyFill="1" applyBorder="1" applyAlignment="1">
      <alignment horizontal="center" wrapText="1"/>
    </xf>
    <xf numFmtId="0" fontId="21" fillId="7" borderId="62" xfId="3" applyFont="1" applyFill="1" applyBorder="1" applyAlignment="1">
      <alignment horizontal="center" wrapText="1"/>
    </xf>
    <xf numFmtId="0" fontId="24" fillId="6" borderId="40" xfId="0" applyFont="1" applyFill="1" applyBorder="1" applyAlignment="1">
      <alignment wrapText="1"/>
    </xf>
    <xf numFmtId="2" fontId="12" fillId="0" borderId="46" xfId="0" applyNumberFormat="1" applyFont="1" applyBorder="1"/>
    <xf numFmtId="2" fontId="12" fillId="0" borderId="41" xfId="0" applyNumberFormat="1" applyFont="1" applyBorder="1"/>
    <xf numFmtId="0" fontId="24" fillId="6" borderId="47" xfId="0" applyFont="1" applyFill="1" applyBorder="1" applyAlignment="1">
      <alignment wrapText="1"/>
    </xf>
    <xf numFmtId="2" fontId="22" fillId="0" borderId="36" xfId="2" applyNumberFormat="1" applyFont="1" applyBorder="1" applyAlignment="1">
      <alignment wrapText="1"/>
    </xf>
    <xf numFmtId="2" fontId="22" fillId="0" borderId="38" xfId="2" applyNumberFormat="1" applyFont="1" applyBorder="1" applyAlignment="1">
      <alignment wrapText="1"/>
    </xf>
    <xf numFmtId="166" fontId="27" fillId="0" borderId="46" xfId="3" applyNumberFormat="1" applyFont="1" applyBorder="1" applyAlignment="1">
      <alignment wrapText="1"/>
    </xf>
    <xf numFmtId="166" fontId="27" fillId="0" borderId="41" xfId="3" applyNumberFormat="1" applyFont="1" applyBorder="1" applyAlignment="1">
      <alignment wrapText="1"/>
    </xf>
    <xf numFmtId="0" fontId="22" fillId="3" borderId="69" xfId="3" applyFont="1" applyFill="1" applyBorder="1" applyAlignment="1">
      <alignment horizontal="center" wrapText="1"/>
    </xf>
    <xf numFmtId="2" fontId="22" fillId="3" borderId="70" xfId="3" applyNumberFormat="1" applyFont="1" applyFill="1" applyBorder="1" applyAlignment="1">
      <alignment horizontal="center" wrapText="1"/>
    </xf>
    <xf numFmtId="2" fontId="22" fillId="3" borderId="71" xfId="3" applyNumberFormat="1" applyFont="1" applyFill="1" applyBorder="1" applyAlignment="1">
      <alignment horizontal="center" wrapText="1"/>
    </xf>
    <xf numFmtId="0" fontId="21" fillId="3" borderId="19" xfId="3" applyFont="1" applyFill="1" applyBorder="1" applyAlignment="1">
      <alignment horizontal="center" wrapText="1"/>
    </xf>
    <xf numFmtId="2" fontId="22" fillId="3" borderId="22" xfId="3" applyNumberFormat="1" applyFont="1" applyFill="1" applyBorder="1" applyAlignment="1">
      <alignment horizontal="center" wrapText="1"/>
    </xf>
    <xf numFmtId="2" fontId="22" fillId="3" borderId="20" xfId="3" applyNumberFormat="1" applyFont="1" applyFill="1" applyBorder="1" applyAlignment="1">
      <alignment horizontal="center" wrapText="1"/>
    </xf>
    <xf numFmtId="0" fontId="28" fillId="3" borderId="0" xfId="0" applyFont="1" applyFill="1" applyAlignment="1">
      <alignment vertical="top" wrapText="1"/>
    </xf>
    <xf numFmtId="0" fontId="47" fillId="3" borderId="0" xfId="0" applyFont="1" applyFill="1" applyAlignment="1">
      <alignment horizontal="left" vertical="top"/>
    </xf>
    <xf numFmtId="0" fontId="47" fillId="3" borderId="0" xfId="0" applyFont="1" applyFill="1" applyAlignment="1">
      <alignment vertical="center"/>
    </xf>
    <xf numFmtId="0" fontId="48" fillId="3" borderId="0" xfId="0" applyFont="1" applyFill="1" applyAlignment="1">
      <alignment vertical="center"/>
    </xf>
    <xf numFmtId="0" fontId="28" fillId="0" borderId="77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8" fillId="0" borderId="72" xfId="0" applyFont="1" applyBorder="1" applyAlignment="1">
      <alignment horizontal="center" vertical="center" wrapText="1"/>
    </xf>
    <xf numFmtId="0" fontId="28" fillId="0" borderId="79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9" fillId="14" borderId="73" xfId="0" applyFont="1" applyFill="1" applyBorder="1" applyAlignment="1">
      <alignment horizontal="center" vertical="center" wrapText="1"/>
    </xf>
    <xf numFmtId="0" fontId="29" fillId="14" borderId="74" xfId="0" applyFont="1" applyFill="1" applyBorder="1" applyAlignment="1">
      <alignment horizontal="center" vertical="center" wrapText="1"/>
    </xf>
    <xf numFmtId="0" fontId="29" fillId="14" borderId="75" xfId="0" applyFont="1" applyFill="1" applyBorder="1" applyAlignment="1">
      <alignment horizontal="center" vertical="center" wrapText="1"/>
    </xf>
    <xf numFmtId="0" fontId="29" fillId="14" borderId="76" xfId="0" applyFont="1" applyFill="1" applyBorder="1" applyAlignment="1">
      <alignment horizontal="center" vertical="center" wrapText="1"/>
    </xf>
    <xf numFmtId="0" fontId="29" fillId="14" borderId="78" xfId="0" applyFont="1" applyFill="1" applyBorder="1" applyAlignment="1">
      <alignment horizontal="center" vertical="center" wrapText="1"/>
    </xf>
    <xf numFmtId="0" fontId="29" fillId="13" borderId="73" xfId="0" applyFont="1" applyFill="1" applyBorder="1" applyAlignment="1">
      <alignment horizontal="center" vertical="center" wrapText="1"/>
    </xf>
    <xf numFmtId="0" fontId="29" fillId="13" borderId="76" xfId="0" applyFont="1" applyFill="1" applyBorder="1" applyAlignment="1">
      <alignment horizontal="center" vertical="center" wrapText="1"/>
    </xf>
    <xf numFmtId="0" fontId="29" fillId="13" borderId="78" xfId="0" applyFont="1" applyFill="1" applyBorder="1" applyAlignment="1">
      <alignment horizontal="center" vertical="center" wrapText="1"/>
    </xf>
    <xf numFmtId="0" fontId="29" fillId="13" borderId="74" xfId="0" applyFont="1" applyFill="1" applyBorder="1" applyAlignment="1">
      <alignment horizontal="center" vertical="center" wrapText="1"/>
    </xf>
    <xf numFmtId="0" fontId="29" fillId="13" borderId="7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 indent="1"/>
    </xf>
    <xf numFmtId="0" fontId="28" fillId="3" borderId="19" xfId="0" applyFont="1" applyFill="1" applyBorder="1" applyAlignment="1">
      <alignment horizontal="center" vertical="center" wrapText="1"/>
    </xf>
    <xf numFmtId="0" fontId="39" fillId="3" borderId="20" xfId="0" applyFont="1" applyFill="1" applyBorder="1" applyAlignment="1">
      <alignment horizontal="center" vertical="center" wrapText="1"/>
    </xf>
    <xf numFmtId="0" fontId="39" fillId="3" borderId="21" xfId="0" applyFont="1" applyFill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40" fillId="3" borderId="0" xfId="0" applyFont="1" applyFill="1" applyAlignment="1">
      <alignment horizontal="center"/>
    </xf>
    <xf numFmtId="0" fontId="45" fillId="3" borderId="19" xfId="0" applyFont="1" applyFill="1" applyBorder="1" applyAlignment="1">
      <alignment horizontal="center" vertical="center" wrapText="1"/>
    </xf>
    <xf numFmtId="0" fontId="45" fillId="3" borderId="21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6" fillId="3" borderId="2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43" fillId="10" borderId="32" xfId="0" applyFont="1" applyFill="1" applyBorder="1" applyAlignment="1">
      <alignment horizontal="center" vertical="center" wrapText="1"/>
    </xf>
    <xf numFmtId="0" fontId="43" fillId="10" borderId="12" xfId="0" applyFont="1" applyFill="1" applyBorder="1" applyAlignment="1">
      <alignment horizontal="center" vertical="center" wrapText="1"/>
    </xf>
    <xf numFmtId="0" fontId="43" fillId="10" borderId="13" xfId="0" applyFont="1" applyFill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3" borderId="43" xfId="0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center" vertical="center" wrapText="1"/>
    </xf>
    <xf numFmtId="0" fontId="45" fillId="3" borderId="30" xfId="0" applyFont="1" applyFill="1" applyBorder="1" applyAlignment="1">
      <alignment horizontal="center" vertical="center" wrapText="1"/>
    </xf>
    <xf numFmtId="0" fontId="45" fillId="3" borderId="39" xfId="0" applyFont="1" applyFill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center" wrapText="1"/>
    </xf>
    <xf numFmtId="0" fontId="28" fillId="3" borderId="20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42" fillId="23" borderId="19" xfId="0" applyFont="1" applyFill="1" applyBorder="1" applyAlignment="1">
      <alignment horizontal="center" vertical="center" wrapText="1"/>
    </xf>
    <xf numFmtId="0" fontId="42" fillId="23" borderId="20" xfId="0" applyFont="1" applyFill="1" applyBorder="1" applyAlignment="1">
      <alignment horizontal="center" vertical="center" wrapText="1"/>
    </xf>
    <xf numFmtId="0" fontId="42" fillId="2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3" fillId="22" borderId="19" xfId="0" applyFont="1" applyFill="1" applyBorder="1" applyAlignment="1">
      <alignment horizontal="center" vertical="center" wrapText="1"/>
    </xf>
    <xf numFmtId="0" fontId="43" fillId="22" borderId="20" xfId="0" applyFont="1" applyFill="1" applyBorder="1" applyAlignment="1">
      <alignment horizontal="center" vertical="center" wrapText="1"/>
    </xf>
    <xf numFmtId="0" fontId="43" fillId="22" borderId="21" xfId="0" applyFont="1" applyFill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30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39" xfId="0" applyFont="1" applyBorder="1" applyAlignment="1">
      <alignment horizontal="center" vertical="center" wrapText="1"/>
    </xf>
    <xf numFmtId="0" fontId="29" fillId="14" borderId="32" xfId="0" applyFont="1" applyFill="1" applyBorder="1" applyAlignment="1">
      <alignment horizontal="center" vertical="center" wrapText="1"/>
    </xf>
    <xf numFmtId="0" fontId="29" fillId="14" borderId="12" xfId="0" applyFont="1" applyFill="1" applyBorder="1" applyAlignment="1">
      <alignment horizontal="center" vertical="center" wrapText="1"/>
    </xf>
    <xf numFmtId="0" fontId="29" fillId="14" borderId="13" xfId="0" applyFont="1" applyFill="1" applyBorder="1" applyAlignment="1">
      <alignment horizontal="center" vertical="center" wrapText="1"/>
    </xf>
    <xf numFmtId="0" fontId="25" fillId="12" borderId="19" xfId="0" applyFont="1" applyFill="1" applyBorder="1" applyAlignment="1">
      <alignment horizontal="center" wrapText="1"/>
    </xf>
    <xf numFmtId="0" fontId="25" fillId="12" borderId="20" xfId="0" applyFont="1" applyFill="1" applyBorder="1" applyAlignment="1">
      <alignment horizontal="center" wrapText="1"/>
    </xf>
    <xf numFmtId="0" fontId="25" fillId="12" borderId="21" xfId="0" applyFont="1" applyFill="1" applyBorder="1" applyAlignment="1">
      <alignment horizontal="center" wrapText="1"/>
    </xf>
    <xf numFmtId="0" fontId="22" fillId="9" borderId="19" xfId="3" applyFont="1" applyFill="1" applyBorder="1" applyAlignment="1">
      <alignment horizontal="center" wrapText="1"/>
    </xf>
    <xf numFmtId="0" fontId="22" fillId="9" borderId="20" xfId="3" applyFont="1" applyFill="1" applyBorder="1" applyAlignment="1">
      <alignment horizontal="center" wrapText="1"/>
    </xf>
    <xf numFmtId="0" fontId="22" fillId="9" borderId="21" xfId="3" applyFont="1" applyFill="1" applyBorder="1" applyAlignment="1">
      <alignment horizontal="center" wrapText="1"/>
    </xf>
    <xf numFmtId="0" fontId="18" fillId="3" borderId="0" xfId="0" applyFont="1" applyFill="1" applyAlignment="1">
      <alignment horizontal="left"/>
    </xf>
    <xf numFmtId="0" fontId="28" fillId="3" borderId="43" xfId="0" applyFont="1" applyFill="1" applyBorder="1" applyAlignment="1">
      <alignment horizontal="center" wrapText="1"/>
    </xf>
    <xf numFmtId="0" fontId="28" fillId="3" borderId="0" xfId="0" applyFont="1" applyFill="1" applyAlignment="1">
      <alignment horizont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1" fillId="10" borderId="40" xfId="0" applyFont="1" applyFill="1" applyBorder="1" applyAlignment="1">
      <alignment horizontal="center" wrapText="1"/>
    </xf>
    <xf numFmtId="0" fontId="31" fillId="10" borderId="46" xfId="0" applyFont="1" applyFill="1" applyBorder="1" applyAlignment="1">
      <alignment horizontal="center" wrapText="1"/>
    </xf>
    <xf numFmtId="0" fontId="31" fillId="10" borderId="41" xfId="0" applyFont="1" applyFill="1" applyBorder="1" applyAlignment="1">
      <alignment horizontal="center" wrapText="1"/>
    </xf>
    <xf numFmtId="0" fontId="29" fillId="10" borderId="40" xfId="0" applyFont="1" applyFill="1" applyBorder="1" applyAlignment="1">
      <alignment horizontal="center" wrapText="1"/>
    </xf>
    <xf numFmtId="0" fontId="29" fillId="10" borderId="46" xfId="0" applyFont="1" applyFill="1" applyBorder="1" applyAlignment="1">
      <alignment horizontal="center" wrapText="1"/>
    </xf>
    <xf numFmtId="0" fontId="29" fillId="10" borderId="41" xfId="0" applyFont="1" applyFill="1" applyBorder="1" applyAlignment="1">
      <alignment horizontal="center" wrapText="1"/>
    </xf>
    <xf numFmtId="0" fontId="31" fillId="0" borderId="19" xfId="0" applyFont="1" applyBorder="1" applyAlignment="1">
      <alignment horizontal="center" wrapText="1"/>
    </xf>
    <xf numFmtId="0" fontId="31" fillId="0" borderId="20" xfId="0" applyFont="1" applyBorder="1" applyAlignment="1">
      <alignment horizontal="center" wrapText="1"/>
    </xf>
    <xf numFmtId="0" fontId="31" fillId="0" borderId="13" xfId="0" applyFont="1" applyBorder="1" applyAlignment="1">
      <alignment horizontal="center" wrapText="1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8" fillId="14" borderId="19" xfId="0" applyFont="1" applyFill="1" applyBorder="1" applyAlignment="1">
      <alignment horizontal="left" vertical="center" wrapText="1"/>
    </xf>
    <xf numFmtId="0" fontId="28" fillId="14" borderId="20" xfId="0" applyFont="1" applyFill="1" applyBorder="1" applyAlignment="1">
      <alignment horizontal="left" vertical="center" wrapText="1"/>
    </xf>
    <xf numFmtId="0" fontId="28" fillId="14" borderId="21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3" xr:uid="{3438DD03-57C4-481D-AF92-CE8C4B7F67C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604D-DC0A-4479-986F-D83597F29760}">
  <sheetPr>
    <tabColor rgb="FFFFFF00"/>
  </sheetPr>
  <dimension ref="A1:DQ1433"/>
  <sheetViews>
    <sheetView tabSelected="1" topLeftCell="C18" workbookViewId="0">
      <selection activeCell="E37" sqref="E37"/>
    </sheetView>
  </sheetViews>
  <sheetFormatPr defaultRowHeight="14.4" x14ac:dyDescent="0.3"/>
  <cols>
    <col min="1" max="1" width="8.88671875" style="87"/>
    <col min="2" max="2" width="30.6640625" bestFit="1" customWidth="1"/>
    <col min="3" max="3" width="23.88671875" customWidth="1"/>
    <col min="4" max="4" width="50.109375" customWidth="1"/>
    <col min="5" max="6" width="8.88671875" style="87"/>
    <col min="7" max="7" width="30.6640625" bestFit="1" customWidth="1"/>
    <col min="8" max="8" width="32.5546875" customWidth="1"/>
    <col min="9" max="9" width="49.44140625" customWidth="1"/>
    <col min="10" max="10" width="8.88671875" style="87"/>
    <col min="11" max="11" width="43.88671875" style="87" bestFit="1" customWidth="1"/>
    <col min="12" max="12" width="55.77734375" style="87" bestFit="1" customWidth="1"/>
    <col min="13" max="121" width="8.88671875" style="87"/>
  </cols>
  <sheetData>
    <row r="1" spans="2:33" ht="22.8" x14ac:dyDescent="0.4">
      <c r="B1" s="297" t="s">
        <v>100</v>
      </c>
      <c r="C1" s="297"/>
      <c r="D1" s="297"/>
      <c r="E1" s="297"/>
      <c r="G1" s="87"/>
      <c r="H1" s="87"/>
      <c r="I1" s="87"/>
    </row>
    <row r="2" spans="2:33" ht="15" thickBot="1" x14ac:dyDescent="0.35">
      <c r="B2" s="87"/>
      <c r="C2" s="87"/>
      <c r="D2" s="87"/>
      <c r="G2" s="87"/>
      <c r="H2" s="87"/>
      <c r="I2" s="87"/>
    </row>
    <row r="3" spans="2:33" ht="164.4" customHeight="1" thickBot="1" x14ac:dyDescent="0.35">
      <c r="B3" s="294" t="s">
        <v>154</v>
      </c>
      <c r="C3" s="318"/>
      <c r="D3" s="318"/>
      <c r="E3" s="318"/>
      <c r="F3" s="318"/>
      <c r="G3" s="318"/>
      <c r="H3" s="319"/>
      <c r="I3" s="87"/>
    </row>
    <row r="4" spans="2:33" x14ac:dyDescent="0.3">
      <c r="B4" s="87"/>
      <c r="C4" s="87"/>
      <c r="D4" s="87"/>
      <c r="G4" s="87"/>
      <c r="H4" s="87"/>
      <c r="I4" s="87"/>
    </row>
    <row r="5" spans="2:33" x14ac:dyDescent="0.3">
      <c r="B5" s="87"/>
      <c r="C5" s="87"/>
      <c r="D5" s="87"/>
      <c r="G5" s="87"/>
      <c r="H5" s="87"/>
      <c r="I5" s="87"/>
    </row>
    <row r="6" spans="2:33" ht="18" x14ac:dyDescent="0.35">
      <c r="B6" s="291" t="s">
        <v>64</v>
      </c>
      <c r="C6" s="291"/>
      <c r="D6" s="291"/>
      <c r="E6" s="291"/>
      <c r="F6" s="291"/>
      <c r="G6" s="291"/>
      <c r="H6" s="118"/>
      <c r="I6" s="118"/>
      <c r="J6" s="118"/>
      <c r="K6" s="298" t="s">
        <v>129</v>
      </c>
      <c r="L6" s="298"/>
      <c r="M6" s="298"/>
      <c r="N6" s="298"/>
      <c r="O6" s="298"/>
      <c r="P6" s="118"/>
      <c r="Q6" s="118"/>
      <c r="R6" s="118"/>
      <c r="S6" s="118"/>
      <c r="T6" s="118"/>
      <c r="U6" s="118"/>
      <c r="V6" s="118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spans="2:33" ht="16.2" thickBot="1" x14ac:dyDescent="0.35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</row>
    <row r="8" spans="2:33" ht="25.2" customHeight="1" thickBot="1" x14ac:dyDescent="0.35">
      <c r="B8" s="129" t="s">
        <v>51</v>
      </c>
      <c r="C8" s="130" t="s">
        <v>54</v>
      </c>
      <c r="D8" s="131" t="s">
        <v>55</v>
      </c>
      <c r="E8" s="118"/>
      <c r="F8" s="118"/>
      <c r="G8" s="129" t="s">
        <v>52</v>
      </c>
      <c r="H8" s="130" t="s">
        <v>54</v>
      </c>
      <c r="I8" s="131" t="s">
        <v>56</v>
      </c>
      <c r="J8" s="118"/>
      <c r="K8" s="299" t="s">
        <v>144</v>
      </c>
      <c r="L8" s="300"/>
      <c r="M8" s="301"/>
      <c r="N8" s="157"/>
      <c r="O8" s="157"/>
      <c r="P8" s="157"/>
      <c r="Q8" s="157"/>
      <c r="R8" s="157"/>
      <c r="S8" s="157"/>
      <c r="T8" s="118"/>
      <c r="U8" s="118"/>
      <c r="V8" s="118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</row>
    <row r="9" spans="2:33" ht="42.6" customHeight="1" thickBot="1" x14ac:dyDescent="0.35">
      <c r="B9" s="132" t="s">
        <v>3</v>
      </c>
      <c r="C9" s="132" t="s">
        <v>2</v>
      </c>
      <c r="D9" s="132" t="s">
        <v>4</v>
      </c>
      <c r="E9" s="118"/>
      <c r="F9" s="118"/>
      <c r="G9" s="132" t="s">
        <v>3</v>
      </c>
      <c r="H9" s="132" t="s">
        <v>2</v>
      </c>
      <c r="I9" s="132" t="s">
        <v>4</v>
      </c>
      <c r="J9" s="118"/>
      <c r="K9" s="168" t="s">
        <v>145</v>
      </c>
      <c r="L9" s="302" t="s">
        <v>136</v>
      </c>
      <c r="M9" s="303"/>
      <c r="N9" s="157"/>
      <c r="O9" s="157"/>
      <c r="P9" s="157"/>
      <c r="Q9" s="157"/>
      <c r="R9" s="157"/>
      <c r="S9" s="157"/>
      <c r="T9" s="118"/>
      <c r="U9" s="118"/>
      <c r="V9" s="118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</row>
    <row r="10" spans="2:33" ht="15.6" x14ac:dyDescent="0.3">
      <c r="B10" s="134" t="s">
        <v>6</v>
      </c>
      <c r="C10" s="135">
        <v>142.21873233688572</v>
      </c>
      <c r="D10" s="136" t="s">
        <v>7</v>
      </c>
      <c r="E10" s="118"/>
      <c r="F10" s="118"/>
      <c r="G10" s="134" t="s">
        <v>6</v>
      </c>
      <c r="H10" s="135">
        <v>189.6016412427698</v>
      </c>
      <c r="I10" s="136" t="s">
        <v>7</v>
      </c>
      <c r="J10" s="118"/>
      <c r="K10" s="169"/>
      <c r="L10" s="304" t="s">
        <v>130</v>
      </c>
      <c r="M10" s="305"/>
      <c r="N10" s="157"/>
      <c r="O10" s="157"/>
      <c r="P10" s="157"/>
      <c r="Q10" s="157"/>
      <c r="R10" s="157"/>
      <c r="S10" s="157"/>
      <c r="T10" s="118"/>
      <c r="U10" s="118"/>
      <c r="V10" s="118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</row>
    <row r="11" spans="2:33" ht="31.2" x14ac:dyDescent="0.3">
      <c r="B11" s="134" t="s">
        <v>9</v>
      </c>
      <c r="C11" s="138">
        <v>1.1973176092796785</v>
      </c>
      <c r="D11" s="136" t="s">
        <v>10</v>
      </c>
      <c r="E11" s="118"/>
      <c r="F11" s="118"/>
      <c r="G11" s="134" t="s">
        <v>9</v>
      </c>
      <c r="H11" s="138">
        <v>1.3665475686968489</v>
      </c>
      <c r="I11" s="136" t="s">
        <v>10</v>
      </c>
      <c r="J11" s="118"/>
      <c r="K11" s="170" t="s">
        <v>142</v>
      </c>
      <c r="L11" s="304"/>
      <c r="M11" s="305"/>
      <c r="N11" s="157"/>
      <c r="O11" s="157"/>
      <c r="P11" s="157"/>
      <c r="Q11" s="157"/>
      <c r="R11" s="157"/>
      <c r="S11" s="157"/>
      <c r="T11" s="118"/>
      <c r="U11" s="118"/>
      <c r="V11" s="118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</row>
    <row r="12" spans="2:33" ht="16.2" thickBot="1" x14ac:dyDescent="0.35">
      <c r="B12" s="134" t="s">
        <v>53</v>
      </c>
      <c r="C12" s="138">
        <v>0.02</v>
      </c>
      <c r="D12" s="136" t="s">
        <v>12</v>
      </c>
      <c r="E12" s="118"/>
      <c r="F12" s="118"/>
      <c r="G12" s="134" t="s">
        <v>53</v>
      </c>
      <c r="H12" s="138">
        <v>3.3167086636593623E-2</v>
      </c>
      <c r="I12" s="136" t="s">
        <v>12</v>
      </c>
      <c r="J12" s="118"/>
      <c r="K12" s="171"/>
      <c r="L12" s="306" t="s">
        <v>131</v>
      </c>
      <c r="M12" s="307"/>
      <c r="N12" s="157"/>
      <c r="O12" s="157"/>
      <c r="P12" s="157"/>
      <c r="Q12" s="157"/>
      <c r="R12" s="157"/>
      <c r="S12" s="157"/>
      <c r="T12" s="118"/>
      <c r="U12" s="118"/>
      <c r="V12" s="118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spans="2:33" s="87" customFormat="1" ht="16.2" thickBot="1" x14ac:dyDescent="0.35">
      <c r="B13" s="118"/>
      <c r="C13" s="140">
        <v>0.02</v>
      </c>
      <c r="D13" s="118"/>
      <c r="E13" s="118"/>
      <c r="F13" s="118"/>
      <c r="G13" s="118"/>
      <c r="H13" s="140">
        <v>0.03</v>
      </c>
      <c r="I13" s="118"/>
      <c r="J13" s="118"/>
      <c r="K13" s="167"/>
      <c r="L13" s="157"/>
      <c r="M13" s="166"/>
      <c r="N13" s="157"/>
      <c r="O13" s="157"/>
      <c r="P13" s="157"/>
      <c r="Q13" s="157"/>
      <c r="R13" s="157"/>
      <c r="S13" s="157"/>
      <c r="T13" s="118"/>
      <c r="U13" s="118"/>
      <c r="V13" s="118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</row>
    <row r="14" spans="2:33" s="87" customFormat="1" ht="78.599999999999994" thickBot="1" x14ac:dyDescent="0.35">
      <c r="B14" s="118"/>
      <c r="C14" s="118"/>
      <c r="D14" s="118"/>
      <c r="E14" s="118"/>
      <c r="F14" s="118"/>
      <c r="G14" s="118"/>
      <c r="H14" s="118"/>
      <c r="I14" s="118"/>
      <c r="J14" s="118"/>
      <c r="K14" s="172" t="s">
        <v>137</v>
      </c>
      <c r="L14" s="308" t="s">
        <v>138</v>
      </c>
      <c r="M14" s="309"/>
      <c r="N14" s="157"/>
      <c r="O14" s="157"/>
      <c r="P14" s="157"/>
      <c r="Q14" s="157"/>
      <c r="R14" s="157"/>
      <c r="S14" s="157"/>
      <c r="T14" s="118"/>
      <c r="U14" s="118"/>
      <c r="V14" s="118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</row>
    <row r="15" spans="2:33" s="87" customFormat="1" ht="86.4" customHeight="1" thickBot="1" x14ac:dyDescent="0.35">
      <c r="B15" s="285" t="s">
        <v>115</v>
      </c>
      <c r="C15" s="313"/>
      <c r="D15" s="314"/>
      <c r="E15" s="118"/>
      <c r="F15" s="118"/>
      <c r="G15" s="285" t="s">
        <v>116</v>
      </c>
      <c r="H15" s="286"/>
      <c r="I15" s="287"/>
      <c r="J15" s="118"/>
      <c r="K15" s="310" t="s">
        <v>132</v>
      </c>
      <c r="L15" s="311"/>
      <c r="M15" s="312"/>
      <c r="N15" s="157"/>
      <c r="O15" s="157"/>
      <c r="P15" s="158"/>
      <c r="Q15" s="158"/>
      <c r="R15" s="157"/>
      <c r="S15" s="157"/>
      <c r="T15" s="118"/>
      <c r="U15" s="118"/>
      <c r="V15" s="118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</row>
    <row r="16" spans="2:33" s="87" customFormat="1" ht="16.2" thickBot="1" x14ac:dyDescent="0.35">
      <c r="B16" s="118"/>
      <c r="C16" s="118"/>
      <c r="D16" s="118"/>
      <c r="E16" s="118"/>
      <c r="F16" s="118"/>
      <c r="G16" s="118"/>
      <c r="H16" s="118"/>
      <c r="I16" s="118"/>
      <c r="J16" s="118"/>
      <c r="K16" s="315"/>
      <c r="L16" s="316"/>
      <c r="M16" s="317"/>
      <c r="N16" s="157"/>
      <c r="O16" s="157"/>
      <c r="P16" s="158"/>
      <c r="Q16" s="158"/>
      <c r="R16" s="158"/>
      <c r="S16" s="157"/>
      <c r="T16" s="118"/>
      <c r="U16" s="118"/>
      <c r="V16" s="118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</row>
    <row r="17" spans="2:33" s="87" customFormat="1" ht="30" customHeight="1" thickBot="1" x14ac:dyDescent="0.35">
      <c r="B17" s="118"/>
      <c r="C17" s="118"/>
      <c r="D17" s="118"/>
      <c r="E17" s="118"/>
      <c r="F17" s="118"/>
      <c r="G17" s="118"/>
      <c r="H17" s="118"/>
      <c r="I17" s="118"/>
      <c r="J17" s="118"/>
      <c r="K17" s="320" t="s">
        <v>143</v>
      </c>
      <c r="L17" s="321"/>
      <c r="M17" s="322"/>
      <c r="N17" s="157"/>
      <c r="O17" s="157"/>
      <c r="P17" s="160"/>
      <c r="Q17" s="159"/>
      <c r="R17" s="157"/>
      <c r="S17" s="157"/>
      <c r="T17" s="118"/>
      <c r="U17" s="118"/>
      <c r="V17" s="118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</row>
    <row r="18" spans="2:33" s="87" customFormat="1" ht="63" thickBot="1" x14ac:dyDescent="0.35">
      <c r="B18" s="118"/>
      <c r="C18" s="118"/>
      <c r="D18" s="118"/>
      <c r="E18" s="118"/>
      <c r="F18" s="118"/>
      <c r="G18" s="118"/>
      <c r="H18" s="118"/>
      <c r="I18" s="118"/>
      <c r="J18" s="118"/>
      <c r="K18" s="177" t="s">
        <v>139</v>
      </c>
      <c r="L18" s="292" t="s">
        <v>133</v>
      </c>
      <c r="M18" s="293"/>
      <c r="N18" s="157"/>
      <c r="O18" s="157"/>
      <c r="P18" s="160"/>
      <c r="Q18" s="161"/>
      <c r="R18" s="157"/>
      <c r="S18" s="157"/>
      <c r="T18" s="118"/>
      <c r="U18" s="118"/>
      <c r="V18" s="118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</row>
    <row r="19" spans="2:33" s="87" customFormat="1" ht="47.4" customHeight="1" thickBot="1" x14ac:dyDescent="0.35">
      <c r="B19" s="129" t="s">
        <v>51</v>
      </c>
      <c r="C19" s="142" t="s">
        <v>70</v>
      </c>
      <c r="D19" s="143">
        <v>0</v>
      </c>
      <c r="E19" s="118"/>
      <c r="F19" s="118"/>
      <c r="G19" s="129" t="s">
        <v>52</v>
      </c>
      <c r="H19" s="142" t="s">
        <v>70</v>
      </c>
      <c r="I19" s="143">
        <v>0</v>
      </c>
      <c r="J19" s="118"/>
      <c r="K19" s="294" t="s">
        <v>148</v>
      </c>
      <c r="L19" s="295"/>
      <c r="M19" s="296"/>
      <c r="N19" s="157"/>
      <c r="O19" s="157"/>
      <c r="P19" s="160"/>
      <c r="Q19" s="161"/>
      <c r="R19" s="157"/>
      <c r="S19" s="157"/>
      <c r="T19" s="118"/>
      <c r="U19" s="118"/>
      <c r="V19" s="118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</row>
    <row r="20" spans="2:33" s="87" customFormat="1" ht="31.8" thickBot="1" x14ac:dyDescent="0.35">
      <c r="B20" s="132" t="s">
        <v>3</v>
      </c>
      <c r="C20" s="132" t="s">
        <v>2</v>
      </c>
      <c r="D20" s="132" t="s">
        <v>4</v>
      </c>
      <c r="E20" s="118"/>
      <c r="F20" s="118"/>
      <c r="G20" s="132" t="s">
        <v>3</v>
      </c>
      <c r="H20" s="132" t="s">
        <v>2</v>
      </c>
      <c r="I20" s="132" t="s">
        <v>4</v>
      </c>
      <c r="J20" s="118"/>
      <c r="K20" s="177" t="s">
        <v>140</v>
      </c>
      <c r="L20" s="292" t="s">
        <v>134</v>
      </c>
      <c r="M20" s="293"/>
      <c r="N20" s="157"/>
      <c r="O20" s="157"/>
      <c r="P20" s="157"/>
      <c r="Q20" s="162"/>
      <c r="R20" s="157"/>
      <c r="S20" s="157"/>
      <c r="T20" s="118"/>
      <c r="U20" s="118"/>
      <c r="V20" s="118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</row>
    <row r="21" spans="2:33" ht="46.8" customHeight="1" thickBot="1" x14ac:dyDescent="0.35">
      <c r="B21" s="134" t="s">
        <v>59</v>
      </c>
      <c r="C21" s="135">
        <v>32.726661019236445</v>
      </c>
      <c r="D21" s="136" t="s">
        <v>7</v>
      </c>
      <c r="E21" s="118"/>
      <c r="F21" s="118"/>
      <c r="G21" s="134" t="s">
        <v>59</v>
      </c>
      <c r="H21" s="135">
        <v>-84.640380392394036</v>
      </c>
      <c r="I21" s="136" t="s">
        <v>7</v>
      </c>
      <c r="J21" s="118"/>
      <c r="K21" s="294" t="s">
        <v>147</v>
      </c>
      <c r="L21" s="295"/>
      <c r="M21" s="296"/>
      <c r="N21" s="157"/>
      <c r="O21" s="157"/>
      <c r="P21" s="157"/>
      <c r="Q21" s="157"/>
      <c r="R21" s="157"/>
      <c r="S21" s="157"/>
      <c r="T21" s="118"/>
      <c r="U21" s="118"/>
      <c r="V21" s="118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</row>
    <row r="22" spans="2:33" ht="63" thickBot="1" x14ac:dyDescent="0.35">
      <c r="B22" s="134" t="s">
        <v>9</v>
      </c>
      <c r="C22" s="138">
        <v>1.0454152967017003</v>
      </c>
      <c r="D22" s="136" t="s">
        <v>10</v>
      </c>
      <c r="E22" s="118"/>
      <c r="F22" s="118"/>
      <c r="G22" s="134" t="s">
        <v>9</v>
      </c>
      <c r="H22" s="138">
        <v>0.88199540012474498</v>
      </c>
      <c r="I22" s="136" t="s">
        <v>10</v>
      </c>
      <c r="J22" s="118"/>
      <c r="K22" s="177" t="s">
        <v>141</v>
      </c>
      <c r="L22" s="292" t="s">
        <v>135</v>
      </c>
      <c r="M22" s="293"/>
      <c r="N22" s="157"/>
      <c r="O22" s="157"/>
      <c r="P22" s="157"/>
      <c r="Q22" s="157"/>
      <c r="R22" s="157"/>
      <c r="S22" s="157"/>
      <c r="T22" s="118"/>
      <c r="U22" s="118"/>
      <c r="V22" s="118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</row>
    <row r="23" spans="2:33" ht="46.8" customHeight="1" thickBot="1" x14ac:dyDescent="0.35">
      <c r="B23" s="134" t="s">
        <v>53</v>
      </c>
      <c r="C23" s="138">
        <v>4.0685820001042927E-3</v>
      </c>
      <c r="D23" s="136" t="s">
        <v>12</v>
      </c>
      <c r="E23" s="118"/>
      <c r="F23" s="118"/>
      <c r="G23" s="134" t="s">
        <v>53</v>
      </c>
      <c r="H23" s="138">
        <v>-1.2217661607895836E-2</v>
      </c>
      <c r="I23" s="136" t="s">
        <v>12</v>
      </c>
      <c r="J23" s="118"/>
      <c r="K23" s="294" t="s">
        <v>146</v>
      </c>
      <c r="L23" s="295"/>
      <c r="M23" s="296"/>
      <c r="N23" s="157"/>
      <c r="O23" s="157"/>
      <c r="P23" s="157"/>
      <c r="Q23" s="157"/>
      <c r="R23" s="157"/>
      <c r="S23" s="157"/>
      <c r="T23" s="118"/>
      <c r="U23" s="118"/>
      <c r="V23" s="118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</row>
    <row r="24" spans="2:33" s="87" customFormat="1" ht="15.6" x14ac:dyDescent="0.3">
      <c r="B24" s="118"/>
      <c r="C24" s="140">
        <v>0</v>
      </c>
      <c r="D24" s="118"/>
      <c r="E24" s="118"/>
      <c r="F24" s="118"/>
      <c r="G24" s="118"/>
      <c r="H24" s="140">
        <v>-0.01</v>
      </c>
      <c r="I24" s="118"/>
      <c r="J24" s="118"/>
      <c r="K24" s="164"/>
      <c r="L24" s="174"/>
      <c r="M24" s="157"/>
      <c r="N24" s="157"/>
      <c r="O24" s="157"/>
      <c r="P24" s="157"/>
      <c r="Q24" s="157"/>
      <c r="R24" s="157"/>
      <c r="S24" s="157"/>
      <c r="T24" s="118"/>
      <c r="U24" s="118"/>
      <c r="V24" s="118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spans="2:33" s="87" customFormat="1" ht="16.2" thickBot="1" x14ac:dyDescent="0.35">
      <c r="B25" s="118"/>
      <c r="C25" s="118"/>
      <c r="D25" s="118"/>
      <c r="E25" s="118"/>
      <c r="F25" s="118"/>
      <c r="G25" s="118"/>
      <c r="H25" s="118"/>
      <c r="I25" s="118"/>
      <c r="J25" s="118"/>
      <c r="K25" s="163"/>
      <c r="L25" s="173"/>
      <c r="M25" s="157"/>
      <c r="N25" s="157"/>
      <c r="O25" s="157"/>
      <c r="P25" s="157"/>
      <c r="Q25" s="157"/>
      <c r="R25" s="157"/>
      <c r="S25" s="157"/>
      <c r="T25" s="118"/>
      <c r="U25" s="118"/>
      <c r="V25" s="118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spans="2:33" s="87" customFormat="1" ht="87.6" customHeight="1" thickBot="1" x14ac:dyDescent="0.35">
      <c r="B26" s="285" t="s">
        <v>117</v>
      </c>
      <c r="C26" s="286"/>
      <c r="D26" s="287"/>
      <c r="E26" s="118"/>
      <c r="F26" s="118"/>
      <c r="G26" s="285" t="s">
        <v>118</v>
      </c>
      <c r="H26" s="286"/>
      <c r="I26" s="287"/>
      <c r="J26" s="118"/>
      <c r="L26" s="174"/>
      <c r="M26" s="157"/>
      <c r="N26" s="157"/>
      <c r="O26" s="157"/>
      <c r="P26" s="157"/>
      <c r="Q26" s="157"/>
      <c r="R26" s="157"/>
      <c r="S26" s="157"/>
      <c r="T26" s="118"/>
      <c r="U26" s="118"/>
      <c r="V26" s="118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</row>
    <row r="27" spans="2:33" s="87" customFormat="1" ht="43.2" customHeight="1" x14ac:dyDescent="0.3">
      <c r="B27" s="155"/>
      <c r="C27" s="156"/>
      <c r="D27" s="156"/>
      <c r="E27" s="118"/>
      <c r="F27" s="118"/>
      <c r="G27" s="155"/>
      <c r="H27" s="156"/>
      <c r="I27" s="156"/>
      <c r="J27" s="118"/>
      <c r="M27" s="157"/>
      <c r="N27" s="157"/>
      <c r="O27" s="157"/>
      <c r="P27" s="157"/>
      <c r="Q27" s="157"/>
      <c r="R27" s="157"/>
      <c r="S27" s="157"/>
      <c r="T27" s="118"/>
      <c r="U27" s="118"/>
      <c r="V27" s="118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</row>
    <row r="28" spans="2:33" s="87" customFormat="1" ht="16.2" thickBot="1" x14ac:dyDescent="0.35">
      <c r="B28" s="155"/>
      <c r="C28" s="156"/>
      <c r="D28" s="156"/>
      <c r="E28" s="118"/>
      <c r="F28" s="118"/>
      <c r="G28" s="156"/>
      <c r="H28" s="156"/>
      <c r="I28" s="156"/>
      <c r="J28" s="118"/>
      <c r="L28" s="157"/>
      <c r="M28" s="157"/>
      <c r="N28" s="157"/>
      <c r="O28" s="157"/>
      <c r="P28" s="157"/>
      <c r="Q28" s="157"/>
      <c r="R28" s="157"/>
      <c r="S28" s="157"/>
      <c r="T28" s="118"/>
      <c r="U28" s="118"/>
      <c r="V28" s="118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spans="2:33" s="87" customFormat="1" ht="31.8" thickBot="1" x14ac:dyDescent="0.35">
      <c r="B29" s="129" t="s">
        <v>51</v>
      </c>
      <c r="C29" s="142" t="s">
        <v>71</v>
      </c>
      <c r="D29" s="143">
        <v>0</v>
      </c>
      <c r="E29" s="118"/>
      <c r="F29" s="118"/>
      <c r="G29" s="129" t="s">
        <v>52</v>
      </c>
      <c r="H29" s="142" t="s">
        <v>71</v>
      </c>
      <c r="I29" s="143">
        <v>0</v>
      </c>
      <c r="J29" s="118"/>
      <c r="L29" s="157"/>
      <c r="M29" s="157"/>
      <c r="N29" s="157"/>
      <c r="O29" s="157"/>
      <c r="P29" s="157"/>
      <c r="Q29" s="157"/>
      <c r="R29" s="157"/>
      <c r="S29" s="157"/>
      <c r="T29" s="118"/>
      <c r="U29" s="118"/>
      <c r="V29" s="118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</row>
    <row r="30" spans="2:33" ht="15.6" x14ac:dyDescent="0.3">
      <c r="B30" s="132" t="s">
        <v>3</v>
      </c>
      <c r="C30" s="132" t="s">
        <v>2</v>
      </c>
      <c r="D30" s="132" t="s">
        <v>4</v>
      </c>
      <c r="E30" s="118"/>
      <c r="F30" s="118"/>
      <c r="G30" s="132" t="s">
        <v>3</v>
      </c>
      <c r="H30" s="132" t="s">
        <v>2</v>
      </c>
      <c r="I30" s="132" t="s">
        <v>4</v>
      </c>
      <c r="J30" s="118"/>
      <c r="L30" s="157"/>
      <c r="M30" s="157"/>
      <c r="N30" s="157"/>
      <c r="O30" s="157"/>
      <c r="P30" s="157"/>
      <c r="Q30" s="157"/>
      <c r="R30" s="157"/>
      <c r="S30" s="157"/>
      <c r="T30" s="118"/>
      <c r="U30" s="118"/>
      <c r="V30" s="118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spans="2:33" ht="15.6" x14ac:dyDescent="0.3">
      <c r="B31" s="134" t="s">
        <v>59</v>
      </c>
      <c r="C31" s="135">
        <v>9.9752828728182195</v>
      </c>
      <c r="D31" s="136" t="s">
        <v>7</v>
      </c>
      <c r="E31" s="118"/>
      <c r="F31" s="118"/>
      <c r="G31" s="134" t="s">
        <v>59</v>
      </c>
      <c r="H31" s="135">
        <v>-101.24242145013849</v>
      </c>
      <c r="I31" s="136" t="s">
        <v>7</v>
      </c>
      <c r="J31" s="118"/>
      <c r="K31" s="163"/>
      <c r="L31" s="157"/>
      <c r="M31" s="157"/>
      <c r="N31" s="157"/>
      <c r="O31" s="157"/>
      <c r="P31" s="157"/>
      <c r="Q31" s="157"/>
      <c r="R31" s="157"/>
      <c r="S31" s="157"/>
      <c r="T31" s="118"/>
      <c r="U31" s="118"/>
      <c r="V31" s="118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spans="2:33" ht="15.6" x14ac:dyDescent="0.3">
      <c r="B32" s="134" t="s">
        <v>9</v>
      </c>
      <c r="C32" s="138">
        <v>1.0138428552514458</v>
      </c>
      <c r="D32" s="136" t="s">
        <v>10</v>
      </c>
      <c r="E32" s="118"/>
      <c r="F32" s="118"/>
      <c r="G32" s="134" t="s">
        <v>9</v>
      </c>
      <c r="H32" s="138">
        <v>0.85884903425246073</v>
      </c>
      <c r="I32" s="136" t="s">
        <v>10</v>
      </c>
      <c r="J32" s="118"/>
      <c r="K32" s="163"/>
      <c r="L32" s="157"/>
      <c r="M32" s="157"/>
      <c r="N32" s="157"/>
      <c r="O32" s="157"/>
      <c r="P32" s="157"/>
      <c r="Q32" s="157"/>
      <c r="R32" s="157"/>
      <c r="S32" s="157"/>
      <c r="T32" s="118"/>
      <c r="U32" s="118"/>
      <c r="V32" s="118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</row>
    <row r="33" spans="2:33" ht="15.6" x14ac:dyDescent="0.3">
      <c r="B33" s="134" t="s">
        <v>53</v>
      </c>
      <c r="C33" s="138">
        <v>1.2705231771952263E-3</v>
      </c>
      <c r="D33" s="136" t="s">
        <v>12</v>
      </c>
      <c r="E33" s="118"/>
      <c r="F33" s="118"/>
      <c r="G33" s="134" t="s">
        <v>53</v>
      </c>
      <c r="H33" s="138">
        <v>-1.4936867523905883E-2</v>
      </c>
      <c r="I33" s="136" t="s">
        <v>12</v>
      </c>
      <c r="J33" s="118"/>
      <c r="K33" s="164"/>
      <c r="L33" s="157"/>
      <c r="M33" s="157"/>
      <c r="N33" s="157"/>
      <c r="O33" s="157"/>
      <c r="P33" s="157"/>
      <c r="Q33" s="157"/>
      <c r="R33" s="157"/>
      <c r="S33" s="157"/>
      <c r="T33" s="118"/>
      <c r="U33" s="118"/>
      <c r="V33" s="118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</row>
    <row r="34" spans="2:33" ht="15.6" x14ac:dyDescent="0.3">
      <c r="B34" s="118"/>
      <c r="C34" s="140">
        <v>0</v>
      </c>
      <c r="D34" s="118"/>
      <c r="E34" s="118"/>
      <c r="F34" s="118"/>
      <c r="G34" s="118"/>
      <c r="H34" s="140">
        <v>-0.01</v>
      </c>
      <c r="I34" s="118"/>
      <c r="J34" s="118"/>
      <c r="L34" s="157"/>
      <c r="M34" s="157"/>
      <c r="N34" s="157"/>
      <c r="O34" s="157"/>
      <c r="P34" s="157"/>
      <c r="Q34" s="157"/>
      <c r="R34" s="157"/>
      <c r="S34" s="157"/>
      <c r="T34" s="118"/>
      <c r="U34" s="118"/>
      <c r="V34" s="118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spans="2:33" s="87" customFormat="1" ht="16.2" thickBot="1" x14ac:dyDescent="0.35">
      <c r="B35" s="118"/>
      <c r="C35" s="118"/>
      <c r="D35" s="118"/>
      <c r="E35" s="118"/>
      <c r="F35" s="118"/>
      <c r="G35" s="118"/>
      <c r="H35" s="144"/>
      <c r="I35" s="118"/>
      <c r="J35" s="118"/>
      <c r="K35" s="164"/>
      <c r="L35" s="157"/>
      <c r="M35" s="157"/>
      <c r="N35" s="157"/>
      <c r="O35" s="157"/>
      <c r="P35" s="157"/>
      <c r="Q35" s="157"/>
      <c r="R35" s="157"/>
      <c r="S35" s="157"/>
      <c r="T35" s="118"/>
      <c r="U35" s="118"/>
      <c r="V35" s="118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</row>
    <row r="36" spans="2:33" s="87" customFormat="1" ht="79.2" customHeight="1" thickBot="1" x14ac:dyDescent="0.35">
      <c r="B36" s="288" t="s">
        <v>119</v>
      </c>
      <c r="C36" s="289"/>
      <c r="D36" s="290"/>
      <c r="E36" s="118"/>
      <c r="F36" s="118"/>
      <c r="G36" s="288" t="s">
        <v>169</v>
      </c>
      <c r="H36" s="289"/>
      <c r="I36" s="290"/>
      <c r="J36" s="118"/>
      <c r="K36" s="164"/>
      <c r="L36" s="157"/>
      <c r="M36" s="157"/>
      <c r="N36" s="157"/>
      <c r="O36" s="157"/>
      <c r="P36" s="157"/>
      <c r="Q36" s="157"/>
      <c r="R36" s="157"/>
      <c r="S36" s="157"/>
      <c r="T36" s="118"/>
      <c r="U36" s="118"/>
      <c r="V36" s="118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</row>
    <row r="37" spans="2:33" s="87" customFormat="1" ht="15.6" x14ac:dyDescent="0.3">
      <c r="B37" s="118"/>
      <c r="C37" s="118"/>
      <c r="D37" s="118"/>
      <c r="E37" s="118"/>
      <c r="F37" s="118"/>
      <c r="G37" s="118"/>
      <c r="H37" s="118"/>
      <c r="I37" s="118"/>
      <c r="J37" s="118"/>
      <c r="K37" s="173"/>
      <c r="L37" s="157"/>
      <c r="M37" s="157"/>
      <c r="N37" s="157"/>
      <c r="O37" s="157"/>
      <c r="P37" s="157"/>
      <c r="Q37" s="157"/>
      <c r="R37" s="157"/>
      <c r="S37" s="157"/>
      <c r="T37" s="118"/>
      <c r="U37" s="118"/>
      <c r="V37" s="118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</row>
    <row r="38" spans="2:33" s="87" customFormat="1" ht="15.6" x14ac:dyDescent="0.3">
      <c r="B38" s="118"/>
      <c r="C38" s="118"/>
      <c r="D38" s="118"/>
      <c r="E38" s="118"/>
      <c r="F38" s="118"/>
      <c r="G38" s="118"/>
      <c r="H38" s="118"/>
      <c r="I38" s="118"/>
      <c r="J38" s="118"/>
      <c r="K38" s="174"/>
      <c r="L38" s="157"/>
      <c r="M38" s="157"/>
      <c r="N38" s="157"/>
      <c r="O38" s="157"/>
      <c r="P38" s="157"/>
      <c r="Q38" s="157"/>
      <c r="R38" s="157"/>
      <c r="S38" s="157"/>
      <c r="T38" s="118"/>
      <c r="U38" s="118"/>
      <c r="V38" s="118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</row>
    <row r="39" spans="2:33" s="87" customFormat="1" ht="16.2" thickBot="1" x14ac:dyDescent="0.35">
      <c r="B39" s="118"/>
      <c r="C39" s="118"/>
      <c r="D39" s="118"/>
      <c r="E39" s="118"/>
      <c r="F39" s="118"/>
      <c r="G39" s="118"/>
      <c r="H39" s="118"/>
      <c r="I39" s="118"/>
      <c r="J39" s="118"/>
      <c r="K39" s="173"/>
      <c r="L39" s="157"/>
      <c r="M39" s="157"/>
      <c r="N39" s="157"/>
      <c r="O39" s="157"/>
      <c r="P39" s="157"/>
      <c r="Q39" s="157"/>
      <c r="R39" s="157"/>
      <c r="S39" s="157"/>
      <c r="T39" s="118"/>
      <c r="U39" s="118"/>
      <c r="V39" s="118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</row>
    <row r="40" spans="2:33" ht="47.4" thickBot="1" x14ac:dyDescent="0.35">
      <c r="B40" s="129" t="s">
        <v>51</v>
      </c>
      <c r="C40" s="142" t="s">
        <v>72</v>
      </c>
      <c r="D40" s="143">
        <v>0</v>
      </c>
      <c r="E40" s="118"/>
      <c r="F40" s="118"/>
      <c r="G40" s="129" t="s">
        <v>52</v>
      </c>
      <c r="H40" s="142" t="s">
        <v>72</v>
      </c>
      <c r="I40" s="143">
        <v>0</v>
      </c>
      <c r="J40" s="118"/>
      <c r="K40" s="174"/>
      <c r="L40" s="157"/>
      <c r="M40" s="157"/>
      <c r="N40" s="157"/>
      <c r="O40" s="157"/>
      <c r="P40" s="157"/>
      <c r="Q40" s="157"/>
      <c r="R40" s="157"/>
      <c r="S40" s="157"/>
      <c r="T40" s="118"/>
      <c r="U40" s="118"/>
      <c r="V40" s="118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</row>
    <row r="41" spans="2:33" ht="15.6" x14ac:dyDescent="0.3">
      <c r="B41" s="132" t="s">
        <v>3</v>
      </c>
      <c r="C41" s="132" t="s">
        <v>2</v>
      </c>
      <c r="D41" s="132" t="s">
        <v>4</v>
      </c>
      <c r="E41" s="118"/>
      <c r="F41" s="118"/>
      <c r="G41" s="132" t="s">
        <v>3</v>
      </c>
      <c r="H41" s="132" t="s">
        <v>2</v>
      </c>
      <c r="I41" s="132" t="s">
        <v>4</v>
      </c>
      <c r="J41" s="118"/>
      <c r="K41" s="164"/>
      <c r="L41" s="157"/>
      <c r="M41" s="157"/>
      <c r="N41" s="157"/>
      <c r="O41" s="157"/>
      <c r="P41" s="157"/>
      <c r="Q41" s="157"/>
      <c r="R41" s="157"/>
      <c r="S41" s="157"/>
      <c r="T41" s="118"/>
      <c r="U41" s="118"/>
      <c r="V41" s="118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</row>
    <row r="42" spans="2:33" ht="15.6" x14ac:dyDescent="0.3">
      <c r="B42" s="134" t="s">
        <v>59</v>
      </c>
      <c r="C42" s="135">
        <v>-71.224584027612082</v>
      </c>
      <c r="D42" s="136" t="s">
        <v>7</v>
      </c>
      <c r="E42" s="118"/>
      <c r="F42" s="118"/>
      <c r="G42" s="134" t="s">
        <v>59</v>
      </c>
      <c r="H42" s="135">
        <v>-160.95036933844747</v>
      </c>
      <c r="I42" s="136" t="s">
        <v>7</v>
      </c>
      <c r="J42" s="118"/>
      <c r="L42" s="157"/>
      <c r="M42" s="157"/>
      <c r="N42" s="157"/>
      <c r="O42" s="157"/>
      <c r="P42" s="157"/>
      <c r="Q42" s="157"/>
      <c r="R42" s="157"/>
      <c r="S42" s="157"/>
      <c r="T42" s="118"/>
      <c r="U42" s="118"/>
      <c r="V42" s="118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</row>
    <row r="43" spans="2:33" ht="15.6" x14ac:dyDescent="0.3">
      <c r="B43" s="134" t="s">
        <v>9</v>
      </c>
      <c r="C43" s="138">
        <v>0.90116053653723371</v>
      </c>
      <c r="D43" s="136" t="s">
        <v>10</v>
      </c>
      <c r="E43" s="118"/>
      <c r="F43" s="118"/>
      <c r="G43" s="134" t="s">
        <v>9</v>
      </c>
      <c r="H43" s="138">
        <v>0.77560493176535028</v>
      </c>
      <c r="I43" s="136" t="s">
        <v>10</v>
      </c>
      <c r="J43" s="118"/>
      <c r="K43" s="164"/>
      <c r="L43" s="157"/>
      <c r="M43" s="157"/>
      <c r="N43" s="157"/>
      <c r="O43" s="157"/>
      <c r="P43" s="157"/>
      <c r="Q43" s="157"/>
      <c r="R43" s="157"/>
      <c r="S43" s="157"/>
      <c r="T43" s="118"/>
      <c r="U43" s="118"/>
      <c r="V43" s="118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</row>
    <row r="44" spans="2:33" ht="15.6" x14ac:dyDescent="0.3">
      <c r="B44" s="134" t="s">
        <v>11</v>
      </c>
      <c r="C44" s="138">
        <v>-9.9674627317470899E-3</v>
      </c>
      <c r="D44" s="136" t="s">
        <v>12</v>
      </c>
      <c r="E44" s="118"/>
      <c r="F44" s="118"/>
      <c r="G44" s="134" t="s">
        <v>53</v>
      </c>
      <c r="H44" s="138">
        <v>-2.5850366591509077E-2</v>
      </c>
      <c r="I44" s="136" t="s">
        <v>12</v>
      </c>
      <c r="J44" s="118"/>
      <c r="K44" s="164"/>
      <c r="L44" s="157"/>
      <c r="M44" s="157"/>
      <c r="N44" s="157"/>
      <c r="O44" s="157"/>
      <c r="P44" s="157"/>
      <c r="Q44" s="157"/>
      <c r="R44" s="157"/>
      <c r="S44" s="157"/>
      <c r="T44" s="118"/>
      <c r="U44" s="118"/>
      <c r="V44" s="118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</row>
    <row r="45" spans="2:33" s="87" customFormat="1" ht="15.6" x14ac:dyDescent="0.3">
      <c r="B45" s="118"/>
      <c r="C45" s="140">
        <v>-0.01</v>
      </c>
      <c r="D45" s="118"/>
      <c r="E45" s="118"/>
      <c r="F45" s="118"/>
      <c r="G45" s="118"/>
      <c r="H45" s="140">
        <v>-0.03</v>
      </c>
      <c r="I45" s="118"/>
      <c r="J45" s="118"/>
      <c r="K45" s="173"/>
      <c r="L45" s="157"/>
      <c r="M45" s="157"/>
      <c r="N45" s="157"/>
      <c r="O45" s="157"/>
      <c r="P45" s="157"/>
      <c r="Q45" s="157"/>
      <c r="R45" s="157"/>
      <c r="S45" s="157"/>
      <c r="T45" s="118"/>
      <c r="U45" s="118"/>
      <c r="V45" s="118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</row>
    <row r="46" spans="2:33" s="87" customFormat="1" ht="16.2" thickBot="1" x14ac:dyDescent="0.35">
      <c r="B46" s="118"/>
      <c r="C46" s="118"/>
      <c r="D46" s="118"/>
      <c r="E46" s="118"/>
      <c r="F46" s="118"/>
      <c r="G46" s="118"/>
      <c r="H46" s="118"/>
      <c r="I46" s="118"/>
      <c r="J46" s="118"/>
      <c r="K46" s="174"/>
      <c r="L46" s="157"/>
      <c r="M46" s="157"/>
      <c r="N46" s="157"/>
      <c r="O46" s="157"/>
      <c r="P46" s="157"/>
      <c r="Q46" s="157"/>
      <c r="R46" s="157"/>
      <c r="S46" s="157"/>
      <c r="T46" s="118"/>
      <c r="U46" s="118"/>
      <c r="V46" s="118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</row>
    <row r="47" spans="2:33" ht="77.400000000000006" customHeight="1" thickBot="1" x14ac:dyDescent="0.35">
      <c r="B47" s="288" t="s">
        <v>120</v>
      </c>
      <c r="C47" s="289"/>
      <c r="D47" s="290"/>
      <c r="E47" s="118"/>
      <c r="F47" s="118"/>
      <c r="G47" s="288" t="s">
        <v>168</v>
      </c>
      <c r="H47" s="289"/>
      <c r="I47" s="290"/>
      <c r="J47" s="118"/>
      <c r="K47" s="173"/>
      <c r="L47" s="157"/>
      <c r="M47" s="157"/>
      <c r="N47" s="157"/>
      <c r="O47" s="157"/>
      <c r="P47" s="157"/>
      <c r="Q47" s="157"/>
      <c r="R47" s="157"/>
      <c r="S47" s="157"/>
      <c r="T47" s="118"/>
      <c r="U47" s="118"/>
      <c r="V47" s="118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</row>
    <row r="48" spans="2:33" ht="15.6" x14ac:dyDescent="0.3">
      <c r="B48" s="115"/>
      <c r="C48" s="118"/>
      <c r="D48" s="118"/>
      <c r="E48" s="118"/>
      <c r="F48" s="118"/>
      <c r="G48" s="118"/>
      <c r="H48" s="118"/>
      <c r="I48" s="118"/>
      <c r="J48" s="118"/>
      <c r="K48" s="174"/>
      <c r="L48" s="157"/>
      <c r="M48" s="157"/>
      <c r="N48" s="157"/>
      <c r="O48" s="157"/>
      <c r="P48" s="157"/>
      <c r="Q48" s="157"/>
      <c r="R48" s="157"/>
      <c r="S48" s="157"/>
      <c r="T48" s="118"/>
      <c r="U48" s="118"/>
      <c r="V48" s="118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</row>
    <row r="49" spans="2:33" ht="15.6" x14ac:dyDescent="0.3">
      <c r="B49" s="118"/>
      <c r="C49" s="118"/>
      <c r="D49" s="118"/>
      <c r="E49" s="118"/>
      <c r="F49" s="118"/>
      <c r="G49" s="118"/>
      <c r="H49" s="118"/>
      <c r="I49" s="118"/>
      <c r="J49" s="118"/>
      <c r="K49" s="164"/>
      <c r="L49" s="157"/>
      <c r="M49" s="157"/>
      <c r="N49" s="157"/>
      <c r="O49" s="157"/>
      <c r="P49" s="157"/>
      <c r="Q49" s="157"/>
      <c r="R49" s="157"/>
      <c r="S49" s="157"/>
      <c r="T49" s="118"/>
      <c r="U49" s="118"/>
      <c r="V49" s="118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</row>
    <row r="50" spans="2:33" ht="15.6" x14ac:dyDescent="0.3">
      <c r="B50" s="118"/>
      <c r="C50" s="118"/>
      <c r="D50" s="118"/>
      <c r="E50" s="118"/>
      <c r="F50" s="118"/>
      <c r="G50" s="118"/>
      <c r="H50" s="118"/>
      <c r="I50" s="118"/>
      <c r="J50" s="118"/>
      <c r="K50" s="175"/>
      <c r="L50" s="157"/>
      <c r="M50" s="157"/>
      <c r="N50" s="157"/>
      <c r="O50" s="157"/>
      <c r="P50" s="157"/>
      <c r="Q50" s="157"/>
      <c r="R50" s="157"/>
      <c r="S50" s="157"/>
      <c r="T50" s="118"/>
      <c r="U50" s="118"/>
      <c r="V50" s="118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</row>
    <row r="51" spans="2:33" ht="18" x14ac:dyDescent="0.35">
      <c r="B51" s="291" t="s">
        <v>65</v>
      </c>
      <c r="C51" s="291"/>
      <c r="D51" s="291"/>
      <c r="E51" s="291"/>
      <c r="F51" s="291"/>
      <c r="G51" s="291"/>
      <c r="H51" s="118"/>
      <c r="I51" s="118"/>
      <c r="J51" s="118"/>
      <c r="K51" s="157"/>
      <c r="L51" s="157"/>
      <c r="M51" s="157"/>
      <c r="N51" s="157"/>
      <c r="O51" s="157"/>
      <c r="P51" s="157"/>
      <c r="Q51" s="157"/>
      <c r="R51" s="157"/>
      <c r="S51" s="157"/>
      <c r="T51" s="118"/>
      <c r="U51" s="118"/>
      <c r="V51" s="118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</row>
    <row r="52" spans="2:33" s="87" customFormat="1" ht="16.2" thickBot="1" x14ac:dyDescent="0.35">
      <c r="B52" s="118"/>
      <c r="C52" s="118"/>
      <c r="D52" s="118"/>
      <c r="E52" s="118"/>
      <c r="F52" s="118"/>
      <c r="G52" s="118"/>
      <c r="H52" s="118"/>
      <c r="I52" s="118"/>
      <c r="J52" s="118"/>
      <c r="L52" s="157"/>
      <c r="M52" s="157"/>
      <c r="N52" s="157"/>
      <c r="O52" s="157"/>
      <c r="P52" s="157"/>
      <c r="Q52" s="157"/>
      <c r="R52" s="157"/>
      <c r="S52" s="157"/>
      <c r="T52" s="118"/>
      <c r="U52" s="118"/>
      <c r="V52" s="118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</row>
    <row r="53" spans="2:33" s="87" customFormat="1" ht="16.2" thickBot="1" x14ac:dyDescent="0.35">
      <c r="B53" s="146" t="s">
        <v>51</v>
      </c>
      <c r="C53" s="130" t="s">
        <v>54</v>
      </c>
      <c r="D53" s="131" t="s">
        <v>55</v>
      </c>
      <c r="E53" s="118"/>
      <c r="F53" s="118"/>
      <c r="G53" s="146" t="s">
        <v>52</v>
      </c>
      <c r="H53" s="130" t="s">
        <v>54</v>
      </c>
      <c r="I53" s="131" t="s">
        <v>56</v>
      </c>
      <c r="J53" s="118"/>
      <c r="K53" s="163"/>
      <c r="L53" s="157"/>
      <c r="M53" s="157"/>
      <c r="N53" s="157"/>
      <c r="O53" s="157"/>
      <c r="P53" s="157"/>
      <c r="Q53" s="157"/>
      <c r="R53" s="157"/>
      <c r="S53" s="157"/>
      <c r="T53" s="118"/>
      <c r="U53" s="118"/>
      <c r="V53" s="118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</row>
    <row r="54" spans="2:33" ht="15.6" x14ac:dyDescent="0.3">
      <c r="B54" s="147" t="s">
        <v>3</v>
      </c>
      <c r="C54" s="147" t="s">
        <v>2</v>
      </c>
      <c r="D54" s="147" t="s">
        <v>4</v>
      </c>
      <c r="E54" s="118"/>
      <c r="F54" s="118"/>
      <c r="G54" s="147" t="s">
        <v>3</v>
      </c>
      <c r="H54" s="147" t="s">
        <v>2</v>
      </c>
      <c r="I54" s="147" t="s">
        <v>4</v>
      </c>
      <c r="J54" s="118"/>
      <c r="K54" s="176"/>
      <c r="L54" s="157"/>
      <c r="M54" s="157"/>
      <c r="N54" s="157"/>
      <c r="O54" s="157"/>
      <c r="P54" s="157"/>
      <c r="Q54" s="157"/>
      <c r="R54" s="157"/>
      <c r="S54" s="157"/>
      <c r="T54" s="118"/>
      <c r="U54" s="118"/>
      <c r="V54" s="118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</row>
    <row r="55" spans="2:33" ht="15.6" x14ac:dyDescent="0.3">
      <c r="B55" s="148" t="s">
        <v>6</v>
      </c>
      <c r="C55" s="135">
        <v>352.94306605438504</v>
      </c>
      <c r="D55" s="136" t="s">
        <v>7</v>
      </c>
      <c r="E55" s="118"/>
      <c r="F55" s="118"/>
      <c r="G55" s="148" t="s">
        <v>6</v>
      </c>
      <c r="H55" s="135">
        <v>198.23334069291482</v>
      </c>
      <c r="I55" s="136" t="s">
        <v>7</v>
      </c>
      <c r="J55" s="118"/>
      <c r="K55" s="163"/>
      <c r="L55" s="157"/>
      <c r="M55" s="157"/>
      <c r="N55" s="157"/>
      <c r="O55" s="157"/>
      <c r="P55" s="157"/>
      <c r="Q55" s="157"/>
      <c r="R55" s="157"/>
      <c r="S55" s="157"/>
      <c r="T55" s="118"/>
      <c r="U55" s="118"/>
      <c r="V55" s="118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</row>
    <row r="56" spans="2:33" ht="15.6" x14ac:dyDescent="0.3">
      <c r="B56" s="148" t="s">
        <v>9</v>
      </c>
      <c r="C56" s="138">
        <v>1.6916324394004816</v>
      </c>
      <c r="D56" s="136" t="s">
        <v>10</v>
      </c>
      <c r="E56" s="118"/>
      <c r="F56" s="118"/>
      <c r="G56" s="148" t="s">
        <v>9</v>
      </c>
      <c r="H56" s="138">
        <v>1.3897384706993572</v>
      </c>
      <c r="I56" s="136" t="s">
        <v>10</v>
      </c>
      <c r="J56" s="118"/>
      <c r="K56" s="163"/>
      <c r="L56" s="157"/>
      <c r="M56" s="157"/>
      <c r="N56" s="157"/>
      <c r="O56" s="157"/>
      <c r="P56" s="157"/>
      <c r="Q56" s="157"/>
      <c r="R56" s="157"/>
      <c r="S56" s="157"/>
      <c r="T56" s="118"/>
      <c r="U56" s="118"/>
      <c r="V56" s="118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</row>
    <row r="57" spans="2:33" ht="15.6" x14ac:dyDescent="0.3">
      <c r="B57" s="148" t="s">
        <v>11</v>
      </c>
      <c r="C57" s="138">
        <v>5.235816440505614E-2</v>
      </c>
      <c r="D57" s="136" t="s">
        <v>12</v>
      </c>
      <c r="E57" s="118"/>
      <c r="F57" s="118"/>
      <c r="G57" s="148" t="s">
        <v>11</v>
      </c>
      <c r="H57" s="138">
        <v>3.468994923777835E-2</v>
      </c>
      <c r="I57" s="136" t="s">
        <v>12</v>
      </c>
      <c r="J57" s="118"/>
      <c r="K57" s="164"/>
      <c r="L57" s="157"/>
      <c r="M57" s="157"/>
      <c r="N57" s="157"/>
      <c r="O57" s="157"/>
      <c r="P57" s="157"/>
      <c r="Q57" s="157"/>
      <c r="R57" s="157"/>
      <c r="S57" s="157"/>
      <c r="T57" s="118"/>
      <c r="U57" s="118"/>
      <c r="V57" s="118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</row>
    <row r="58" spans="2:33" ht="15.6" x14ac:dyDescent="0.3">
      <c r="B58" s="118"/>
      <c r="C58" s="140">
        <v>0.05</v>
      </c>
      <c r="D58" s="118"/>
      <c r="E58" s="118"/>
      <c r="F58" s="118"/>
      <c r="G58" s="118"/>
      <c r="H58" s="140">
        <v>0.03</v>
      </c>
      <c r="I58" s="118"/>
      <c r="J58" s="118"/>
      <c r="K58" s="165"/>
      <c r="L58" s="157"/>
      <c r="M58" s="157"/>
      <c r="N58" s="157"/>
      <c r="O58" s="157"/>
      <c r="P58" s="157"/>
      <c r="Q58" s="157"/>
      <c r="R58" s="157"/>
      <c r="S58" s="157"/>
      <c r="T58" s="118"/>
      <c r="U58" s="118"/>
      <c r="V58" s="118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</row>
    <row r="59" spans="2:33" s="87" customFormat="1" ht="16.2" thickBot="1" x14ac:dyDescent="0.35">
      <c r="B59" s="118"/>
      <c r="C59" s="118"/>
      <c r="D59" s="118"/>
      <c r="E59" s="118"/>
      <c r="F59" s="118"/>
      <c r="G59" s="118"/>
      <c r="H59" s="118"/>
      <c r="I59" s="118"/>
      <c r="J59" s="118"/>
      <c r="K59" s="164"/>
      <c r="L59" s="157"/>
      <c r="M59" s="157"/>
      <c r="N59" s="157"/>
      <c r="O59" s="157"/>
      <c r="P59" s="157"/>
      <c r="Q59" s="157"/>
      <c r="R59" s="157"/>
      <c r="S59" s="157"/>
      <c r="T59" s="118"/>
      <c r="U59" s="118"/>
      <c r="V59" s="118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</row>
    <row r="60" spans="2:33" s="87" customFormat="1" ht="120" customHeight="1" thickBot="1" x14ac:dyDescent="0.35">
      <c r="B60" s="288" t="s">
        <v>121</v>
      </c>
      <c r="C60" s="289"/>
      <c r="D60" s="290"/>
      <c r="E60" s="118"/>
      <c r="F60" s="118"/>
      <c r="G60" s="288" t="s">
        <v>122</v>
      </c>
      <c r="H60" s="289"/>
      <c r="I60" s="290"/>
      <c r="J60" s="118"/>
      <c r="K60" s="175"/>
      <c r="L60" s="157"/>
      <c r="M60" s="157"/>
      <c r="N60" s="157"/>
      <c r="O60" s="157"/>
      <c r="P60" s="157"/>
      <c r="Q60" s="157"/>
      <c r="R60" s="157"/>
      <c r="S60" s="157"/>
      <c r="T60" s="118"/>
      <c r="U60" s="118"/>
      <c r="V60" s="118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</row>
    <row r="61" spans="2:33" s="87" customFormat="1" ht="15.6" x14ac:dyDescent="0.3">
      <c r="B61" s="118"/>
      <c r="C61" s="118"/>
      <c r="D61" s="118"/>
      <c r="E61" s="118"/>
      <c r="F61" s="118"/>
      <c r="G61" s="118"/>
      <c r="H61" s="118"/>
      <c r="I61" s="118"/>
      <c r="J61" s="118"/>
      <c r="K61" s="163"/>
      <c r="L61" s="157"/>
      <c r="M61" s="157"/>
      <c r="N61" s="157"/>
      <c r="O61" s="157"/>
      <c r="P61" s="157"/>
      <c r="Q61" s="157"/>
      <c r="R61" s="157"/>
      <c r="S61" s="157"/>
      <c r="T61" s="118"/>
      <c r="U61" s="118"/>
      <c r="V61" s="118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</row>
    <row r="62" spans="2:33" s="87" customFormat="1" ht="16.2" thickBot="1" x14ac:dyDescent="0.35">
      <c r="B62" s="118"/>
      <c r="C62" s="118"/>
      <c r="D62" s="118"/>
      <c r="E62" s="118"/>
      <c r="F62" s="118"/>
      <c r="G62" s="118"/>
      <c r="H62" s="118"/>
      <c r="I62" s="118"/>
      <c r="J62" s="118"/>
      <c r="K62" s="176"/>
      <c r="L62" s="157"/>
      <c r="M62" s="157"/>
      <c r="N62" s="157"/>
      <c r="O62" s="157"/>
      <c r="P62" s="157"/>
      <c r="Q62" s="157"/>
      <c r="R62" s="157"/>
      <c r="S62" s="157"/>
      <c r="T62" s="118"/>
      <c r="U62" s="118"/>
      <c r="V62" s="118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</row>
    <row r="63" spans="2:33" ht="31.8" thickBot="1" x14ac:dyDescent="0.35">
      <c r="B63" s="146" t="s">
        <v>51</v>
      </c>
      <c r="C63" s="142" t="s">
        <v>70</v>
      </c>
      <c r="D63" s="143">
        <v>0</v>
      </c>
      <c r="E63" s="118"/>
      <c r="F63" s="118"/>
      <c r="G63" s="146" t="s">
        <v>52</v>
      </c>
      <c r="H63" s="142" t="s">
        <v>70</v>
      </c>
      <c r="I63" s="143">
        <v>0</v>
      </c>
      <c r="J63" s="118"/>
      <c r="K63" s="163"/>
      <c r="L63" s="157"/>
      <c r="M63" s="157"/>
      <c r="N63" s="157"/>
      <c r="O63" s="157"/>
      <c r="P63" s="157"/>
      <c r="Q63" s="157"/>
      <c r="R63" s="157"/>
      <c r="S63" s="157"/>
      <c r="T63" s="118"/>
      <c r="U63" s="118"/>
      <c r="V63" s="118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</row>
    <row r="64" spans="2:33" ht="15.6" x14ac:dyDescent="0.3">
      <c r="B64" s="147" t="s">
        <v>3</v>
      </c>
      <c r="C64" s="147" t="s">
        <v>2</v>
      </c>
      <c r="D64" s="147" t="s">
        <v>4</v>
      </c>
      <c r="E64" s="118"/>
      <c r="F64" s="118"/>
      <c r="G64" s="147" t="s">
        <v>3</v>
      </c>
      <c r="H64" s="149" t="s">
        <v>2</v>
      </c>
      <c r="I64" s="149" t="s">
        <v>4</v>
      </c>
      <c r="J64" s="118"/>
      <c r="K64" s="163"/>
      <c r="L64" s="157"/>
      <c r="M64" s="157"/>
      <c r="N64" s="157"/>
      <c r="O64" s="157"/>
      <c r="P64" s="157"/>
      <c r="Q64" s="157"/>
      <c r="R64" s="157"/>
      <c r="S64" s="157"/>
      <c r="T64" s="118"/>
      <c r="U64" s="118"/>
      <c r="V64" s="118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</row>
    <row r="65" spans="2:33" ht="15.6" x14ac:dyDescent="0.3">
      <c r="B65" s="148" t="s">
        <v>59</v>
      </c>
      <c r="C65" s="135">
        <v>232.72666101923645</v>
      </c>
      <c r="D65" s="136" t="s">
        <v>7</v>
      </c>
      <c r="E65" s="118"/>
      <c r="F65" s="118"/>
      <c r="G65" s="148" t="s">
        <v>59</v>
      </c>
      <c r="H65" s="135">
        <v>115.35961960760602</v>
      </c>
      <c r="I65" s="136" t="s">
        <v>7</v>
      </c>
      <c r="J65" s="118"/>
      <c r="K65" s="164"/>
      <c r="L65" s="157"/>
      <c r="M65" s="157"/>
      <c r="N65" s="157"/>
      <c r="O65" s="157"/>
      <c r="P65" s="157"/>
      <c r="Q65" s="157"/>
      <c r="R65" s="157"/>
      <c r="S65" s="157"/>
      <c r="T65" s="118"/>
      <c r="U65" s="118"/>
      <c r="V65" s="118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</row>
    <row r="66" spans="2:33" s="87" customFormat="1" ht="15.6" x14ac:dyDescent="0.3">
      <c r="B66" s="148" t="s">
        <v>9</v>
      </c>
      <c r="C66" s="138">
        <v>1.4470279318746286</v>
      </c>
      <c r="D66" s="136" t="s">
        <v>10</v>
      </c>
      <c r="E66" s="118"/>
      <c r="F66" s="118"/>
      <c r="G66" s="148" t="s">
        <v>9</v>
      </c>
      <c r="H66" s="138">
        <v>1.223019103715558</v>
      </c>
      <c r="I66" s="136" t="s">
        <v>10</v>
      </c>
      <c r="J66" s="118"/>
      <c r="K66" s="165"/>
      <c r="L66" s="157"/>
      <c r="M66" s="157"/>
      <c r="N66" s="157"/>
      <c r="O66" s="157"/>
      <c r="P66" s="157"/>
      <c r="Q66" s="157"/>
      <c r="R66" s="157"/>
      <c r="S66" s="157"/>
      <c r="T66" s="118"/>
      <c r="U66" s="118"/>
      <c r="V66" s="118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</row>
    <row r="67" spans="2:33" s="87" customFormat="1" ht="15.6" x14ac:dyDescent="0.3">
      <c r="B67" s="148" t="s">
        <v>53</v>
      </c>
      <c r="C67" s="138">
        <v>3.8202728771457917E-2</v>
      </c>
      <c r="D67" s="136" t="s">
        <v>12</v>
      </c>
      <c r="E67" s="118"/>
      <c r="F67" s="118"/>
      <c r="G67" s="148" t="s">
        <v>11</v>
      </c>
      <c r="H67" s="138">
        <v>2.2193402146341468E-2</v>
      </c>
      <c r="I67" s="136" t="s">
        <v>12</v>
      </c>
      <c r="J67" s="118"/>
      <c r="K67" s="164"/>
      <c r="L67" s="157"/>
      <c r="M67" s="157"/>
      <c r="N67" s="157"/>
      <c r="O67" s="157"/>
      <c r="P67" s="157"/>
      <c r="Q67" s="157"/>
      <c r="R67" s="157"/>
      <c r="S67" s="157"/>
      <c r="T67" s="118"/>
      <c r="U67" s="118"/>
      <c r="V67" s="118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</row>
    <row r="68" spans="2:33" s="87" customFormat="1" ht="15.6" x14ac:dyDescent="0.3">
      <c r="B68" s="118"/>
      <c r="C68" s="140">
        <v>0.04</v>
      </c>
      <c r="D68" s="118"/>
      <c r="E68" s="118"/>
      <c r="F68" s="118"/>
      <c r="G68" s="118"/>
      <c r="H68" s="140">
        <v>0.02</v>
      </c>
      <c r="I68" s="118"/>
      <c r="J68" s="118"/>
      <c r="K68" s="175"/>
      <c r="L68" s="157"/>
      <c r="M68" s="157"/>
      <c r="N68" s="157"/>
      <c r="O68" s="157"/>
      <c r="P68" s="157"/>
      <c r="Q68" s="157"/>
      <c r="R68" s="157"/>
      <c r="S68" s="157"/>
      <c r="T68" s="118"/>
      <c r="U68" s="118"/>
      <c r="V68" s="118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</row>
    <row r="69" spans="2:33" s="87" customFormat="1" ht="16.2" thickBot="1" x14ac:dyDescent="0.35">
      <c r="B69" s="118"/>
      <c r="C69" s="118"/>
      <c r="D69" s="118"/>
      <c r="E69" s="118"/>
      <c r="F69" s="118"/>
      <c r="G69" s="118"/>
      <c r="H69" s="118"/>
      <c r="I69" s="118"/>
      <c r="J69" s="118"/>
      <c r="K69" s="163"/>
      <c r="L69" s="157"/>
      <c r="M69" s="157"/>
      <c r="N69" s="157"/>
      <c r="O69" s="157"/>
      <c r="P69" s="157"/>
      <c r="Q69" s="157"/>
      <c r="R69" s="157"/>
      <c r="S69" s="157"/>
      <c r="T69" s="118"/>
      <c r="U69" s="118"/>
      <c r="V69" s="118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</row>
    <row r="70" spans="2:33" s="87" customFormat="1" ht="75" customHeight="1" thickBot="1" x14ac:dyDescent="0.35">
      <c r="B70" s="288" t="s">
        <v>123</v>
      </c>
      <c r="C70" s="289"/>
      <c r="D70" s="290"/>
      <c r="E70" s="118"/>
      <c r="F70" s="118"/>
      <c r="G70" s="288" t="s">
        <v>124</v>
      </c>
      <c r="H70" s="289"/>
      <c r="I70" s="290"/>
      <c r="J70" s="118"/>
      <c r="K70" s="176"/>
      <c r="L70" s="157"/>
      <c r="M70" s="157"/>
      <c r="N70" s="157"/>
      <c r="O70" s="157"/>
      <c r="P70" s="157"/>
      <c r="Q70" s="157"/>
      <c r="R70" s="157"/>
      <c r="S70" s="157"/>
      <c r="T70" s="118"/>
      <c r="U70" s="118"/>
      <c r="V70" s="118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</row>
    <row r="71" spans="2:33" s="87" customFormat="1" ht="15.6" x14ac:dyDescent="0.3">
      <c r="B71" s="118"/>
      <c r="C71" s="118"/>
      <c r="D71" s="118"/>
      <c r="E71" s="118"/>
      <c r="F71" s="118"/>
      <c r="G71" s="118"/>
      <c r="H71" s="118"/>
      <c r="I71" s="118"/>
      <c r="J71" s="118"/>
      <c r="K71" s="163"/>
      <c r="L71" s="157"/>
      <c r="M71" s="157"/>
      <c r="N71" s="157"/>
      <c r="O71" s="157"/>
      <c r="P71" s="157"/>
      <c r="Q71" s="157"/>
      <c r="R71" s="157"/>
      <c r="S71" s="157"/>
      <c r="T71" s="118"/>
      <c r="U71" s="118"/>
      <c r="V71" s="118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</row>
    <row r="72" spans="2:33" s="87" customFormat="1" ht="15.6" x14ac:dyDescent="0.3">
      <c r="B72" s="118"/>
      <c r="C72" s="118"/>
      <c r="D72" s="118"/>
      <c r="E72" s="118"/>
      <c r="F72" s="118"/>
      <c r="G72" s="118"/>
      <c r="H72" s="118"/>
      <c r="I72" s="118"/>
      <c r="J72" s="118"/>
      <c r="K72" s="163"/>
      <c r="L72" s="157"/>
      <c r="M72" s="157"/>
      <c r="N72" s="157"/>
      <c r="O72" s="157"/>
      <c r="P72" s="157"/>
      <c r="Q72" s="157"/>
      <c r="R72" s="157"/>
      <c r="S72" s="157"/>
      <c r="T72" s="118"/>
      <c r="U72" s="118"/>
      <c r="V72" s="118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</row>
    <row r="73" spans="2:33" s="87" customFormat="1" ht="16.2" thickBot="1" x14ac:dyDescent="0.35">
      <c r="B73" s="118"/>
      <c r="C73" s="118"/>
      <c r="D73" s="118"/>
      <c r="E73" s="118"/>
      <c r="F73" s="118"/>
      <c r="G73" s="118"/>
      <c r="H73" s="118"/>
      <c r="I73" s="118"/>
      <c r="J73" s="118"/>
      <c r="K73" s="164"/>
      <c r="L73" s="157"/>
      <c r="M73" s="157"/>
      <c r="N73" s="157"/>
      <c r="O73" s="157"/>
      <c r="P73" s="157"/>
      <c r="Q73" s="157"/>
      <c r="R73" s="157"/>
      <c r="S73" s="157"/>
      <c r="T73" s="118"/>
      <c r="U73" s="118"/>
      <c r="V73" s="118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</row>
    <row r="74" spans="2:33" s="87" customFormat="1" ht="31.8" thickBot="1" x14ac:dyDescent="0.35">
      <c r="B74" s="146" t="s">
        <v>51</v>
      </c>
      <c r="C74" s="142" t="s">
        <v>71</v>
      </c>
      <c r="D74" s="143">
        <v>0</v>
      </c>
      <c r="E74" s="118"/>
      <c r="F74" s="118"/>
      <c r="G74" s="146" t="s">
        <v>52</v>
      </c>
      <c r="H74" s="142" t="s">
        <v>71</v>
      </c>
      <c r="I74" s="143">
        <v>0</v>
      </c>
      <c r="J74" s="118"/>
      <c r="K74" s="165"/>
      <c r="L74" s="157"/>
      <c r="M74" s="157"/>
      <c r="N74" s="157"/>
      <c r="O74" s="157"/>
      <c r="P74" s="157"/>
      <c r="Q74" s="157"/>
      <c r="R74" s="157"/>
      <c r="S74" s="157"/>
      <c r="T74" s="118"/>
      <c r="U74" s="118"/>
      <c r="V74" s="118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</row>
    <row r="75" spans="2:33" s="87" customFormat="1" ht="15.6" x14ac:dyDescent="0.3">
      <c r="B75" s="147" t="s">
        <v>3</v>
      </c>
      <c r="C75" s="147" t="s">
        <v>2</v>
      </c>
      <c r="D75" s="147" t="s">
        <v>4</v>
      </c>
      <c r="E75" s="118"/>
      <c r="F75" s="118"/>
      <c r="G75" s="147" t="s">
        <v>3</v>
      </c>
      <c r="H75" s="147" t="s">
        <v>2</v>
      </c>
      <c r="I75" s="147" t="s">
        <v>4</v>
      </c>
      <c r="J75" s="118"/>
      <c r="K75" s="164"/>
      <c r="L75" s="157"/>
      <c r="M75" s="157"/>
      <c r="N75" s="157"/>
      <c r="O75" s="157"/>
      <c r="P75" s="157"/>
      <c r="Q75" s="157"/>
      <c r="R75" s="157"/>
      <c r="S75" s="157"/>
      <c r="T75" s="118"/>
      <c r="U75" s="118"/>
      <c r="V75" s="118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</row>
    <row r="76" spans="2:33" s="87" customFormat="1" ht="15.6" x14ac:dyDescent="0.3">
      <c r="B76" s="148" t="s">
        <v>59</v>
      </c>
      <c r="C76" s="135">
        <v>209.97528287281821</v>
      </c>
      <c r="D76" s="136" t="s">
        <v>7</v>
      </c>
      <c r="E76" s="118"/>
      <c r="F76" s="118"/>
      <c r="G76" s="148" t="s">
        <v>59</v>
      </c>
      <c r="H76" s="135">
        <v>98.757578549861663</v>
      </c>
      <c r="I76" s="136" t="s">
        <v>7</v>
      </c>
      <c r="J76" s="118"/>
      <c r="K76" s="175"/>
      <c r="L76" s="157"/>
      <c r="M76" s="157"/>
      <c r="N76" s="157"/>
      <c r="O76" s="157"/>
      <c r="P76" s="157"/>
      <c r="Q76" s="157"/>
      <c r="R76" s="157"/>
      <c r="S76" s="157"/>
      <c r="T76" s="118"/>
      <c r="U76" s="118"/>
      <c r="V76" s="118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</row>
    <row r="77" spans="2:33" s="87" customFormat="1" ht="15.6" x14ac:dyDescent="0.3">
      <c r="B77" s="148" t="s">
        <v>9</v>
      </c>
      <c r="C77" s="138">
        <v>1.403326443289054</v>
      </c>
      <c r="D77" s="136" t="s">
        <v>10</v>
      </c>
      <c r="E77" s="118"/>
      <c r="F77" s="118"/>
      <c r="G77" s="148" t="s">
        <v>9</v>
      </c>
      <c r="H77" s="138">
        <v>1.1909231906990168</v>
      </c>
      <c r="I77" s="136" t="s">
        <v>10</v>
      </c>
      <c r="J77" s="118"/>
      <c r="K77" s="163"/>
      <c r="L77" s="157"/>
      <c r="M77" s="157"/>
      <c r="N77" s="157"/>
      <c r="O77" s="157"/>
      <c r="P77" s="157"/>
      <c r="Q77" s="157"/>
      <c r="R77" s="157"/>
      <c r="S77" s="157"/>
      <c r="T77" s="118"/>
      <c r="U77" s="118"/>
      <c r="V77" s="118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</row>
    <row r="78" spans="2:33" s="87" customFormat="1" ht="15.6" x14ac:dyDescent="0.3">
      <c r="B78" s="148" t="s">
        <v>11</v>
      </c>
      <c r="C78" s="138">
        <v>3.5363022180808557E-2</v>
      </c>
      <c r="D78" s="136" t="s">
        <v>12</v>
      </c>
      <c r="E78" s="118"/>
      <c r="F78" s="118"/>
      <c r="G78" s="148" t="s">
        <v>53</v>
      </c>
      <c r="H78" s="138">
        <v>1.9443010699816243E-2</v>
      </c>
      <c r="I78" s="136" t="s">
        <v>12</v>
      </c>
      <c r="J78" s="118"/>
      <c r="K78" s="163"/>
      <c r="L78" s="157"/>
      <c r="M78" s="157"/>
      <c r="N78" s="157"/>
      <c r="O78" s="157"/>
      <c r="P78" s="157"/>
      <c r="Q78" s="157"/>
      <c r="R78" s="157"/>
      <c r="S78" s="157"/>
      <c r="T78" s="118"/>
      <c r="U78" s="118"/>
      <c r="V78" s="118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</row>
    <row r="79" spans="2:33" s="87" customFormat="1" ht="15.6" x14ac:dyDescent="0.3">
      <c r="B79" s="118"/>
      <c r="C79" s="140">
        <v>0.04</v>
      </c>
      <c r="D79" s="118"/>
      <c r="E79" s="118"/>
      <c r="F79" s="118"/>
      <c r="G79" s="118"/>
      <c r="H79" s="140">
        <v>0.02</v>
      </c>
      <c r="I79" s="118"/>
      <c r="J79" s="118"/>
      <c r="K79" s="164"/>
      <c r="L79" s="157"/>
      <c r="M79" s="157"/>
      <c r="N79" s="157"/>
      <c r="O79" s="157"/>
      <c r="P79" s="157"/>
      <c r="Q79" s="157"/>
      <c r="R79" s="157"/>
      <c r="S79" s="157"/>
      <c r="T79" s="118"/>
      <c r="U79" s="118"/>
      <c r="V79" s="118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</row>
    <row r="80" spans="2:33" s="87" customFormat="1" ht="16.2" thickBot="1" x14ac:dyDescent="0.35">
      <c r="B80" s="118"/>
      <c r="C80" s="118"/>
      <c r="D80" s="118"/>
      <c r="E80" s="118"/>
      <c r="F80" s="118"/>
      <c r="G80" s="118"/>
      <c r="H80" s="118"/>
      <c r="I80" s="118"/>
      <c r="J80" s="118"/>
      <c r="K80" s="165"/>
      <c r="L80" s="157"/>
      <c r="M80" s="157"/>
      <c r="N80" s="157"/>
      <c r="O80" s="157"/>
      <c r="P80" s="157"/>
      <c r="Q80" s="157"/>
      <c r="R80" s="157"/>
      <c r="S80" s="157"/>
      <c r="T80" s="118"/>
      <c r="U80" s="118"/>
      <c r="V80" s="118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</row>
    <row r="81" spans="2:33" s="87" customFormat="1" ht="45" customHeight="1" thickBot="1" x14ac:dyDescent="0.35">
      <c r="B81" s="288" t="s">
        <v>125</v>
      </c>
      <c r="C81" s="289"/>
      <c r="D81" s="290"/>
      <c r="E81" s="118"/>
      <c r="F81" s="118"/>
      <c r="G81" s="288" t="s">
        <v>126</v>
      </c>
      <c r="H81" s="289"/>
      <c r="I81" s="290"/>
      <c r="J81" s="118"/>
      <c r="K81" s="164"/>
      <c r="L81" s="157"/>
      <c r="M81" s="157"/>
      <c r="N81" s="157"/>
      <c r="O81" s="157"/>
      <c r="P81" s="157"/>
      <c r="Q81" s="157"/>
      <c r="R81" s="157"/>
      <c r="S81" s="157"/>
      <c r="T81" s="118"/>
      <c r="U81" s="118"/>
      <c r="V81" s="118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</row>
    <row r="82" spans="2:33" s="87" customFormat="1" ht="32.4" customHeight="1" thickBot="1" x14ac:dyDescent="0.35">
      <c r="B82" s="118"/>
      <c r="C82" s="118"/>
      <c r="D82" s="118"/>
      <c r="E82" s="118"/>
      <c r="F82" s="118"/>
      <c r="G82" s="118"/>
      <c r="H82" s="118"/>
      <c r="I82" s="118"/>
      <c r="J82" s="118"/>
      <c r="K82" s="165"/>
      <c r="L82" s="157"/>
      <c r="M82" s="157"/>
      <c r="N82" s="157"/>
      <c r="O82" s="157"/>
      <c r="P82" s="157"/>
      <c r="Q82" s="157"/>
      <c r="R82" s="157"/>
      <c r="S82" s="157"/>
      <c r="T82" s="118"/>
      <c r="U82" s="118"/>
      <c r="V82" s="118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</row>
    <row r="83" spans="2:33" s="87" customFormat="1" ht="47.4" thickBot="1" x14ac:dyDescent="0.35">
      <c r="B83" s="146" t="s">
        <v>51</v>
      </c>
      <c r="C83" s="142" t="s">
        <v>72</v>
      </c>
      <c r="D83" s="143">
        <v>0</v>
      </c>
      <c r="E83" s="118"/>
      <c r="F83" s="118"/>
      <c r="G83" s="146" t="s">
        <v>52</v>
      </c>
      <c r="H83" s="142" t="s">
        <v>72</v>
      </c>
      <c r="I83" s="143">
        <v>0</v>
      </c>
      <c r="J83" s="118"/>
      <c r="K83" s="164"/>
      <c r="L83" s="157"/>
      <c r="M83" s="157"/>
      <c r="N83" s="157"/>
      <c r="O83" s="157"/>
      <c r="P83" s="157"/>
      <c r="Q83" s="157"/>
      <c r="R83" s="157"/>
      <c r="S83" s="157"/>
      <c r="T83" s="118"/>
      <c r="U83" s="118"/>
      <c r="V83" s="118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</row>
    <row r="84" spans="2:33" s="87" customFormat="1" ht="15.6" x14ac:dyDescent="0.3">
      <c r="B84" s="147" t="s">
        <v>3</v>
      </c>
      <c r="C84" s="147" t="s">
        <v>2</v>
      </c>
      <c r="D84" s="147" t="s">
        <v>4</v>
      </c>
      <c r="E84" s="118"/>
      <c r="F84" s="118"/>
      <c r="G84" s="147" t="s">
        <v>3</v>
      </c>
      <c r="H84" s="147" t="s">
        <v>2</v>
      </c>
      <c r="I84" s="147" t="s">
        <v>4</v>
      </c>
      <c r="J84" s="118"/>
      <c r="K84" s="133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</row>
    <row r="85" spans="2:33" s="87" customFormat="1" ht="15.6" x14ac:dyDescent="0.3">
      <c r="B85" s="148" t="s">
        <v>59</v>
      </c>
      <c r="C85" s="135">
        <v>128.77541597238798</v>
      </c>
      <c r="D85" s="136" t="s">
        <v>7</v>
      </c>
      <c r="E85" s="118"/>
      <c r="F85" s="118"/>
      <c r="G85" s="148" t="s">
        <v>59</v>
      </c>
      <c r="H85" s="135">
        <v>39.049630661552428</v>
      </c>
      <c r="I85" s="136" t="s">
        <v>7</v>
      </c>
      <c r="J85" s="118"/>
      <c r="K85" s="141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</row>
    <row r="86" spans="2:33" s="87" customFormat="1" ht="15.6" x14ac:dyDescent="0.3">
      <c r="B86" s="148" t="s">
        <v>9</v>
      </c>
      <c r="C86" s="138">
        <v>1.2473554496348545</v>
      </c>
      <c r="D86" s="136" t="s">
        <v>10</v>
      </c>
      <c r="E86" s="118"/>
      <c r="F86" s="118"/>
      <c r="G86" s="148" t="s">
        <v>9</v>
      </c>
      <c r="H86" s="138">
        <v>1.0754927387953077</v>
      </c>
      <c r="I86" s="136" t="s">
        <v>10</v>
      </c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</row>
    <row r="87" spans="2:33" s="87" customFormat="1" ht="15.6" x14ac:dyDescent="0.3">
      <c r="B87" s="148" t="s">
        <v>11</v>
      </c>
      <c r="C87" s="138">
        <v>2.3960433834444128E-2</v>
      </c>
      <c r="D87" s="136" t="s">
        <v>12</v>
      </c>
      <c r="E87" s="118"/>
      <c r="F87" s="118"/>
      <c r="G87" s="148" t="s">
        <v>53</v>
      </c>
      <c r="H87" s="138">
        <v>8.4089439957635292E-3</v>
      </c>
      <c r="I87" s="136" t="s">
        <v>12</v>
      </c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</row>
    <row r="88" spans="2:33" s="87" customFormat="1" ht="15.6" x14ac:dyDescent="0.3">
      <c r="B88" s="118"/>
      <c r="C88" s="140">
        <v>0.02</v>
      </c>
      <c r="D88" s="118"/>
      <c r="E88" s="118"/>
      <c r="F88" s="118"/>
      <c r="G88" s="118"/>
      <c r="H88" s="140">
        <v>0.01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</row>
    <row r="89" spans="2:33" s="87" customFormat="1" ht="16.2" thickBot="1" x14ac:dyDescent="0.35"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</row>
    <row r="90" spans="2:33" s="87" customFormat="1" ht="45" customHeight="1" thickBot="1" x14ac:dyDescent="0.35">
      <c r="B90" s="288" t="s">
        <v>127</v>
      </c>
      <c r="C90" s="289"/>
      <c r="D90" s="290"/>
      <c r="E90" s="118"/>
      <c r="F90" s="118"/>
      <c r="G90" s="288" t="s">
        <v>128</v>
      </c>
      <c r="H90" s="289"/>
      <c r="I90" s="290"/>
      <c r="J90" s="118"/>
      <c r="K90" s="145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</row>
    <row r="91" spans="2:33" s="87" customFormat="1" ht="15.6" x14ac:dyDescent="0.3">
      <c r="B91" s="118"/>
      <c r="C91" s="118"/>
      <c r="D91" s="118"/>
      <c r="E91" s="118"/>
      <c r="F91" s="118"/>
      <c r="G91" s="118"/>
      <c r="H91" s="118"/>
      <c r="I91" s="118"/>
      <c r="J91" s="118"/>
      <c r="K91" s="139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</row>
    <row r="92" spans="2:33" s="87" customFormat="1" ht="15.6" x14ac:dyDescent="0.3">
      <c r="B92" s="118"/>
      <c r="C92" s="118"/>
      <c r="D92" s="118"/>
      <c r="E92" s="118"/>
      <c r="F92" s="118"/>
      <c r="G92" s="118"/>
      <c r="H92" s="118"/>
      <c r="I92" s="118"/>
      <c r="J92" s="118"/>
      <c r="K92" s="137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</row>
    <row r="93" spans="2:33" s="87" customFormat="1" ht="15.6" x14ac:dyDescent="0.3">
      <c r="B93" s="118"/>
      <c r="C93" s="118"/>
      <c r="D93" s="118"/>
      <c r="E93" s="118"/>
      <c r="F93" s="118"/>
      <c r="G93" s="118"/>
      <c r="H93" s="118"/>
      <c r="I93" s="118"/>
      <c r="J93" s="118"/>
      <c r="K93" s="139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</row>
    <row r="94" spans="2:33" s="87" customFormat="1" ht="19.2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50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</row>
    <row r="95" spans="2:33" s="87" customFormat="1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51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</row>
    <row r="96" spans="2:33" s="87" customFormat="1" ht="19.2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52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</row>
    <row r="97" spans="2:22" s="87" customFormat="1" ht="15.6" x14ac:dyDescent="0.3">
      <c r="B97" s="107"/>
      <c r="C97" s="107"/>
      <c r="D97" s="107"/>
      <c r="E97" s="107"/>
      <c r="F97" s="107"/>
      <c r="G97" s="107"/>
      <c r="H97" s="107"/>
      <c r="I97" s="107"/>
      <c r="J97" s="107"/>
      <c r="K97" s="151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</row>
    <row r="98" spans="2:22" s="87" customFormat="1" ht="19.2" x14ac:dyDescent="0.3">
      <c r="B98" s="107"/>
      <c r="C98" s="107"/>
      <c r="D98" s="107"/>
      <c r="E98" s="107"/>
      <c r="F98" s="107"/>
      <c r="G98" s="107"/>
      <c r="H98" s="107"/>
      <c r="I98" s="107"/>
      <c r="J98" s="107"/>
      <c r="K98" s="152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</row>
    <row r="99" spans="2:22" s="87" customFormat="1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51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</row>
    <row r="100" spans="2:22" s="87" customFormat="1" ht="19.2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52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</row>
    <row r="101" spans="2:22" s="87" customFormat="1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51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</row>
    <row r="102" spans="2:22" s="87" customFormat="1" ht="15.6" x14ac:dyDescent="0.3"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</row>
    <row r="103" spans="2:22" s="87" customFormat="1" ht="15.6" x14ac:dyDescent="0.3">
      <c r="B103" s="107"/>
      <c r="C103" s="107"/>
      <c r="D103" s="107"/>
      <c r="E103" s="107"/>
      <c r="F103" s="107"/>
      <c r="G103" s="107"/>
      <c r="H103" s="107"/>
      <c r="I103" s="107"/>
      <c r="J103" s="107"/>
      <c r="K103" s="153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</row>
    <row r="104" spans="2:22" s="87" customFormat="1" ht="19.2" x14ac:dyDescent="0.3">
      <c r="B104" s="107"/>
      <c r="C104" s="107"/>
      <c r="D104" s="107"/>
      <c r="E104" s="107"/>
      <c r="F104" s="107"/>
      <c r="G104" s="107"/>
      <c r="H104" s="107"/>
      <c r="I104" s="107"/>
      <c r="J104" s="107"/>
      <c r="K104" s="154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</row>
    <row r="105" spans="2:22" s="87" customFormat="1" ht="15.6" x14ac:dyDescent="0.3">
      <c r="B105" s="107"/>
      <c r="C105" s="107"/>
      <c r="D105" s="107"/>
      <c r="E105" s="107"/>
      <c r="F105" s="107"/>
      <c r="G105" s="107"/>
      <c r="H105" s="107"/>
      <c r="I105" s="107"/>
      <c r="J105" s="107"/>
      <c r="K105" s="153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</row>
    <row r="106" spans="2:22" s="87" customFormat="1" ht="19.2" x14ac:dyDescent="0.3">
      <c r="B106" s="107"/>
      <c r="C106" s="107"/>
      <c r="D106" s="107"/>
      <c r="E106" s="107"/>
      <c r="F106" s="107"/>
      <c r="G106" s="107"/>
      <c r="H106" s="107"/>
      <c r="I106" s="107"/>
      <c r="J106" s="107"/>
      <c r="K106" s="150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</row>
    <row r="107" spans="2:22" s="87" customFormat="1" ht="15.6" x14ac:dyDescent="0.3">
      <c r="B107" s="107"/>
      <c r="C107" s="107"/>
      <c r="D107" s="107"/>
      <c r="E107" s="107"/>
      <c r="F107" s="107"/>
      <c r="G107" s="107"/>
      <c r="H107" s="107"/>
      <c r="I107" s="107"/>
      <c r="J107" s="107"/>
      <c r="K107" s="151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</row>
    <row r="108" spans="2:22" s="87" customFormat="1" ht="19.2" x14ac:dyDescent="0.3">
      <c r="B108" s="107"/>
      <c r="C108" s="107"/>
      <c r="D108" s="107"/>
      <c r="E108" s="107"/>
      <c r="F108" s="107"/>
      <c r="G108" s="107"/>
      <c r="H108" s="107"/>
      <c r="I108" s="107"/>
      <c r="J108" s="107"/>
      <c r="K108" s="152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</row>
    <row r="109" spans="2:22" s="87" customFormat="1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51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</row>
    <row r="110" spans="2:22" s="87" customFormat="1" ht="19.2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52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</row>
    <row r="111" spans="2:22" s="87" customFormat="1" x14ac:dyDescent="0.3">
      <c r="K111" s="127"/>
    </row>
    <row r="112" spans="2:22" s="87" customFormat="1" ht="15" x14ac:dyDescent="0.3">
      <c r="K112" s="123"/>
    </row>
    <row r="113" spans="11:11" s="87" customFormat="1" x14ac:dyDescent="0.3">
      <c r="K113" s="127"/>
    </row>
    <row r="114" spans="11:11" s="87" customFormat="1" x14ac:dyDescent="0.3"/>
    <row r="115" spans="11:11" s="87" customFormat="1" x14ac:dyDescent="0.3"/>
    <row r="116" spans="11:11" s="87" customFormat="1" x14ac:dyDescent="0.3"/>
    <row r="117" spans="11:11" s="87" customFormat="1" x14ac:dyDescent="0.3"/>
    <row r="118" spans="11:11" s="87" customFormat="1" ht="15" x14ac:dyDescent="0.3">
      <c r="K118" s="128"/>
    </row>
    <row r="119" spans="11:11" s="87" customFormat="1" x14ac:dyDescent="0.3">
      <c r="K119" s="125"/>
    </row>
    <row r="120" spans="11:11" s="87" customFormat="1" ht="15" x14ac:dyDescent="0.3">
      <c r="K120" s="124"/>
    </row>
    <row r="121" spans="11:11" s="87" customFormat="1" x14ac:dyDescent="0.3">
      <c r="K121" s="125"/>
    </row>
    <row r="122" spans="11:11" s="87" customFormat="1" ht="15" x14ac:dyDescent="0.3">
      <c r="K122" s="126"/>
    </row>
    <row r="123" spans="11:11" s="87" customFormat="1" x14ac:dyDescent="0.3">
      <c r="K123" s="127"/>
    </row>
    <row r="124" spans="11:11" s="87" customFormat="1" ht="15" x14ac:dyDescent="0.3">
      <c r="K124" s="123"/>
    </row>
    <row r="125" spans="11:11" s="87" customFormat="1" x14ac:dyDescent="0.3">
      <c r="K125" s="127"/>
    </row>
    <row r="126" spans="11:11" s="87" customFormat="1" ht="15" x14ac:dyDescent="0.3">
      <c r="K126" s="123"/>
    </row>
    <row r="127" spans="11:11" s="87" customFormat="1" x14ac:dyDescent="0.3">
      <c r="K127" s="127"/>
    </row>
    <row r="128" spans="11:11" s="87" customFormat="1" ht="15" x14ac:dyDescent="0.3">
      <c r="K128" s="123"/>
    </row>
    <row r="129" spans="11:11" s="87" customFormat="1" x14ac:dyDescent="0.3">
      <c r="K129" s="127"/>
    </row>
    <row r="130" spans="11:11" s="87" customFormat="1" x14ac:dyDescent="0.3"/>
    <row r="131" spans="11:11" s="87" customFormat="1" x14ac:dyDescent="0.3">
      <c r="K131" s="125"/>
    </row>
    <row r="132" spans="11:11" s="87" customFormat="1" ht="15" x14ac:dyDescent="0.3">
      <c r="K132" s="124"/>
    </row>
    <row r="133" spans="11:11" s="87" customFormat="1" x14ac:dyDescent="0.3">
      <c r="K133" s="125"/>
    </row>
    <row r="134" spans="11:11" s="87" customFormat="1" ht="15" x14ac:dyDescent="0.3">
      <c r="K134" s="126"/>
    </row>
    <row r="135" spans="11:11" s="87" customFormat="1" x14ac:dyDescent="0.3">
      <c r="K135" s="127"/>
    </row>
    <row r="136" spans="11:11" s="87" customFormat="1" ht="15" x14ac:dyDescent="0.3">
      <c r="K136" s="123"/>
    </row>
    <row r="137" spans="11:11" s="87" customFormat="1" x14ac:dyDescent="0.3">
      <c r="K137" s="127"/>
    </row>
    <row r="138" spans="11:11" s="87" customFormat="1" ht="15" x14ac:dyDescent="0.3">
      <c r="K138" s="123"/>
    </row>
    <row r="139" spans="11:11" s="87" customFormat="1" x14ac:dyDescent="0.3">
      <c r="K139" s="127"/>
    </row>
    <row r="140" spans="11:11" s="87" customFormat="1" ht="15" x14ac:dyDescent="0.3">
      <c r="K140" s="123"/>
    </row>
    <row r="141" spans="11:11" s="87" customFormat="1" x14ac:dyDescent="0.3">
      <c r="K141" s="127"/>
    </row>
    <row r="142" spans="11:11" s="87" customFormat="1" x14ac:dyDescent="0.3"/>
    <row r="143" spans="11:11" s="87" customFormat="1" x14ac:dyDescent="0.3"/>
    <row r="144" spans="11:11" s="87" customFormat="1" x14ac:dyDescent="0.3"/>
    <row r="145" spans="11:11" s="87" customFormat="1" x14ac:dyDescent="0.3"/>
    <row r="146" spans="11:11" s="87" customFormat="1" ht="15" x14ac:dyDescent="0.3">
      <c r="K146" s="128"/>
    </row>
    <row r="147" spans="11:11" s="87" customFormat="1" x14ac:dyDescent="0.3">
      <c r="K147" s="125"/>
    </row>
    <row r="148" spans="11:11" s="87" customFormat="1" ht="15" x14ac:dyDescent="0.3">
      <c r="K148" s="124"/>
    </row>
    <row r="149" spans="11:11" s="87" customFormat="1" x14ac:dyDescent="0.3">
      <c r="K149" s="125"/>
    </row>
    <row r="150" spans="11:11" s="87" customFormat="1" ht="15" x14ac:dyDescent="0.3">
      <c r="K150" s="126"/>
    </row>
    <row r="151" spans="11:11" s="87" customFormat="1" x14ac:dyDescent="0.3">
      <c r="K151" s="127"/>
    </row>
    <row r="152" spans="11:11" s="87" customFormat="1" ht="15" x14ac:dyDescent="0.3">
      <c r="K152" s="123"/>
    </row>
    <row r="153" spans="11:11" s="87" customFormat="1" x14ac:dyDescent="0.3">
      <c r="K153" s="127"/>
    </row>
    <row r="154" spans="11:11" s="87" customFormat="1" ht="15" x14ac:dyDescent="0.3">
      <c r="K154" s="123"/>
    </row>
    <row r="155" spans="11:11" s="87" customFormat="1" x14ac:dyDescent="0.3">
      <c r="K155" s="127"/>
    </row>
    <row r="156" spans="11:11" s="87" customFormat="1" ht="15" x14ac:dyDescent="0.3">
      <c r="K156" s="123"/>
    </row>
    <row r="157" spans="11:11" s="87" customFormat="1" x14ac:dyDescent="0.3">
      <c r="K157" s="127"/>
    </row>
    <row r="158" spans="11:11" s="87" customFormat="1" x14ac:dyDescent="0.3"/>
    <row r="159" spans="11:11" s="87" customFormat="1" x14ac:dyDescent="0.3">
      <c r="K159" s="125"/>
    </row>
    <row r="160" spans="11:11" s="87" customFormat="1" ht="15" x14ac:dyDescent="0.3">
      <c r="K160" s="124"/>
    </row>
    <row r="161" spans="11:11" s="87" customFormat="1" x14ac:dyDescent="0.3">
      <c r="K161" s="125"/>
    </row>
    <row r="162" spans="11:11" s="87" customFormat="1" ht="15" x14ac:dyDescent="0.3">
      <c r="K162" s="126"/>
    </row>
    <row r="163" spans="11:11" s="87" customFormat="1" x14ac:dyDescent="0.3">
      <c r="K163" s="127"/>
    </row>
    <row r="164" spans="11:11" s="87" customFormat="1" ht="15" x14ac:dyDescent="0.3">
      <c r="K164" s="123"/>
    </row>
    <row r="165" spans="11:11" s="87" customFormat="1" x14ac:dyDescent="0.3">
      <c r="K165" s="127"/>
    </row>
    <row r="166" spans="11:11" s="87" customFormat="1" ht="15" x14ac:dyDescent="0.3">
      <c r="K166" s="123"/>
    </row>
    <row r="167" spans="11:11" s="87" customFormat="1" x14ac:dyDescent="0.3">
      <c r="K167" s="127"/>
    </row>
    <row r="168" spans="11:11" s="87" customFormat="1" ht="15" x14ac:dyDescent="0.3">
      <c r="K168" s="123"/>
    </row>
    <row r="169" spans="11:11" s="87" customFormat="1" x14ac:dyDescent="0.3">
      <c r="K169" s="127"/>
    </row>
    <row r="170" spans="11:11" s="87" customFormat="1" x14ac:dyDescent="0.3"/>
    <row r="171" spans="11:11" s="87" customFormat="1" x14ac:dyDescent="0.3"/>
    <row r="172" spans="11:11" s="87" customFormat="1" x14ac:dyDescent="0.3"/>
    <row r="173" spans="11:11" s="87" customFormat="1" x14ac:dyDescent="0.3"/>
    <row r="174" spans="11:11" s="87" customFormat="1" ht="15" x14ac:dyDescent="0.3">
      <c r="K174" s="128"/>
    </row>
    <row r="175" spans="11:11" s="87" customFormat="1" x14ac:dyDescent="0.3">
      <c r="K175" s="125"/>
    </row>
    <row r="176" spans="11:11" s="87" customFormat="1" ht="15" x14ac:dyDescent="0.3">
      <c r="K176" s="124"/>
    </row>
    <row r="177" spans="11:11" s="87" customFormat="1" x14ac:dyDescent="0.3">
      <c r="K177" s="125"/>
    </row>
    <row r="178" spans="11:11" s="87" customFormat="1" ht="15" x14ac:dyDescent="0.3">
      <c r="K178" s="126"/>
    </row>
    <row r="179" spans="11:11" s="87" customFormat="1" x14ac:dyDescent="0.3">
      <c r="K179" s="127"/>
    </row>
    <row r="180" spans="11:11" s="87" customFormat="1" ht="15" x14ac:dyDescent="0.3">
      <c r="K180" s="123"/>
    </row>
    <row r="181" spans="11:11" s="87" customFormat="1" x14ac:dyDescent="0.3">
      <c r="K181" s="127"/>
    </row>
    <row r="182" spans="11:11" s="87" customFormat="1" ht="15" x14ac:dyDescent="0.3">
      <c r="K182" s="123"/>
    </row>
    <row r="183" spans="11:11" s="87" customFormat="1" x14ac:dyDescent="0.3">
      <c r="K183" s="127"/>
    </row>
    <row r="184" spans="11:11" s="87" customFormat="1" ht="15" x14ac:dyDescent="0.3">
      <c r="K184" s="123"/>
    </row>
    <row r="185" spans="11:11" s="87" customFormat="1" x14ac:dyDescent="0.3">
      <c r="K185" s="127"/>
    </row>
    <row r="186" spans="11:11" s="87" customFormat="1" x14ac:dyDescent="0.3"/>
    <row r="187" spans="11:11" s="87" customFormat="1" x14ac:dyDescent="0.3">
      <c r="K187" s="125"/>
    </row>
    <row r="188" spans="11:11" s="87" customFormat="1" ht="15" x14ac:dyDescent="0.3">
      <c r="K188" s="124"/>
    </row>
    <row r="189" spans="11:11" s="87" customFormat="1" x14ac:dyDescent="0.3">
      <c r="K189" s="125"/>
    </row>
    <row r="190" spans="11:11" s="87" customFormat="1" ht="15" x14ac:dyDescent="0.3">
      <c r="K190" s="126"/>
    </row>
    <row r="191" spans="11:11" s="87" customFormat="1" x14ac:dyDescent="0.3">
      <c r="K191" s="127"/>
    </row>
    <row r="192" spans="11:11" s="87" customFormat="1" ht="15" x14ac:dyDescent="0.3">
      <c r="K192" s="123"/>
    </row>
    <row r="193" spans="11:11" s="87" customFormat="1" x14ac:dyDescent="0.3">
      <c r="K193" s="127"/>
    </row>
    <row r="194" spans="11:11" s="87" customFormat="1" ht="15" x14ac:dyDescent="0.3">
      <c r="K194" s="123"/>
    </row>
    <row r="195" spans="11:11" s="87" customFormat="1" x14ac:dyDescent="0.3">
      <c r="K195" s="127"/>
    </row>
    <row r="196" spans="11:11" s="87" customFormat="1" ht="15" x14ac:dyDescent="0.3">
      <c r="K196" s="123"/>
    </row>
    <row r="197" spans="11:11" s="87" customFormat="1" x14ac:dyDescent="0.3">
      <c r="K197" s="127"/>
    </row>
    <row r="198" spans="11:11" s="87" customFormat="1" x14ac:dyDescent="0.3"/>
    <row r="199" spans="11:11" s="87" customFormat="1" x14ac:dyDescent="0.3"/>
    <row r="200" spans="11:11" s="87" customFormat="1" x14ac:dyDescent="0.3"/>
    <row r="201" spans="11:11" s="87" customFormat="1" x14ac:dyDescent="0.3"/>
    <row r="202" spans="11:11" s="87" customFormat="1" ht="15" x14ac:dyDescent="0.3">
      <c r="K202" s="128"/>
    </row>
    <row r="203" spans="11:11" s="87" customFormat="1" x14ac:dyDescent="0.3">
      <c r="K203" s="125"/>
    </row>
    <row r="204" spans="11:11" s="87" customFormat="1" ht="15" x14ac:dyDescent="0.3">
      <c r="K204" s="124"/>
    </row>
    <row r="205" spans="11:11" s="87" customFormat="1" x14ac:dyDescent="0.3">
      <c r="K205" s="125"/>
    </row>
    <row r="206" spans="11:11" s="87" customFormat="1" ht="15" x14ac:dyDescent="0.3">
      <c r="K206" s="126"/>
    </row>
    <row r="207" spans="11:11" s="87" customFormat="1" x14ac:dyDescent="0.3">
      <c r="K207" s="127"/>
    </row>
    <row r="208" spans="11:11" s="87" customFormat="1" ht="15" x14ac:dyDescent="0.3">
      <c r="K208" s="123"/>
    </row>
    <row r="209" spans="11:11" s="87" customFormat="1" x14ac:dyDescent="0.3">
      <c r="K209" s="127"/>
    </row>
    <row r="210" spans="11:11" s="87" customFormat="1" ht="15" x14ac:dyDescent="0.3">
      <c r="K210" s="123"/>
    </row>
    <row r="211" spans="11:11" s="87" customFormat="1" x14ac:dyDescent="0.3">
      <c r="K211" s="127"/>
    </row>
    <row r="212" spans="11:11" s="87" customFormat="1" ht="15" x14ac:dyDescent="0.3">
      <c r="K212" s="123"/>
    </row>
    <row r="213" spans="11:11" s="87" customFormat="1" x14ac:dyDescent="0.3">
      <c r="K213" s="127"/>
    </row>
    <row r="214" spans="11:11" s="87" customFormat="1" x14ac:dyDescent="0.3"/>
    <row r="215" spans="11:11" s="87" customFormat="1" x14ac:dyDescent="0.3">
      <c r="K215" s="125"/>
    </row>
    <row r="216" spans="11:11" s="87" customFormat="1" ht="15" x14ac:dyDescent="0.3">
      <c r="K216" s="124"/>
    </row>
    <row r="217" spans="11:11" s="87" customFormat="1" x14ac:dyDescent="0.3">
      <c r="K217" s="125"/>
    </row>
    <row r="218" spans="11:11" s="87" customFormat="1" ht="15" x14ac:dyDescent="0.3">
      <c r="K218" s="126"/>
    </row>
    <row r="219" spans="11:11" s="87" customFormat="1" x14ac:dyDescent="0.3">
      <c r="K219" s="127"/>
    </row>
    <row r="220" spans="11:11" s="87" customFormat="1" ht="15" x14ac:dyDescent="0.3">
      <c r="K220" s="123"/>
    </row>
    <row r="221" spans="11:11" s="87" customFormat="1" x14ac:dyDescent="0.3">
      <c r="K221" s="127"/>
    </row>
    <row r="222" spans="11:11" s="87" customFormat="1" ht="15" x14ac:dyDescent="0.3">
      <c r="K222" s="123"/>
    </row>
    <row r="223" spans="11:11" s="87" customFormat="1" x14ac:dyDescent="0.3">
      <c r="K223" s="127"/>
    </row>
    <row r="224" spans="11:11" s="87" customFormat="1" ht="15" x14ac:dyDescent="0.3">
      <c r="K224" s="123"/>
    </row>
    <row r="225" spans="11:11" s="87" customFormat="1" x14ac:dyDescent="0.3">
      <c r="K225" s="127"/>
    </row>
    <row r="226" spans="11:11" s="87" customFormat="1" x14ac:dyDescent="0.3"/>
    <row r="227" spans="11:11" s="87" customFormat="1" x14ac:dyDescent="0.3"/>
    <row r="228" spans="11:11" s="87" customFormat="1" x14ac:dyDescent="0.3"/>
    <row r="229" spans="11:11" s="87" customFormat="1" x14ac:dyDescent="0.3"/>
    <row r="230" spans="11:11" s="87" customFormat="1" x14ac:dyDescent="0.3"/>
    <row r="231" spans="11:11" s="87" customFormat="1" x14ac:dyDescent="0.3"/>
    <row r="232" spans="11:11" s="87" customFormat="1" x14ac:dyDescent="0.3"/>
    <row r="233" spans="11:11" s="87" customFormat="1" x14ac:dyDescent="0.3"/>
    <row r="234" spans="11:11" s="87" customFormat="1" x14ac:dyDescent="0.3"/>
    <row r="235" spans="11:11" s="87" customFormat="1" x14ac:dyDescent="0.3"/>
    <row r="236" spans="11:11" s="87" customFormat="1" x14ac:dyDescent="0.3"/>
    <row r="237" spans="11:11" s="87" customFormat="1" x14ac:dyDescent="0.3"/>
    <row r="238" spans="11:11" s="87" customFormat="1" x14ac:dyDescent="0.3"/>
    <row r="239" spans="11:11" s="87" customFormat="1" x14ac:dyDescent="0.3"/>
    <row r="240" spans="11:11" s="87" customFormat="1" x14ac:dyDescent="0.3"/>
    <row r="241" s="87" customFormat="1" x14ac:dyDescent="0.3"/>
    <row r="242" s="87" customFormat="1" x14ac:dyDescent="0.3"/>
    <row r="243" s="87" customFormat="1" x14ac:dyDescent="0.3"/>
    <row r="244" s="87" customFormat="1" x14ac:dyDescent="0.3"/>
    <row r="245" s="87" customFormat="1" x14ac:dyDescent="0.3"/>
    <row r="246" s="87" customFormat="1" x14ac:dyDescent="0.3"/>
    <row r="247" s="87" customFormat="1" x14ac:dyDescent="0.3"/>
    <row r="248" s="87" customFormat="1" x14ac:dyDescent="0.3"/>
    <row r="249" s="87" customFormat="1" x14ac:dyDescent="0.3"/>
    <row r="250" s="87" customFormat="1" x14ac:dyDescent="0.3"/>
    <row r="251" s="87" customFormat="1" x14ac:dyDescent="0.3"/>
    <row r="252" s="87" customFormat="1" x14ac:dyDescent="0.3"/>
    <row r="253" s="87" customFormat="1" x14ac:dyDescent="0.3"/>
    <row r="254" s="87" customFormat="1" x14ac:dyDescent="0.3"/>
    <row r="255" s="87" customFormat="1" x14ac:dyDescent="0.3"/>
    <row r="256" s="87" customFormat="1" x14ac:dyDescent="0.3"/>
    <row r="257" s="87" customFormat="1" x14ac:dyDescent="0.3"/>
    <row r="258" s="87" customFormat="1" x14ac:dyDescent="0.3"/>
    <row r="259" s="87" customFormat="1" x14ac:dyDescent="0.3"/>
    <row r="260" s="87" customFormat="1" x14ac:dyDescent="0.3"/>
    <row r="261" s="87" customFormat="1" x14ac:dyDescent="0.3"/>
    <row r="262" s="87" customFormat="1" x14ac:dyDescent="0.3"/>
    <row r="263" s="87" customFormat="1" x14ac:dyDescent="0.3"/>
    <row r="264" s="87" customFormat="1" x14ac:dyDescent="0.3"/>
    <row r="265" s="87" customFormat="1" x14ac:dyDescent="0.3"/>
    <row r="266" s="87" customFormat="1" x14ac:dyDescent="0.3"/>
    <row r="267" s="87" customFormat="1" x14ac:dyDescent="0.3"/>
    <row r="268" s="87" customFormat="1" x14ac:dyDescent="0.3"/>
    <row r="269" s="87" customFormat="1" x14ac:dyDescent="0.3"/>
    <row r="270" s="87" customFormat="1" x14ac:dyDescent="0.3"/>
    <row r="271" s="87" customFormat="1" x14ac:dyDescent="0.3"/>
    <row r="272" s="87" customFormat="1" x14ac:dyDescent="0.3"/>
    <row r="273" s="87" customFormat="1" x14ac:dyDescent="0.3"/>
    <row r="274" s="87" customFormat="1" x14ac:dyDescent="0.3"/>
    <row r="275" s="87" customFormat="1" x14ac:dyDescent="0.3"/>
    <row r="276" s="87" customFormat="1" x14ac:dyDescent="0.3"/>
    <row r="277" s="87" customFormat="1" x14ac:dyDescent="0.3"/>
    <row r="278" s="87" customFormat="1" x14ac:dyDescent="0.3"/>
    <row r="279" s="87" customFormat="1" x14ac:dyDescent="0.3"/>
    <row r="280" s="87" customFormat="1" x14ac:dyDescent="0.3"/>
    <row r="281" s="87" customFormat="1" x14ac:dyDescent="0.3"/>
    <row r="282" s="87" customFormat="1" x14ac:dyDescent="0.3"/>
    <row r="283" s="87" customFormat="1" x14ac:dyDescent="0.3"/>
    <row r="284" s="87" customFormat="1" x14ac:dyDescent="0.3"/>
    <row r="285" s="87" customFormat="1" x14ac:dyDescent="0.3"/>
    <row r="286" s="87" customFormat="1" x14ac:dyDescent="0.3"/>
    <row r="287" s="87" customFormat="1" x14ac:dyDescent="0.3"/>
    <row r="288" s="87" customFormat="1" x14ac:dyDescent="0.3"/>
    <row r="289" s="87" customFormat="1" x14ac:dyDescent="0.3"/>
    <row r="290" s="87" customFormat="1" x14ac:dyDescent="0.3"/>
    <row r="291" s="87" customFormat="1" x14ac:dyDescent="0.3"/>
    <row r="292" s="87" customFormat="1" x14ac:dyDescent="0.3"/>
    <row r="293" s="87" customFormat="1" x14ac:dyDescent="0.3"/>
    <row r="294" s="87" customFormat="1" x14ac:dyDescent="0.3"/>
    <row r="295" s="87" customFormat="1" x14ac:dyDescent="0.3"/>
    <row r="296" s="87" customFormat="1" x14ac:dyDescent="0.3"/>
    <row r="297" s="87" customFormat="1" x14ac:dyDescent="0.3"/>
    <row r="298" s="87" customFormat="1" x14ac:dyDescent="0.3"/>
    <row r="299" s="87" customFormat="1" x14ac:dyDescent="0.3"/>
    <row r="300" s="87" customFormat="1" x14ac:dyDescent="0.3"/>
    <row r="301" s="87" customFormat="1" x14ac:dyDescent="0.3"/>
    <row r="302" s="87" customFormat="1" x14ac:dyDescent="0.3"/>
    <row r="303" s="87" customFormat="1" x14ac:dyDescent="0.3"/>
    <row r="304" s="87" customFormat="1" x14ac:dyDescent="0.3"/>
    <row r="305" s="87" customFormat="1" x14ac:dyDescent="0.3"/>
    <row r="306" s="87" customFormat="1" x14ac:dyDescent="0.3"/>
    <row r="307" s="87" customFormat="1" x14ac:dyDescent="0.3"/>
    <row r="308" s="87" customFormat="1" x14ac:dyDescent="0.3"/>
    <row r="309" s="87" customFormat="1" x14ac:dyDescent="0.3"/>
    <row r="310" s="87" customFormat="1" x14ac:dyDescent="0.3"/>
    <row r="311" s="87" customFormat="1" x14ac:dyDescent="0.3"/>
    <row r="312" s="87" customFormat="1" x14ac:dyDescent="0.3"/>
    <row r="313" s="87" customFormat="1" x14ac:dyDescent="0.3"/>
    <row r="314" s="87" customFormat="1" x14ac:dyDescent="0.3"/>
    <row r="315" s="87" customFormat="1" x14ac:dyDescent="0.3"/>
    <row r="316" s="87" customFormat="1" x14ac:dyDescent="0.3"/>
    <row r="317" s="87" customFormat="1" x14ac:dyDescent="0.3"/>
    <row r="318" s="87" customFormat="1" x14ac:dyDescent="0.3"/>
    <row r="319" s="87" customFormat="1" x14ac:dyDescent="0.3"/>
    <row r="320" s="87" customFormat="1" x14ac:dyDescent="0.3"/>
    <row r="321" s="87" customFormat="1" x14ac:dyDescent="0.3"/>
    <row r="322" s="87" customFormat="1" x14ac:dyDescent="0.3"/>
    <row r="323" s="87" customFormat="1" x14ac:dyDescent="0.3"/>
    <row r="324" s="87" customFormat="1" x14ac:dyDescent="0.3"/>
    <row r="325" s="87" customFormat="1" x14ac:dyDescent="0.3"/>
    <row r="326" s="87" customFormat="1" x14ac:dyDescent="0.3"/>
    <row r="327" s="87" customFormat="1" x14ac:dyDescent="0.3"/>
    <row r="328" s="87" customFormat="1" x14ac:dyDescent="0.3"/>
    <row r="329" s="87" customFormat="1" x14ac:dyDescent="0.3"/>
    <row r="330" s="87" customFormat="1" x14ac:dyDescent="0.3"/>
    <row r="331" s="87" customFormat="1" x14ac:dyDescent="0.3"/>
    <row r="332" s="87" customFormat="1" x14ac:dyDescent="0.3"/>
    <row r="333" s="87" customFormat="1" x14ac:dyDescent="0.3"/>
    <row r="334" s="87" customFormat="1" x14ac:dyDescent="0.3"/>
    <row r="335" s="87" customFormat="1" x14ac:dyDescent="0.3"/>
    <row r="336" s="87" customFormat="1" x14ac:dyDescent="0.3"/>
    <row r="337" s="87" customFormat="1" x14ac:dyDescent="0.3"/>
    <row r="338" s="87" customFormat="1" x14ac:dyDescent="0.3"/>
    <row r="339" s="87" customFormat="1" x14ac:dyDescent="0.3"/>
    <row r="340" s="87" customFormat="1" x14ac:dyDescent="0.3"/>
    <row r="341" s="87" customFormat="1" x14ac:dyDescent="0.3"/>
    <row r="342" s="87" customFormat="1" x14ac:dyDescent="0.3"/>
    <row r="343" s="87" customFormat="1" x14ac:dyDescent="0.3"/>
    <row r="344" s="87" customFormat="1" x14ac:dyDescent="0.3"/>
    <row r="345" s="87" customFormat="1" x14ac:dyDescent="0.3"/>
    <row r="346" s="87" customFormat="1" x14ac:dyDescent="0.3"/>
    <row r="347" s="87" customFormat="1" x14ac:dyDescent="0.3"/>
    <row r="348" s="87" customFormat="1" x14ac:dyDescent="0.3"/>
    <row r="349" s="87" customFormat="1" x14ac:dyDescent="0.3"/>
    <row r="350" s="87" customFormat="1" x14ac:dyDescent="0.3"/>
    <row r="351" s="87" customFormat="1" x14ac:dyDescent="0.3"/>
    <row r="352" s="87" customFormat="1" x14ac:dyDescent="0.3"/>
    <row r="353" s="87" customFormat="1" x14ac:dyDescent="0.3"/>
    <row r="354" s="87" customFormat="1" x14ac:dyDescent="0.3"/>
    <row r="355" s="87" customFormat="1" x14ac:dyDescent="0.3"/>
    <row r="356" s="87" customFormat="1" x14ac:dyDescent="0.3"/>
    <row r="357" s="87" customFormat="1" x14ac:dyDescent="0.3"/>
    <row r="358" s="87" customFormat="1" x14ac:dyDescent="0.3"/>
    <row r="359" s="87" customFormat="1" x14ac:dyDescent="0.3"/>
    <row r="360" s="87" customFormat="1" x14ac:dyDescent="0.3"/>
    <row r="361" s="87" customFormat="1" x14ac:dyDescent="0.3"/>
    <row r="362" s="87" customFormat="1" x14ac:dyDescent="0.3"/>
    <row r="363" s="87" customFormat="1" x14ac:dyDescent="0.3"/>
    <row r="364" s="87" customFormat="1" x14ac:dyDescent="0.3"/>
    <row r="365" s="87" customFormat="1" x14ac:dyDescent="0.3"/>
    <row r="366" s="87" customFormat="1" x14ac:dyDescent="0.3"/>
    <row r="367" s="87" customFormat="1" x14ac:dyDescent="0.3"/>
    <row r="368" s="87" customFormat="1" x14ac:dyDescent="0.3"/>
    <row r="369" s="87" customFormat="1" x14ac:dyDescent="0.3"/>
    <row r="370" s="87" customFormat="1" x14ac:dyDescent="0.3"/>
    <row r="371" s="87" customFormat="1" x14ac:dyDescent="0.3"/>
    <row r="372" s="87" customFormat="1" x14ac:dyDescent="0.3"/>
    <row r="373" s="87" customFormat="1" x14ac:dyDescent="0.3"/>
    <row r="374" s="87" customFormat="1" x14ac:dyDescent="0.3"/>
    <row r="375" s="87" customFormat="1" x14ac:dyDescent="0.3"/>
    <row r="376" s="87" customFormat="1" x14ac:dyDescent="0.3"/>
    <row r="377" s="87" customFormat="1" x14ac:dyDescent="0.3"/>
    <row r="378" s="87" customFormat="1" x14ac:dyDescent="0.3"/>
    <row r="379" s="87" customFormat="1" x14ac:dyDescent="0.3"/>
    <row r="380" s="87" customFormat="1" x14ac:dyDescent="0.3"/>
    <row r="381" s="87" customFormat="1" x14ac:dyDescent="0.3"/>
    <row r="382" s="87" customFormat="1" x14ac:dyDescent="0.3"/>
    <row r="383" s="87" customFormat="1" x14ac:dyDescent="0.3"/>
    <row r="384" s="87" customFormat="1" x14ac:dyDescent="0.3"/>
    <row r="385" s="87" customFormat="1" x14ac:dyDescent="0.3"/>
    <row r="386" s="87" customFormat="1" x14ac:dyDescent="0.3"/>
    <row r="387" s="87" customFormat="1" x14ac:dyDescent="0.3"/>
    <row r="388" s="87" customFormat="1" x14ac:dyDescent="0.3"/>
    <row r="389" s="87" customFormat="1" x14ac:dyDescent="0.3"/>
    <row r="390" s="87" customFormat="1" x14ac:dyDescent="0.3"/>
    <row r="391" s="87" customFormat="1" x14ac:dyDescent="0.3"/>
    <row r="392" s="87" customFormat="1" x14ac:dyDescent="0.3"/>
    <row r="393" s="87" customFormat="1" x14ac:dyDescent="0.3"/>
    <row r="394" s="87" customFormat="1" x14ac:dyDescent="0.3"/>
    <row r="395" s="87" customFormat="1" x14ac:dyDescent="0.3"/>
    <row r="396" s="87" customFormat="1" x14ac:dyDescent="0.3"/>
    <row r="397" s="87" customFormat="1" x14ac:dyDescent="0.3"/>
    <row r="398" s="87" customFormat="1" x14ac:dyDescent="0.3"/>
    <row r="399" s="87" customFormat="1" x14ac:dyDescent="0.3"/>
    <row r="400" s="87" customFormat="1" x14ac:dyDescent="0.3"/>
    <row r="401" s="87" customFormat="1" x14ac:dyDescent="0.3"/>
    <row r="402" s="87" customFormat="1" x14ac:dyDescent="0.3"/>
    <row r="403" s="87" customFormat="1" x14ac:dyDescent="0.3"/>
    <row r="404" s="87" customFormat="1" x14ac:dyDescent="0.3"/>
    <row r="405" s="87" customFormat="1" x14ac:dyDescent="0.3"/>
    <row r="406" s="87" customFormat="1" x14ac:dyDescent="0.3"/>
    <row r="407" s="87" customFormat="1" x14ac:dyDescent="0.3"/>
    <row r="408" s="87" customFormat="1" x14ac:dyDescent="0.3"/>
    <row r="409" s="87" customFormat="1" x14ac:dyDescent="0.3"/>
    <row r="410" s="87" customFormat="1" x14ac:dyDescent="0.3"/>
    <row r="411" s="87" customFormat="1" x14ac:dyDescent="0.3"/>
    <row r="412" s="87" customFormat="1" x14ac:dyDescent="0.3"/>
    <row r="413" s="87" customFormat="1" x14ac:dyDescent="0.3"/>
    <row r="414" s="87" customFormat="1" x14ac:dyDescent="0.3"/>
    <row r="415" s="87" customFormat="1" x14ac:dyDescent="0.3"/>
    <row r="416" s="87" customFormat="1" x14ac:dyDescent="0.3"/>
    <row r="417" s="87" customFormat="1" x14ac:dyDescent="0.3"/>
    <row r="418" s="87" customFormat="1" x14ac:dyDescent="0.3"/>
    <row r="419" s="87" customFormat="1" x14ac:dyDescent="0.3"/>
    <row r="420" s="87" customFormat="1" x14ac:dyDescent="0.3"/>
    <row r="421" s="87" customFormat="1" x14ac:dyDescent="0.3"/>
    <row r="422" s="87" customFormat="1" x14ac:dyDescent="0.3"/>
    <row r="423" s="87" customFormat="1" x14ac:dyDescent="0.3"/>
    <row r="424" s="87" customFormat="1" x14ac:dyDescent="0.3"/>
    <row r="425" s="87" customFormat="1" x14ac:dyDescent="0.3"/>
    <row r="426" s="87" customFormat="1" x14ac:dyDescent="0.3"/>
    <row r="427" s="87" customFormat="1" x14ac:dyDescent="0.3"/>
    <row r="428" s="87" customFormat="1" x14ac:dyDescent="0.3"/>
    <row r="429" s="87" customFormat="1" x14ac:dyDescent="0.3"/>
    <row r="430" s="87" customFormat="1" x14ac:dyDescent="0.3"/>
    <row r="431" s="87" customFormat="1" x14ac:dyDescent="0.3"/>
    <row r="432" s="87" customFormat="1" x14ac:dyDescent="0.3"/>
    <row r="433" s="87" customFormat="1" x14ac:dyDescent="0.3"/>
    <row r="434" s="87" customFormat="1" x14ac:dyDescent="0.3"/>
    <row r="435" s="87" customFormat="1" x14ac:dyDescent="0.3"/>
    <row r="436" s="87" customFormat="1" x14ac:dyDescent="0.3"/>
    <row r="437" s="87" customFormat="1" x14ac:dyDescent="0.3"/>
    <row r="438" s="87" customFormat="1" x14ac:dyDescent="0.3"/>
    <row r="439" s="87" customFormat="1" x14ac:dyDescent="0.3"/>
    <row r="440" s="87" customFormat="1" x14ac:dyDescent="0.3"/>
    <row r="441" s="87" customFormat="1" x14ac:dyDescent="0.3"/>
    <row r="442" s="87" customFormat="1" x14ac:dyDescent="0.3"/>
    <row r="443" s="87" customFormat="1" x14ac:dyDescent="0.3"/>
    <row r="444" s="87" customFormat="1" x14ac:dyDescent="0.3"/>
    <row r="445" s="87" customFormat="1" x14ac:dyDescent="0.3"/>
    <row r="446" s="87" customFormat="1" x14ac:dyDescent="0.3"/>
    <row r="447" s="87" customFormat="1" x14ac:dyDescent="0.3"/>
    <row r="448" s="87" customFormat="1" x14ac:dyDescent="0.3"/>
    <row r="449" s="87" customFormat="1" x14ac:dyDescent="0.3"/>
    <row r="450" s="87" customFormat="1" x14ac:dyDescent="0.3"/>
    <row r="451" s="87" customFormat="1" x14ac:dyDescent="0.3"/>
    <row r="452" s="87" customFormat="1" x14ac:dyDescent="0.3"/>
    <row r="453" s="87" customFormat="1" x14ac:dyDescent="0.3"/>
    <row r="454" s="87" customFormat="1" x14ac:dyDescent="0.3"/>
    <row r="455" s="87" customFormat="1" x14ac:dyDescent="0.3"/>
    <row r="456" s="87" customFormat="1" x14ac:dyDescent="0.3"/>
    <row r="457" s="87" customFormat="1" x14ac:dyDescent="0.3"/>
    <row r="458" s="87" customFormat="1" x14ac:dyDescent="0.3"/>
    <row r="459" s="87" customFormat="1" x14ac:dyDescent="0.3"/>
    <row r="460" s="87" customFormat="1" x14ac:dyDescent="0.3"/>
    <row r="461" s="87" customFormat="1" x14ac:dyDescent="0.3"/>
    <row r="462" s="87" customFormat="1" x14ac:dyDescent="0.3"/>
    <row r="463" s="87" customFormat="1" x14ac:dyDescent="0.3"/>
    <row r="464" s="87" customFormat="1" x14ac:dyDescent="0.3"/>
    <row r="465" s="87" customFormat="1" x14ac:dyDescent="0.3"/>
    <row r="466" s="87" customFormat="1" x14ac:dyDescent="0.3"/>
    <row r="467" s="87" customFormat="1" x14ac:dyDescent="0.3"/>
    <row r="468" s="87" customFormat="1" x14ac:dyDescent="0.3"/>
    <row r="469" s="87" customFormat="1" x14ac:dyDescent="0.3"/>
    <row r="470" s="87" customFormat="1" x14ac:dyDescent="0.3"/>
    <row r="471" s="87" customFormat="1" x14ac:dyDescent="0.3"/>
    <row r="472" s="87" customFormat="1" x14ac:dyDescent="0.3"/>
    <row r="473" s="87" customFormat="1" x14ac:dyDescent="0.3"/>
    <row r="474" s="87" customFormat="1" x14ac:dyDescent="0.3"/>
    <row r="475" s="87" customFormat="1" x14ac:dyDescent="0.3"/>
    <row r="476" s="87" customFormat="1" x14ac:dyDescent="0.3"/>
    <row r="477" s="87" customFormat="1" x14ac:dyDescent="0.3"/>
    <row r="478" s="87" customFormat="1" x14ac:dyDescent="0.3"/>
    <row r="479" s="87" customFormat="1" x14ac:dyDescent="0.3"/>
    <row r="480" s="87" customFormat="1" x14ac:dyDescent="0.3"/>
    <row r="481" s="87" customFormat="1" x14ac:dyDescent="0.3"/>
    <row r="482" s="87" customFormat="1" x14ac:dyDescent="0.3"/>
    <row r="483" s="87" customFormat="1" x14ac:dyDescent="0.3"/>
    <row r="484" s="87" customFormat="1" x14ac:dyDescent="0.3"/>
    <row r="485" s="87" customFormat="1" x14ac:dyDescent="0.3"/>
    <row r="486" s="87" customFormat="1" x14ac:dyDescent="0.3"/>
    <row r="487" s="87" customFormat="1" x14ac:dyDescent="0.3"/>
    <row r="488" s="87" customFormat="1" x14ac:dyDescent="0.3"/>
    <row r="489" s="87" customFormat="1" x14ac:dyDescent="0.3"/>
    <row r="490" s="87" customFormat="1" x14ac:dyDescent="0.3"/>
    <row r="491" s="87" customFormat="1" x14ac:dyDescent="0.3"/>
    <row r="492" s="87" customFormat="1" x14ac:dyDescent="0.3"/>
    <row r="493" s="87" customFormat="1" x14ac:dyDescent="0.3"/>
    <row r="494" s="87" customFormat="1" x14ac:dyDescent="0.3"/>
    <row r="495" s="87" customFormat="1" x14ac:dyDescent="0.3"/>
    <row r="496" s="87" customFormat="1" x14ac:dyDescent="0.3"/>
    <row r="497" s="87" customFormat="1" x14ac:dyDescent="0.3"/>
    <row r="498" s="87" customFormat="1" x14ac:dyDescent="0.3"/>
    <row r="499" s="87" customFormat="1" x14ac:dyDescent="0.3"/>
    <row r="500" s="87" customFormat="1" x14ac:dyDescent="0.3"/>
    <row r="501" s="87" customFormat="1" x14ac:dyDescent="0.3"/>
    <row r="502" s="87" customFormat="1" x14ac:dyDescent="0.3"/>
    <row r="503" s="87" customFormat="1" x14ac:dyDescent="0.3"/>
    <row r="504" s="87" customFormat="1" x14ac:dyDescent="0.3"/>
    <row r="505" s="87" customFormat="1" x14ac:dyDescent="0.3"/>
    <row r="506" s="87" customFormat="1" x14ac:dyDescent="0.3"/>
    <row r="507" s="87" customFormat="1" x14ac:dyDescent="0.3"/>
    <row r="508" s="87" customFormat="1" x14ac:dyDescent="0.3"/>
    <row r="509" s="87" customFormat="1" x14ac:dyDescent="0.3"/>
    <row r="510" s="87" customFormat="1" x14ac:dyDescent="0.3"/>
    <row r="511" s="87" customFormat="1" x14ac:dyDescent="0.3"/>
    <row r="512" s="87" customFormat="1" x14ac:dyDescent="0.3"/>
    <row r="513" s="87" customFormat="1" x14ac:dyDescent="0.3"/>
    <row r="514" s="87" customFormat="1" x14ac:dyDescent="0.3"/>
    <row r="515" s="87" customFormat="1" x14ac:dyDescent="0.3"/>
    <row r="516" s="87" customFormat="1" x14ac:dyDescent="0.3"/>
    <row r="517" s="87" customFormat="1" x14ac:dyDescent="0.3"/>
    <row r="518" s="87" customFormat="1" x14ac:dyDescent="0.3"/>
    <row r="519" s="87" customFormat="1" x14ac:dyDescent="0.3"/>
    <row r="520" s="87" customFormat="1" x14ac:dyDescent="0.3"/>
    <row r="521" s="87" customFormat="1" x14ac:dyDescent="0.3"/>
    <row r="522" s="87" customFormat="1" x14ac:dyDescent="0.3"/>
    <row r="523" s="87" customFormat="1" x14ac:dyDescent="0.3"/>
    <row r="524" s="87" customFormat="1" x14ac:dyDescent="0.3"/>
    <row r="525" s="87" customFormat="1" x14ac:dyDescent="0.3"/>
    <row r="526" s="87" customFormat="1" x14ac:dyDescent="0.3"/>
    <row r="527" s="87" customFormat="1" x14ac:dyDescent="0.3"/>
    <row r="528" s="87" customFormat="1" x14ac:dyDescent="0.3"/>
    <row r="529" s="87" customFormat="1" x14ac:dyDescent="0.3"/>
    <row r="530" s="87" customFormat="1" x14ac:dyDescent="0.3"/>
    <row r="531" s="87" customFormat="1" x14ac:dyDescent="0.3"/>
    <row r="532" s="87" customFormat="1" x14ac:dyDescent="0.3"/>
    <row r="533" s="87" customFormat="1" x14ac:dyDescent="0.3"/>
    <row r="534" s="87" customFormat="1" x14ac:dyDescent="0.3"/>
    <row r="535" s="87" customFormat="1" x14ac:dyDescent="0.3"/>
    <row r="536" s="87" customFormat="1" x14ac:dyDescent="0.3"/>
    <row r="537" s="87" customFormat="1" x14ac:dyDescent="0.3"/>
    <row r="538" s="87" customFormat="1" x14ac:dyDescent="0.3"/>
    <row r="539" s="87" customFormat="1" x14ac:dyDescent="0.3"/>
    <row r="540" s="87" customFormat="1" x14ac:dyDescent="0.3"/>
    <row r="541" s="87" customFormat="1" x14ac:dyDescent="0.3"/>
    <row r="542" s="87" customFormat="1" x14ac:dyDescent="0.3"/>
    <row r="543" s="87" customFormat="1" x14ac:dyDescent="0.3"/>
    <row r="544" s="87" customFormat="1" x14ac:dyDescent="0.3"/>
    <row r="545" s="87" customFormat="1" x14ac:dyDescent="0.3"/>
    <row r="546" s="87" customFormat="1" x14ac:dyDescent="0.3"/>
    <row r="547" s="87" customFormat="1" x14ac:dyDescent="0.3"/>
    <row r="548" s="87" customFormat="1" x14ac:dyDescent="0.3"/>
    <row r="549" s="87" customFormat="1" x14ac:dyDescent="0.3"/>
    <row r="550" s="87" customFormat="1" x14ac:dyDescent="0.3"/>
    <row r="551" s="87" customFormat="1" x14ac:dyDescent="0.3"/>
    <row r="552" s="87" customFormat="1" x14ac:dyDescent="0.3"/>
    <row r="553" s="87" customFormat="1" x14ac:dyDescent="0.3"/>
    <row r="554" s="87" customFormat="1" x14ac:dyDescent="0.3"/>
    <row r="555" s="87" customFormat="1" x14ac:dyDescent="0.3"/>
    <row r="556" s="87" customFormat="1" x14ac:dyDescent="0.3"/>
    <row r="557" s="87" customFormat="1" x14ac:dyDescent="0.3"/>
    <row r="558" s="87" customFormat="1" x14ac:dyDescent="0.3"/>
    <row r="559" s="87" customFormat="1" x14ac:dyDescent="0.3"/>
    <row r="560" s="87" customFormat="1" x14ac:dyDescent="0.3"/>
    <row r="561" s="87" customFormat="1" x14ac:dyDescent="0.3"/>
    <row r="562" s="87" customFormat="1" x14ac:dyDescent="0.3"/>
    <row r="563" s="87" customFormat="1" x14ac:dyDescent="0.3"/>
    <row r="564" s="87" customFormat="1" x14ac:dyDescent="0.3"/>
    <row r="565" s="87" customFormat="1" x14ac:dyDescent="0.3"/>
    <row r="566" s="87" customFormat="1" x14ac:dyDescent="0.3"/>
    <row r="567" s="87" customFormat="1" x14ac:dyDescent="0.3"/>
    <row r="568" s="87" customFormat="1" x14ac:dyDescent="0.3"/>
    <row r="569" s="87" customFormat="1" x14ac:dyDescent="0.3"/>
    <row r="570" s="87" customFormat="1" x14ac:dyDescent="0.3"/>
    <row r="571" s="87" customFormat="1" x14ac:dyDescent="0.3"/>
    <row r="572" s="87" customFormat="1" x14ac:dyDescent="0.3"/>
    <row r="573" s="87" customFormat="1" x14ac:dyDescent="0.3"/>
    <row r="574" s="87" customFormat="1" x14ac:dyDescent="0.3"/>
    <row r="575" s="87" customFormat="1" x14ac:dyDescent="0.3"/>
    <row r="576" s="87" customFormat="1" x14ac:dyDescent="0.3"/>
    <row r="577" s="87" customFormat="1" x14ac:dyDescent="0.3"/>
    <row r="578" s="87" customFormat="1" x14ac:dyDescent="0.3"/>
    <row r="579" s="87" customFormat="1" x14ac:dyDescent="0.3"/>
    <row r="580" s="87" customFormat="1" x14ac:dyDescent="0.3"/>
    <row r="581" s="87" customFormat="1" x14ac:dyDescent="0.3"/>
    <row r="582" s="87" customFormat="1" x14ac:dyDescent="0.3"/>
    <row r="583" s="87" customFormat="1" x14ac:dyDescent="0.3"/>
    <row r="584" s="87" customFormat="1" x14ac:dyDescent="0.3"/>
    <row r="585" s="87" customFormat="1" x14ac:dyDescent="0.3"/>
    <row r="586" s="87" customFormat="1" x14ac:dyDescent="0.3"/>
    <row r="587" s="87" customFormat="1" x14ac:dyDescent="0.3"/>
    <row r="588" s="87" customFormat="1" x14ac:dyDescent="0.3"/>
    <row r="589" s="87" customFormat="1" x14ac:dyDescent="0.3"/>
    <row r="590" s="87" customFormat="1" x14ac:dyDescent="0.3"/>
    <row r="591" s="87" customFormat="1" x14ac:dyDescent="0.3"/>
    <row r="592" s="87" customFormat="1" x14ac:dyDescent="0.3"/>
    <row r="593" s="87" customFormat="1" x14ac:dyDescent="0.3"/>
    <row r="594" s="87" customFormat="1" x14ac:dyDescent="0.3"/>
    <row r="595" s="87" customFormat="1" x14ac:dyDescent="0.3"/>
    <row r="596" s="87" customFormat="1" x14ac:dyDescent="0.3"/>
    <row r="597" s="87" customFormat="1" x14ac:dyDescent="0.3"/>
    <row r="598" s="87" customFormat="1" x14ac:dyDescent="0.3"/>
    <row r="599" s="87" customFormat="1" x14ac:dyDescent="0.3"/>
    <row r="600" s="87" customFormat="1" x14ac:dyDescent="0.3"/>
    <row r="601" s="87" customFormat="1" x14ac:dyDescent="0.3"/>
    <row r="602" s="87" customFormat="1" x14ac:dyDescent="0.3"/>
    <row r="603" s="87" customFormat="1" x14ac:dyDescent="0.3"/>
    <row r="604" s="87" customFormat="1" x14ac:dyDescent="0.3"/>
    <row r="605" s="87" customFormat="1" x14ac:dyDescent="0.3"/>
    <row r="606" s="87" customFormat="1" x14ac:dyDescent="0.3"/>
    <row r="607" s="87" customFormat="1" x14ac:dyDescent="0.3"/>
    <row r="608" s="87" customFormat="1" x14ac:dyDescent="0.3"/>
    <row r="609" s="87" customFormat="1" x14ac:dyDescent="0.3"/>
    <row r="610" s="87" customFormat="1" x14ac:dyDescent="0.3"/>
    <row r="611" s="87" customFormat="1" x14ac:dyDescent="0.3"/>
    <row r="612" s="87" customFormat="1" x14ac:dyDescent="0.3"/>
    <row r="613" s="87" customFormat="1" x14ac:dyDescent="0.3"/>
    <row r="614" s="87" customFormat="1" x14ac:dyDescent="0.3"/>
    <row r="615" s="87" customFormat="1" x14ac:dyDescent="0.3"/>
    <row r="616" s="87" customFormat="1" x14ac:dyDescent="0.3"/>
    <row r="617" s="87" customFormat="1" x14ac:dyDescent="0.3"/>
    <row r="618" s="87" customFormat="1" x14ac:dyDescent="0.3"/>
    <row r="619" s="87" customFormat="1" x14ac:dyDescent="0.3"/>
    <row r="620" s="87" customFormat="1" x14ac:dyDescent="0.3"/>
    <row r="621" s="87" customFormat="1" x14ac:dyDescent="0.3"/>
    <row r="622" s="87" customFormat="1" x14ac:dyDescent="0.3"/>
    <row r="623" s="87" customFormat="1" x14ac:dyDescent="0.3"/>
    <row r="624" s="87" customFormat="1" x14ac:dyDescent="0.3"/>
    <row r="625" s="87" customFormat="1" x14ac:dyDescent="0.3"/>
    <row r="626" s="87" customFormat="1" x14ac:dyDescent="0.3"/>
    <row r="627" s="87" customFormat="1" x14ac:dyDescent="0.3"/>
    <row r="628" s="87" customFormat="1" x14ac:dyDescent="0.3"/>
    <row r="629" s="87" customFormat="1" x14ac:dyDescent="0.3"/>
    <row r="630" s="87" customFormat="1" x14ac:dyDescent="0.3"/>
    <row r="631" s="87" customFormat="1" x14ac:dyDescent="0.3"/>
    <row r="632" s="87" customFormat="1" x14ac:dyDescent="0.3"/>
    <row r="633" s="87" customFormat="1" x14ac:dyDescent="0.3"/>
    <row r="634" s="87" customFormat="1" x14ac:dyDescent="0.3"/>
    <row r="635" s="87" customFormat="1" x14ac:dyDescent="0.3"/>
    <row r="636" s="87" customFormat="1" x14ac:dyDescent="0.3"/>
    <row r="637" s="87" customFormat="1" x14ac:dyDescent="0.3"/>
    <row r="638" s="87" customFormat="1" x14ac:dyDescent="0.3"/>
    <row r="639" s="87" customFormat="1" x14ac:dyDescent="0.3"/>
    <row r="640" s="87" customFormat="1" x14ac:dyDescent="0.3"/>
    <row r="641" s="87" customFormat="1" x14ac:dyDescent="0.3"/>
    <row r="642" s="87" customFormat="1" x14ac:dyDescent="0.3"/>
    <row r="643" s="87" customFormat="1" x14ac:dyDescent="0.3"/>
    <row r="644" s="87" customFormat="1" x14ac:dyDescent="0.3"/>
    <row r="645" s="87" customFormat="1" x14ac:dyDescent="0.3"/>
    <row r="646" s="87" customFormat="1" x14ac:dyDescent="0.3"/>
    <row r="647" s="87" customFormat="1" x14ac:dyDescent="0.3"/>
    <row r="648" s="87" customFormat="1" x14ac:dyDescent="0.3"/>
    <row r="649" s="87" customFormat="1" x14ac:dyDescent="0.3"/>
    <row r="650" s="87" customFormat="1" x14ac:dyDescent="0.3"/>
    <row r="651" s="87" customFormat="1" x14ac:dyDescent="0.3"/>
    <row r="652" s="87" customFormat="1" x14ac:dyDescent="0.3"/>
    <row r="653" s="87" customFormat="1" x14ac:dyDescent="0.3"/>
    <row r="654" s="87" customFormat="1" x14ac:dyDescent="0.3"/>
    <row r="655" s="87" customFormat="1" x14ac:dyDescent="0.3"/>
    <row r="656" s="87" customFormat="1" x14ac:dyDescent="0.3"/>
    <row r="657" s="87" customFormat="1" x14ac:dyDescent="0.3"/>
    <row r="658" s="87" customFormat="1" x14ac:dyDescent="0.3"/>
    <row r="659" s="87" customFormat="1" x14ac:dyDescent="0.3"/>
    <row r="660" s="87" customFormat="1" x14ac:dyDescent="0.3"/>
    <row r="661" s="87" customFormat="1" x14ac:dyDescent="0.3"/>
    <row r="662" s="87" customFormat="1" x14ac:dyDescent="0.3"/>
    <row r="663" s="87" customFormat="1" x14ac:dyDescent="0.3"/>
    <row r="664" s="87" customFormat="1" x14ac:dyDescent="0.3"/>
    <row r="665" s="87" customFormat="1" x14ac:dyDescent="0.3"/>
    <row r="666" s="87" customFormat="1" x14ac:dyDescent="0.3"/>
    <row r="667" s="87" customFormat="1" x14ac:dyDescent="0.3"/>
    <row r="668" s="87" customFormat="1" x14ac:dyDescent="0.3"/>
    <row r="669" s="87" customFormat="1" x14ac:dyDescent="0.3"/>
    <row r="670" s="87" customFormat="1" x14ac:dyDescent="0.3"/>
    <row r="671" s="87" customFormat="1" x14ac:dyDescent="0.3"/>
    <row r="672" s="87" customFormat="1" x14ac:dyDescent="0.3"/>
    <row r="673" s="87" customFormat="1" x14ac:dyDescent="0.3"/>
    <row r="674" s="87" customFormat="1" x14ac:dyDescent="0.3"/>
    <row r="675" s="87" customFormat="1" x14ac:dyDescent="0.3"/>
    <row r="676" s="87" customFormat="1" x14ac:dyDescent="0.3"/>
    <row r="677" s="87" customFormat="1" x14ac:dyDescent="0.3"/>
    <row r="678" s="87" customFormat="1" x14ac:dyDescent="0.3"/>
    <row r="679" s="87" customFormat="1" x14ac:dyDescent="0.3"/>
    <row r="680" s="87" customFormat="1" x14ac:dyDescent="0.3"/>
    <row r="681" s="87" customFormat="1" x14ac:dyDescent="0.3"/>
    <row r="682" s="87" customFormat="1" x14ac:dyDescent="0.3"/>
    <row r="683" s="87" customFormat="1" x14ac:dyDescent="0.3"/>
    <row r="684" s="87" customFormat="1" x14ac:dyDescent="0.3"/>
    <row r="685" s="87" customFormat="1" x14ac:dyDescent="0.3"/>
    <row r="686" s="87" customFormat="1" x14ac:dyDescent="0.3"/>
    <row r="687" s="87" customFormat="1" x14ac:dyDescent="0.3"/>
    <row r="688" s="87" customFormat="1" x14ac:dyDescent="0.3"/>
    <row r="689" s="87" customFormat="1" x14ac:dyDescent="0.3"/>
    <row r="690" s="87" customFormat="1" x14ac:dyDescent="0.3"/>
    <row r="691" s="87" customFormat="1" x14ac:dyDescent="0.3"/>
    <row r="692" s="87" customFormat="1" x14ac:dyDescent="0.3"/>
    <row r="693" s="87" customFormat="1" x14ac:dyDescent="0.3"/>
    <row r="694" s="87" customFormat="1" x14ac:dyDescent="0.3"/>
    <row r="695" s="87" customFormat="1" x14ac:dyDescent="0.3"/>
    <row r="696" s="87" customFormat="1" x14ac:dyDescent="0.3"/>
    <row r="697" s="87" customFormat="1" x14ac:dyDescent="0.3"/>
    <row r="698" s="87" customFormat="1" x14ac:dyDescent="0.3"/>
    <row r="699" s="87" customFormat="1" x14ac:dyDescent="0.3"/>
    <row r="700" s="87" customFormat="1" x14ac:dyDescent="0.3"/>
    <row r="701" s="87" customFormat="1" x14ac:dyDescent="0.3"/>
    <row r="702" s="87" customFormat="1" x14ac:dyDescent="0.3"/>
    <row r="703" s="87" customFormat="1" x14ac:dyDescent="0.3"/>
    <row r="704" s="87" customFormat="1" x14ac:dyDescent="0.3"/>
    <row r="705" s="87" customFormat="1" x14ac:dyDescent="0.3"/>
    <row r="706" s="87" customFormat="1" x14ac:dyDescent="0.3"/>
    <row r="707" s="87" customFormat="1" x14ac:dyDescent="0.3"/>
    <row r="708" s="87" customFormat="1" x14ac:dyDescent="0.3"/>
    <row r="709" s="87" customFormat="1" x14ac:dyDescent="0.3"/>
    <row r="710" s="87" customFormat="1" x14ac:dyDescent="0.3"/>
    <row r="711" s="87" customFormat="1" x14ac:dyDescent="0.3"/>
    <row r="712" s="87" customFormat="1" x14ac:dyDescent="0.3"/>
    <row r="713" s="87" customFormat="1" x14ac:dyDescent="0.3"/>
    <row r="714" s="87" customFormat="1" x14ac:dyDescent="0.3"/>
    <row r="715" s="87" customFormat="1" x14ac:dyDescent="0.3"/>
    <row r="716" s="87" customFormat="1" x14ac:dyDescent="0.3"/>
    <row r="717" s="87" customFormat="1" x14ac:dyDescent="0.3"/>
    <row r="718" s="87" customFormat="1" x14ac:dyDescent="0.3"/>
    <row r="719" s="87" customFormat="1" x14ac:dyDescent="0.3"/>
    <row r="720" s="87" customFormat="1" x14ac:dyDescent="0.3"/>
    <row r="721" s="87" customFormat="1" x14ac:dyDescent="0.3"/>
    <row r="722" s="87" customFormat="1" x14ac:dyDescent="0.3"/>
    <row r="723" s="87" customFormat="1" x14ac:dyDescent="0.3"/>
    <row r="724" s="87" customFormat="1" x14ac:dyDescent="0.3"/>
    <row r="725" s="87" customFormat="1" x14ac:dyDescent="0.3"/>
    <row r="726" s="87" customFormat="1" x14ac:dyDescent="0.3"/>
    <row r="727" s="87" customFormat="1" x14ac:dyDescent="0.3"/>
    <row r="728" s="87" customFormat="1" x14ac:dyDescent="0.3"/>
    <row r="729" s="87" customFormat="1" x14ac:dyDescent="0.3"/>
    <row r="730" s="87" customFormat="1" x14ac:dyDescent="0.3"/>
    <row r="731" s="87" customFormat="1" x14ac:dyDescent="0.3"/>
    <row r="732" s="87" customFormat="1" x14ac:dyDescent="0.3"/>
    <row r="733" s="87" customFormat="1" x14ac:dyDescent="0.3"/>
    <row r="734" s="87" customFormat="1" x14ac:dyDescent="0.3"/>
    <row r="735" s="87" customFormat="1" x14ac:dyDescent="0.3"/>
    <row r="736" s="87" customFormat="1" x14ac:dyDescent="0.3"/>
    <row r="737" s="87" customFormat="1" x14ac:dyDescent="0.3"/>
    <row r="738" s="87" customFormat="1" x14ac:dyDescent="0.3"/>
    <row r="739" s="87" customFormat="1" x14ac:dyDescent="0.3"/>
    <row r="740" s="87" customFormat="1" x14ac:dyDescent="0.3"/>
    <row r="741" s="87" customFormat="1" x14ac:dyDescent="0.3"/>
    <row r="742" s="87" customFormat="1" x14ac:dyDescent="0.3"/>
    <row r="743" s="87" customFormat="1" x14ac:dyDescent="0.3"/>
    <row r="744" s="87" customFormat="1" x14ac:dyDescent="0.3"/>
    <row r="745" s="87" customFormat="1" x14ac:dyDescent="0.3"/>
    <row r="746" s="87" customFormat="1" x14ac:dyDescent="0.3"/>
    <row r="747" s="87" customFormat="1" x14ac:dyDescent="0.3"/>
    <row r="748" s="87" customFormat="1" x14ac:dyDescent="0.3"/>
    <row r="749" s="87" customFormat="1" x14ac:dyDescent="0.3"/>
    <row r="750" s="87" customFormat="1" x14ac:dyDescent="0.3"/>
    <row r="751" s="87" customFormat="1" x14ac:dyDescent="0.3"/>
    <row r="752" s="87" customFormat="1" x14ac:dyDescent="0.3"/>
    <row r="753" s="87" customFormat="1" x14ac:dyDescent="0.3"/>
    <row r="754" s="87" customFormat="1" x14ac:dyDescent="0.3"/>
    <row r="755" s="87" customFormat="1" x14ac:dyDescent="0.3"/>
    <row r="756" s="87" customFormat="1" x14ac:dyDescent="0.3"/>
    <row r="757" s="87" customFormat="1" x14ac:dyDescent="0.3"/>
    <row r="758" s="87" customFormat="1" x14ac:dyDescent="0.3"/>
    <row r="759" s="87" customFormat="1" x14ac:dyDescent="0.3"/>
    <row r="760" s="87" customFormat="1" x14ac:dyDescent="0.3"/>
    <row r="761" s="87" customFormat="1" x14ac:dyDescent="0.3"/>
    <row r="762" s="87" customFormat="1" x14ac:dyDescent="0.3"/>
    <row r="763" s="87" customFormat="1" x14ac:dyDescent="0.3"/>
    <row r="764" s="87" customFormat="1" x14ac:dyDescent="0.3"/>
    <row r="765" s="87" customFormat="1" x14ac:dyDescent="0.3"/>
    <row r="766" s="87" customFormat="1" x14ac:dyDescent="0.3"/>
    <row r="767" s="87" customFormat="1" x14ac:dyDescent="0.3"/>
    <row r="768" s="87" customFormat="1" x14ac:dyDescent="0.3"/>
    <row r="769" s="87" customFormat="1" x14ac:dyDescent="0.3"/>
    <row r="770" s="87" customFormat="1" x14ac:dyDescent="0.3"/>
    <row r="771" s="87" customFormat="1" x14ac:dyDescent="0.3"/>
    <row r="772" s="87" customFormat="1" x14ac:dyDescent="0.3"/>
    <row r="773" s="87" customFormat="1" x14ac:dyDescent="0.3"/>
    <row r="774" s="87" customFormat="1" x14ac:dyDescent="0.3"/>
    <row r="775" s="87" customFormat="1" x14ac:dyDescent="0.3"/>
    <row r="776" s="87" customFormat="1" x14ac:dyDescent="0.3"/>
    <row r="777" s="87" customFormat="1" x14ac:dyDescent="0.3"/>
    <row r="778" s="87" customFormat="1" x14ac:dyDescent="0.3"/>
    <row r="779" s="87" customFormat="1" x14ac:dyDescent="0.3"/>
    <row r="780" s="87" customFormat="1" x14ac:dyDescent="0.3"/>
    <row r="781" s="87" customFormat="1" x14ac:dyDescent="0.3"/>
    <row r="782" s="87" customFormat="1" x14ac:dyDescent="0.3"/>
    <row r="783" s="87" customFormat="1" x14ac:dyDescent="0.3"/>
    <row r="784" s="87" customFormat="1" x14ac:dyDescent="0.3"/>
    <row r="785" s="87" customFormat="1" x14ac:dyDescent="0.3"/>
    <row r="786" s="87" customFormat="1" x14ac:dyDescent="0.3"/>
    <row r="787" s="87" customFormat="1" x14ac:dyDescent="0.3"/>
    <row r="788" s="87" customFormat="1" x14ac:dyDescent="0.3"/>
    <row r="789" s="87" customFormat="1" x14ac:dyDescent="0.3"/>
    <row r="790" s="87" customFormat="1" x14ac:dyDescent="0.3"/>
    <row r="791" s="87" customFormat="1" x14ac:dyDescent="0.3"/>
    <row r="792" s="87" customFormat="1" x14ac:dyDescent="0.3"/>
    <row r="793" s="87" customFormat="1" x14ac:dyDescent="0.3"/>
    <row r="794" s="87" customFormat="1" x14ac:dyDescent="0.3"/>
    <row r="795" s="87" customFormat="1" x14ac:dyDescent="0.3"/>
    <row r="796" s="87" customFormat="1" x14ac:dyDescent="0.3"/>
    <row r="797" s="87" customFormat="1" x14ac:dyDescent="0.3"/>
    <row r="798" s="87" customFormat="1" x14ac:dyDescent="0.3"/>
    <row r="799" s="87" customFormat="1" x14ac:dyDescent="0.3"/>
    <row r="800" s="87" customFormat="1" x14ac:dyDescent="0.3"/>
    <row r="801" s="87" customFormat="1" x14ac:dyDescent="0.3"/>
    <row r="802" s="87" customFormat="1" x14ac:dyDescent="0.3"/>
    <row r="803" s="87" customFormat="1" x14ac:dyDescent="0.3"/>
    <row r="804" s="87" customFormat="1" x14ac:dyDescent="0.3"/>
    <row r="805" s="87" customFormat="1" x14ac:dyDescent="0.3"/>
    <row r="806" s="87" customFormat="1" x14ac:dyDescent="0.3"/>
    <row r="807" s="87" customFormat="1" x14ac:dyDescent="0.3"/>
    <row r="808" s="87" customFormat="1" x14ac:dyDescent="0.3"/>
    <row r="809" s="87" customFormat="1" x14ac:dyDescent="0.3"/>
    <row r="810" s="87" customFormat="1" x14ac:dyDescent="0.3"/>
    <row r="811" s="87" customFormat="1" x14ac:dyDescent="0.3"/>
    <row r="812" s="87" customFormat="1" x14ac:dyDescent="0.3"/>
    <row r="813" s="87" customFormat="1" x14ac:dyDescent="0.3"/>
    <row r="814" s="87" customFormat="1" x14ac:dyDescent="0.3"/>
    <row r="815" s="87" customFormat="1" x14ac:dyDescent="0.3"/>
    <row r="816" s="87" customFormat="1" x14ac:dyDescent="0.3"/>
    <row r="817" s="87" customFormat="1" x14ac:dyDescent="0.3"/>
    <row r="818" s="87" customFormat="1" x14ac:dyDescent="0.3"/>
    <row r="819" s="87" customFormat="1" x14ac:dyDescent="0.3"/>
    <row r="820" s="87" customFormat="1" x14ac:dyDescent="0.3"/>
    <row r="821" s="87" customFormat="1" x14ac:dyDescent="0.3"/>
    <row r="822" s="87" customFormat="1" x14ac:dyDescent="0.3"/>
    <row r="823" s="87" customFormat="1" x14ac:dyDescent="0.3"/>
    <row r="824" s="87" customFormat="1" x14ac:dyDescent="0.3"/>
    <row r="825" s="87" customFormat="1" x14ac:dyDescent="0.3"/>
    <row r="826" s="87" customFormat="1" x14ac:dyDescent="0.3"/>
    <row r="827" s="87" customFormat="1" x14ac:dyDescent="0.3"/>
    <row r="828" s="87" customFormat="1" x14ac:dyDescent="0.3"/>
    <row r="829" s="87" customFormat="1" x14ac:dyDescent="0.3"/>
    <row r="830" s="87" customFormat="1" x14ac:dyDescent="0.3"/>
    <row r="831" s="87" customFormat="1" x14ac:dyDescent="0.3"/>
    <row r="832" s="87" customFormat="1" x14ac:dyDescent="0.3"/>
    <row r="833" s="87" customFormat="1" x14ac:dyDescent="0.3"/>
    <row r="834" s="87" customFormat="1" x14ac:dyDescent="0.3"/>
    <row r="835" s="87" customFormat="1" x14ac:dyDescent="0.3"/>
    <row r="836" s="87" customFormat="1" x14ac:dyDescent="0.3"/>
    <row r="837" s="87" customFormat="1" x14ac:dyDescent="0.3"/>
    <row r="838" s="87" customFormat="1" x14ac:dyDescent="0.3"/>
    <row r="839" s="87" customFormat="1" x14ac:dyDescent="0.3"/>
    <row r="840" s="87" customFormat="1" x14ac:dyDescent="0.3"/>
    <row r="841" s="87" customFormat="1" x14ac:dyDescent="0.3"/>
    <row r="842" s="87" customFormat="1" x14ac:dyDescent="0.3"/>
    <row r="843" s="87" customFormat="1" x14ac:dyDescent="0.3"/>
    <row r="844" s="87" customFormat="1" x14ac:dyDescent="0.3"/>
    <row r="845" s="87" customFormat="1" x14ac:dyDescent="0.3"/>
    <row r="846" s="87" customFormat="1" x14ac:dyDescent="0.3"/>
    <row r="847" s="87" customFormat="1" x14ac:dyDescent="0.3"/>
    <row r="848" s="87" customFormat="1" x14ac:dyDescent="0.3"/>
    <row r="849" s="87" customFormat="1" x14ac:dyDescent="0.3"/>
    <row r="850" s="87" customFormat="1" x14ac:dyDescent="0.3"/>
    <row r="851" s="87" customFormat="1" x14ac:dyDescent="0.3"/>
    <row r="852" s="87" customFormat="1" x14ac:dyDescent="0.3"/>
    <row r="853" s="87" customFormat="1" x14ac:dyDescent="0.3"/>
    <row r="854" s="87" customFormat="1" x14ac:dyDescent="0.3"/>
    <row r="855" s="87" customFormat="1" x14ac:dyDescent="0.3"/>
    <row r="856" s="87" customFormat="1" x14ac:dyDescent="0.3"/>
    <row r="857" s="87" customFormat="1" x14ac:dyDescent="0.3"/>
    <row r="858" s="87" customFormat="1" x14ac:dyDescent="0.3"/>
    <row r="859" s="87" customFormat="1" x14ac:dyDescent="0.3"/>
    <row r="860" s="87" customFormat="1" x14ac:dyDescent="0.3"/>
    <row r="861" s="87" customFormat="1" x14ac:dyDescent="0.3"/>
    <row r="862" s="87" customFormat="1" x14ac:dyDescent="0.3"/>
    <row r="863" s="87" customFormat="1" x14ac:dyDescent="0.3"/>
    <row r="864" s="87" customFormat="1" x14ac:dyDescent="0.3"/>
    <row r="865" s="87" customFormat="1" x14ac:dyDescent="0.3"/>
    <row r="866" s="87" customFormat="1" x14ac:dyDescent="0.3"/>
    <row r="867" s="87" customFormat="1" x14ac:dyDescent="0.3"/>
    <row r="868" s="87" customFormat="1" x14ac:dyDescent="0.3"/>
    <row r="869" s="87" customFormat="1" x14ac:dyDescent="0.3"/>
    <row r="870" s="87" customFormat="1" x14ac:dyDescent="0.3"/>
    <row r="871" s="87" customFormat="1" x14ac:dyDescent="0.3"/>
    <row r="872" s="87" customFormat="1" x14ac:dyDescent="0.3"/>
    <row r="873" s="87" customFormat="1" x14ac:dyDescent="0.3"/>
    <row r="874" s="87" customFormat="1" x14ac:dyDescent="0.3"/>
    <row r="875" s="87" customFormat="1" x14ac:dyDescent="0.3"/>
    <row r="876" s="87" customFormat="1" x14ac:dyDescent="0.3"/>
    <row r="877" s="87" customFormat="1" x14ac:dyDescent="0.3"/>
    <row r="878" s="87" customFormat="1" x14ac:dyDescent="0.3"/>
    <row r="879" s="87" customFormat="1" x14ac:dyDescent="0.3"/>
    <row r="880" s="87" customFormat="1" x14ac:dyDescent="0.3"/>
    <row r="881" s="87" customFormat="1" x14ac:dyDescent="0.3"/>
    <row r="882" s="87" customFormat="1" x14ac:dyDescent="0.3"/>
    <row r="883" s="87" customFormat="1" x14ac:dyDescent="0.3"/>
    <row r="884" s="87" customFormat="1" x14ac:dyDescent="0.3"/>
    <row r="885" s="87" customFormat="1" x14ac:dyDescent="0.3"/>
    <row r="886" s="87" customFormat="1" x14ac:dyDescent="0.3"/>
    <row r="887" s="87" customFormat="1" x14ac:dyDescent="0.3"/>
    <row r="888" s="87" customFormat="1" x14ac:dyDescent="0.3"/>
    <row r="889" s="87" customFormat="1" x14ac:dyDescent="0.3"/>
    <row r="890" s="87" customFormat="1" x14ac:dyDescent="0.3"/>
    <row r="891" s="87" customFormat="1" x14ac:dyDescent="0.3"/>
    <row r="892" s="87" customFormat="1" x14ac:dyDescent="0.3"/>
    <row r="893" s="87" customFormat="1" x14ac:dyDescent="0.3"/>
    <row r="894" s="87" customFormat="1" x14ac:dyDescent="0.3"/>
    <row r="895" s="87" customFormat="1" x14ac:dyDescent="0.3"/>
    <row r="896" s="87" customFormat="1" x14ac:dyDescent="0.3"/>
    <row r="897" s="87" customFormat="1" x14ac:dyDescent="0.3"/>
    <row r="898" s="87" customFormat="1" x14ac:dyDescent="0.3"/>
    <row r="899" s="87" customFormat="1" x14ac:dyDescent="0.3"/>
    <row r="900" s="87" customFormat="1" x14ac:dyDescent="0.3"/>
    <row r="901" s="87" customFormat="1" x14ac:dyDescent="0.3"/>
    <row r="902" s="87" customFormat="1" x14ac:dyDescent="0.3"/>
    <row r="903" s="87" customFormat="1" x14ac:dyDescent="0.3"/>
    <row r="904" s="87" customFormat="1" x14ac:dyDescent="0.3"/>
    <row r="905" s="87" customFormat="1" x14ac:dyDescent="0.3"/>
    <row r="906" s="87" customFormat="1" x14ac:dyDescent="0.3"/>
    <row r="907" s="87" customFormat="1" x14ac:dyDescent="0.3"/>
    <row r="908" s="87" customFormat="1" x14ac:dyDescent="0.3"/>
    <row r="909" s="87" customFormat="1" x14ac:dyDescent="0.3"/>
    <row r="910" s="87" customFormat="1" x14ac:dyDescent="0.3"/>
    <row r="911" s="87" customFormat="1" x14ac:dyDescent="0.3"/>
    <row r="912" s="87" customFormat="1" x14ac:dyDescent="0.3"/>
    <row r="913" s="87" customFormat="1" x14ac:dyDescent="0.3"/>
    <row r="914" s="87" customFormat="1" x14ac:dyDescent="0.3"/>
    <row r="915" s="87" customFormat="1" x14ac:dyDescent="0.3"/>
    <row r="916" s="87" customFormat="1" x14ac:dyDescent="0.3"/>
    <row r="917" s="87" customFormat="1" x14ac:dyDescent="0.3"/>
    <row r="918" s="87" customFormat="1" x14ac:dyDescent="0.3"/>
    <row r="919" s="87" customFormat="1" x14ac:dyDescent="0.3"/>
    <row r="920" s="87" customFormat="1" x14ac:dyDescent="0.3"/>
    <row r="921" s="87" customFormat="1" x14ac:dyDescent="0.3"/>
    <row r="922" s="87" customFormat="1" x14ac:dyDescent="0.3"/>
    <row r="923" s="87" customFormat="1" x14ac:dyDescent="0.3"/>
    <row r="924" s="87" customFormat="1" x14ac:dyDescent="0.3"/>
    <row r="925" s="87" customFormat="1" x14ac:dyDescent="0.3"/>
    <row r="926" s="87" customFormat="1" x14ac:dyDescent="0.3"/>
    <row r="927" s="87" customFormat="1" x14ac:dyDescent="0.3"/>
    <row r="928" s="87" customFormat="1" x14ac:dyDescent="0.3"/>
    <row r="929" s="87" customFormat="1" x14ac:dyDescent="0.3"/>
    <row r="930" s="87" customFormat="1" x14ac:dyDescent="0.3"/>
    <row r="931" s="87" customFormat="1" x14ac:dyDescent="0.3"/>
    <row r="932" s="87" customFormat="1" x14ac:dyDescent="0.3"/>
    <row r="933" s="87" customFormat="1" x14ac:dyDescent="0.3"/>
    <row r="934" s="87" customFormat="1" x14ac:dyDescent="0.3"/>
    <row r="935" s="87" customFormat="1" x14ac:dyDescent="0.3"/>
    <row r="936" s="87" customFormat="1" x14ac:dyDescent="0.3"/>
    <row r="937" s="87" customFormat="1" x14ac:dyDescent="0.3"/>
    <row r="938" s="87" customFormat="1" x14ac:dyDescent="0.3"/>
    <row r="939" s="87" customFormat="1" x14ac:dyDescent="0.3"/>
    <row r="940" s="87" customFormat="1" x14ac:dyDescent="0.3"/>
    <row r="941" s="87" customFormat="1" x14ac:dyDescent="0.3"/>
    <row r="942" s="87" customFormat="1" x14ac:dyDescent="0.3"/>
    <row r="943" s="87" customFormat="1" x14ac:dyDescent="0.3"/>
    <row r="944" s="87" customFormat="1" x14ac:dyDescent="0.3"/>
    <row r="945" s="87" customFormat="1" x14ac:dyDescent="0.3"/>
    <row r="946" s="87" customFormat="1" x14ac:dyDescent="0.3"/>
    <row r="947" s="87" customFormat="1" x14ac:dyDescent="0.3"/>
    <row r="948" s="87" customFormat="1" x14ac:dyDescent="0.3"/>
    <row r="949" s="87" customFormat="1" x14ac:dyDescent="0.3"/>
    <row r="950" s="87" customFormat="1" x14ac:dyDescent="0.3"/>
    <row r="951" s="87" customFormat="1" x14ac:dyDescent="0.3"/>
    <row r="952" s="87" customFormat="1" x14ac:dyDescent="0.3"/>
    <row r="953" s="87" customFormat="1" x14ac:dyDescent="0.3"/>
    <row r="954" s="87" customFormat="1" x14ac:dyDescent="0.3"/>
    <row r="955" s="87" customFormat="1" x14ac:dyDescent="0.3"/>
    <row r="956" s="87" customFormat="1" x14ac:dyDescent="0.3"/>
    <row r="957" s="87" customFormat="1" x14ac:dyDescent="0.3"/>
    <row r="958" s="87" customFormat="1" x14ac:dyDescent="0.3"/>
    <row r="959" s="87" customFormat="1" x14ac:dyDescent="0.3"/>
    <row r="960" s="87" customFormat="1" x14ac:dyDescent="0.3"/>
    <row r="961" s="87" customFormat="1" x14ac:dyDescent="0.3"/>
    <row r="962" s="87" customFormat="1" x14ac:dyDescent="0.3"/>
    <row r="963" s="87" customFormat="1" x14ac:dyDescent="0.3"/>
    <row r="964" s="87" customFormat="1" x14ac:dyDescent="0.3"/>
    <row r="965" s="87" customFormat="1" x14ac:dyDescent="0.3"/>
    <row r="966" s="87" customFormat="1" x14ac:dyDescent="0.3"/>
    <row r="967" s="87" customFormat="1" x14ac:dyDescent="0.3"/>
    <row r="968" s="87" customFormat="1" x14ac:dyDescent="0.3"/>
    <row r="969" s="87" customFormat="1" x14ac:dyDescent="0.3"/>
    <row r="970" s="87" customFormat="1" x14ac:dyDescent="0.3"/>
    <row r="971" s="87" customFormat="1" x14ac:dyDescent="0.3"/>
    <row r="972" s="87" customFormat="1" x14ac:dyDescent="0.3"/>
    <row r="973" s="87" customFormat="1" x14ac:dyDescent="0.3"/>
    <row r="974" s="87" customFormat="1" x14ac:dyDescent="0.3"/>
    <row r="975" s="87" customFormat="1" x14ac:dyDescent="0.3"/>
    <row r="976" s="87" customFormat="1" x14ac:dyDescent="0.3"/>
    <row r="977" s="87" customFormat="1" x14ac:dyDescent="0.3"/>
    <row r="978" s="87" customFormat="1" x14ac:dyDescent="0.3"/>
    <row r="979" s="87" customFormat="1" x14ac:dyDescent="0.3"/>
    <row r="980" s="87" customFormat="1" x14ac:dyDescent="0.3"/>
    <row r="981" s="87" customFormat="1" x14ac:dyDescent="0.3"/>
    <row r="982" s="87" customFormat="1" x14ac:dyDescent="0.3"/>
    <row r="983" s="87" customFormat="1" x14ac:dyDescent="0.3"/>
    <row r="984" s="87" customFormat="1" x14ac:dyDescent="0.3"/>
    <row r="985" s="87" customFormat="1" x14ac:dyDescent="0.3"/>
    <row r="986" s="87" customFormat="1" x14ac:dyDescent="0.3"/>
    <row r="987" s="87" customFormat="1" x14ac:dyDescent="0.3"/>
    <row r="988" s="87" customFormat="1" x14ac:dyDescent="0.3"/>
    <row r="989" s="87" customFormat="1" x14ac:dyDescent="0.3"/>
    <row r="990" s="87" customFormat="1" x14ac:dyDescent="0.3"/>
    <row r="991" s="87" customFormat="1" x14ac:dyDescent="0.3"/>
    <row r="992" s="87" customFormat="1" x14ac:dyDescent="0.3"/>
    <row r="993" s="87" customFormat="1" x14ac:dyDescent="0.3"/>
    <row r="994" s="87" customFormat="1" x14ac:dyDescent="0.3"/>
    <row r="995" s="87" customFormat="1" x14ac:dyDescent="0.3"/>
    <row r="996" s="87" customFormat="1" x14ac:dyDescent="0.3"/>
    <row r="997" s="87" customFormat="1" x14ac:dyDescent="0.3"/>
    <row r="998" s="87" customFormat="1" x14ac:dyDescent="0.3"/>
    <row r="999" s="87" customFormat="1" x14ac:dyDescent="0.3"/>
    <row r="1000" s="87" customFormat="1" x14ac:dyDescent="0.3"/>
    <row r="1001" s="87" customFormat="1" x14ac:dyDescent="0.3"/>
    <row r="1002" s="87" customFormat="1" x14ac:dyDescent="0.3"/>
    <row r="1003" s="87" customFormat="1" x14ac:dyDescent="0.3"/>
    <row r="1004" s="87" customFormat="1" x14ac:dyDescent="0.3"/>
    <row r="1005" s="87" customFormat="1" x14ac:dyDescent="0.3"/>
    <row r="1006" s="87" customFormat="1" x14ac:dyDescent="0.3"/>
    <row r="1007" s="87" customFormat="1" x14ac:dyDescent="0.3"/>
    <row r="1008" s="87" customFormat="1" x14ac:dyDescent="0.3"/>
    <row r="1009" s="87" customFormat="1" x14ac:dyDescent="0.3"/>
    <row r="1010" s="87" customFormat="1" x14ac:dyDescent="0.3"/>
    <row r="1011" s="87" customFormat="1" x14ac:dyDescent="0.3"/>
    <row r="1012" s="87" customFormat="1" x14ac:dyDescent="0.3"/>
    <row r="1013" s="87" customFormat="1" x14ac:dyDescent="0.3"/>
    <row r="1014" s="87" customFormat="1" x14ac:dyDescent="0.3"/>
    <row r="1015" s="87" customFormat="1" x14ac:dyDescent="0.3"/>
    <row r="1016" s="87" customFormat="1" x14ac:dyDescent="0.3"/>
    <row r="1017" s="87" customFormat="1" x14ac:dyDescent="0.3"/>
    <row r="1018" s="87" customFormat="1" x14ac:dyDescent="0.3"/>
    <row r="1019" s="87" customFormat="1" x14ac:dyDescent="0.3"/>
    <row r="1020" s="87" customFormat="1" x14ac:dyDescent="0.3"/>
    <row r="1021" s="87" customFormat="1" x14ac:dyDescent="0.3"/>
    <row r="1022" s="87" customFormat="1" x14ac:dyDescent="0.3"/>
    <row r="1023" s="87" customFormat="1" x14ac:dyDescent="0.3"/>
    <row r="1024" s="87" customFormat="1" x14ac:dyDescent="0.3"/>
    <row r="1025" s="87" customFormat="1" x14ac:dyDescent="0.3"/>
    <row r="1026" s="87" customFormat="1" x14ac:dyDescent="0.3"/>
    <row r="1027" s="87" customFormat="1" x14ac:dyDescent="0.3"/>
    <row r="1028" s="87" customFormat="1" x14ac:dyDescent="0.3"/>
    <row r="1029" s="87" customFormat="1" x14ac:dyDescent="0.3"/>
    <row r="1030" s="87" customFormat="1" x14ac:dyDescent="0.3"/>
    <row r="1031" s="87" customFormat="1" x14ac:dyDescent="0.3"/>
    <row r="1032" s="87" customFormat="1" x14ac:dyDescent="0.3"/>
    <row r="1033" s="87" customFormat="1" x14ac:dyDescent="0.3"/>
    <row r="1034" s="87" customFormat="1" x14ac:dyDescent="0.3"/>
    <row r="1035" s="87" customFormat="1" x14ac:dyDescent="0.3"/>
    <row r="1036" s="87" customFormat="1" x14ac:dyDescent="0.3"/>
    <row r="1037" s="87" customFormat="1" x14ac:dyDescent="0.3"/>
    <row r="1038" s="87" customFormat="1" x14ac:dyDescent="0.3"/>
    <row r="1039" s="87" customFormat="1" x14ac:dyDescent="0.3"/>
    <row r="1040" s="87" customFormat="1" x14ac:dyDescent="0.3"/>
    <row r="1041" s="87" customFormat="1" x14ac:dyDescent="0.3"/>
    <row r="1042" s="87" customFormat="1" x14ac:dyDescent="0.3"/>
    <row r="1043" s="87" customFormat="1" x14ac:dyDescent="0.3"/>
    <row r="1044" s="87" customFormat="1" x14ac:dyDescent="0.3"/>
    <row r="1045" s="87" customFormat="1" x14ac:dyDescent="0.3"/>
    <row r="1046" s="87" customFormat="1" x14ac:dyDescent="0.3"/>
    <row r="1047" s="87" customFormat="1" x14ac:dyDescent="0.3"/>
    <row r="1048" s="87" customFormat="1" x14ac:dyDescent="0.3"/>
    <row r="1049" s="87" customFormat="1" x14ac:dyDescent="0.3"/>
    <row r="1050" s="87" customFormat="1" x14ac:dyDescent="0.3"/>
    <row r="1051" s="87" customFormat="1" x14ac:dyDescent="0.3"/>
    <row r="1052" s="87" customFormat="1" x14ac:dyDescent="0.3"/>
    <row r="1053" s="87" customFormat="1" x14ac:dyDescent="0.3"/>
    <row r="1054" s="87" customFormat="1" x14ac:dyDescent="0.3"/>
    <row r="1055" s="87" customFormat="1" x14ac:dyDescent="0.3"/>
    <row r="1056" s="87" customFormat="1" x14ac:dyDescent="0.3"/>
    <row r="1057" s="87" customFormat="1" x14ac:dyDescent="0.3"/>
    <row r="1058" s="87" customFormat="1" x14ac:dyDescent="0.3"/>
    <row r="1059" s="87" customFormat="1" x14ac:dyDescent="0.3"/>
    <row r="1060" s="87" customFormat="1" x14ac:dyDescent="0.3"/>
    <row r="1061" s="87" customFormat="1" x14ac:dyDescent="0.3"/>
    <row r="1062" s="87" customFormat="1" x14ac:dyDescent="0.3"/>
    <row r="1063" s="87" customFormat="1" x14ac:dyDescent="0.3"/>
    <row r="1064" s="87" customFormat="1" x14ac:dyDescent="0.3"/>
    <row r="1065" s="87" customFormat="1" x14ac:dyDescent="0.3"/>
    <row r="1066" s="87" customFormat="1" x14ac:dyDescent="0.3"/>
    <row r="1067" s="87" customFormat="1" x14ac:dyDescent="0.3"/>
    <row r="1068" s="87" customFormat="1" x14ac:dyDescent="0.3"/>
    <row r="1069" s="87" customFormat="1" x14ac:dyDescent="0.3"/>
    <row r="1070" s="87" customFormat="1" x14ac:dyDescent="0.3"/>
    <row r="1071" s="87" customFormat="1" x14ac:dyDescent="0.3"/>
    <row r="1072" s="87" customFormat="1" x14ac:dyDescent="0.3"/>
    <row r="1073" s="87" customFormat="1" x14ac:dyDescent="0.3"/>
    <row r="1074" s="87" customFormat="1" x14ac:dyDescent="0.3"/>
    <row r="1075" s="87" customFormat="1" x14ac:dyDescent="0.3"/>
    <row r="1076" s="87" customFormat="1" x14ac:dyDescent="0.3"/>
    <row r="1077" s="87" customFormat="1" x14ac:dyDescent="0.3"/>
    <row r="1078" s="87" customFormat="1" x14ac:dyDescent="0.3"/>
    <row r="1079" s="87" customFormat="1" x14ac:dyDescent="0.3"/>
    <row r="1080" s="87" customFormat="1" x14ac:dyDescent="0.3"/>
    <row r="1081" s="87" customFormat="1" x14ac:dyDescent="0.3"/>
    <row r="1082" s="87" customFormat="1" x14ac:dyDescent="0.3"/>
    <row r="1083" s="87" customFormat="1" x14ac:dyDescent="0.3"/>
    <row r="1084" s="87" customFormat="1" x14ac:dyDescent="0.3"/>
    <row r="1085" s="87" customFormat="1" x14ac:dyDescent="0.3"/>
    <row r="1086" s="87" customFormat="1" x14ac:dyDescent="0.3"/>
    <row r="1087" s="87" customFormat="1" x14ac:dyDescent="0.3"/>
    <row r="1088" s="87" customFormat="1" x14ac:dyDescent="0.3"/>
    <row r="1089" s="87" customFormat="1" x14ac:dyDescent="0.3"/>
    <row r="1090" s="87" customFormat="1" x14ac:dyDescent="0.3"/>
    <row r="1091" s="87" customFormat="1" x14ac:dyDescent="0.3"/>
    <row r="1092" s="87" customFormat="1" x14ac:dyDescent="0.3"/>
    <row r="1093" s="87" customFormat="1" x14ac:dyDescent="0.3"/>
    <row r="1094" s="87" customFormat="1" x14ac:dyDescent="0.3"/>
    <row r="1095" s="87" customFormat="1" x14ac:dyDescent="0.3"/>
    <row r="1096" s="87" customFormat="1" x14ac:dyDescent="0.3"/>
    <row r="1097" s="87" customFormat="1" x14ac:dyDescent="0.3"/>
    <row r="1098" s="87" customFormat="1" x14ac:dyDescent="0.3"/>
    <row r="1099" s="87" customFormat="1" x14ac:dyDescent="0.3"/>
    <row r="1100" s="87" customFormat="1" x14ac:dyDescent="0.3"/>
    <row r="1101" s="87" customFormat="1" x14ac:dyDescent="0.3"/>
    <row r="1102" s="87" customFormat="1" x14ac:dyDescent="0.3"/>
    <row r="1103" s="87" customFormat="1" x14ac:dyDescent="0.3"/>
    <row r="1104" s="87" customFormat="1" x14ac:dyDescent="0.3"/>
    <row r="1105" s="87" customFormat="1" x14ac:dyDescent="0.3"/>
    <row r="1106" s="87" customFormat="1" x14ac:dyDescent="0.3"/>
    <row r="1107" s="87" customFormat="1" x14ac:dyDescent="0.3"/>
    <row r="1108" s="87" customFormat="1" x14ac:dyDescent="0.3"/>
    <row r="1109" s="87" customFormat="1" x14ac:dyDescent="0.3"/>
    <row r="1110" s="87" customFormat="1" x14ac:dyDescent="0.3"/>
    <row r="1111" s="87" customFormat="1" x14ac:dyDescent="0.3"/>
    <row r="1112" s="87" customFormat="1" x14ac:dyDescent="0.3"/>
    <row r="1113" s="87" customFormat="1" x14ac:dyDescent="0.3"/>
    <row r="1114" s="87" customFormat="1" x14ac:dyDescent="0.3"/>
    <row r="1115" s="87" customFormat="1" x14ac:dyDescent="0.3"/>
    <row r="1116" s="87" customFormat="1" x14ac:dyDescent="0.3"/>
    <row r="1117" s="87" customFormat="1" x14ac:dyDescent="0.3"/>
    <row r="1118" s="87" customFormat="1" x14ac:dyDescent="0.3"/>
    <row r="1119" s="87" customFormat="1" x14ac:dyDescent="0.3"/>
    <row r="1120" s="87" customFormat="1" x14ac:dyDescent="0.3"/>
    <row r="1121" s="87" customFormat="1" x14ac:dyDescent="0.3"/>
    <row r="1122" s="87" customFormat="1" x14ac:dyDescent="0.3"/>
    <row r="1123" s="87" customFormat="1" x14ac:dyDescent="0.3"/>
    <row r="1124" s="87" customFormat="1" x14ac:dyDescent="0.3"/>
    <row r="1125" s="87" customFormat="1" x14ac:dyDescent="0.3"/>
    <row r="1126" s="87" customFormat="1" x14ac:dyDescent="0.3"/>
    <row r="1127" s="87" customFormat="1" x14ac:dyDescent="0.3"/>
    <row r="1128" s="87" customFormat="1" x14ac:dyDescent="0.3"/>
    <row r="1129" s="87" customFormat="1" x14ac:dyDescent="0.3"/>
    <row r="1130" s="87" customFormat="1" x14ac:dyDescent="0.3"/>
    <row r="1131" s="87" customFormat="1" x14ac:dyDescent="0.3"/>
    <row r="1132" s="87" customFormat="1" x14ac:dyDescent="0.3"/>
    <row r="1133" s="87" customFormat="1" x14ac:dyDescent="0.3"/>
    <row r="1134" s="87" customFormat="1" x14ac:dyDescent="0.3"/>
    <row r="1135" s="87" customFormat="1" x14ac:dyDescent="0.3"/>
    <row r="1136" s="87" customFormat="1" x14ac:dyDescent="0.3"/>
    <row r="1137" s="87" customFormat="1" x14ac:dyDescent="0.3"/>
    <row r="1138" s="87" customFormat="1" x14ac:dyDescent="0.3"/>
    <row r="1139" s="87" customFormat="1" x14ac:dyDescent="0.3"/>
    <row r="1140" s="87" customFormat="1" x14ac:dyDescent="0.3"/>
    <row r="1141" s="87" customFormat="1" x14ac:dyDescent="0.3"/>
    <row r="1142" s="87" customFormat="1" x14ac:dyDescent="0.3"/>
    <row r="1143" s="87" customFormat="1" x14ac:dyDescent="0.3"/>
    <row r="1144" s="87" customFormat="1" x14ac:dyDescent="0.3"/>
    <row r="1145" s="87" customFormat="1" x14ac:dyDescent="0.3"/>
    <row r="1146" s="87" customFormat="1" x14ac:dyDescent="0.3"/>
    <row r="1147" s="87" customFormat="1" x14ac:dyDescent="0.3"/>
    <row r="1148" s="87" customFormat="1" x14ac:dyDescent="0.3"/>
    <row r="1149" s="87" customFormat="1" x14ac:dyDescent="0.3"/>
    <row r="1150" s="87" customFormat="1" x14ac:dyDescent="0.3"/>
    <row r="1151" s="87" customFormat="1" x14ac:dyDescent="0.3"/>
    <row r="1152" s="87" customFormat="1" x14ac:dyDescent="0.3"/>
    <row r="1153" s="87" customFormat="1" x14ac:dyDescent="0.3"/>
    <row r="1154" s="87" customFormat="1" x14ac:dyDescent="0.3"/>
    <row r="1155" s="87" customFormat="1" x14ac:dyDescent="0.3"/>
    <row r="1156" s="87" customFormat="1" x14ac:dyDescent="0.3"/>
    <row r="1157" s="87" customFormat="1" x14ac:dyDescent="0.3"/>
    <row r="1158" s="87" customFormat="1" x14ac:dyDescent="0.3"/>
    <row r="1159" s="87" customFormat="1" x14ac:dyDescent="0.3"/>
    <row r="1160" s="87" customFormat="1" x14ac:dyDescent="0.3"/>
    <row r="1161" s="87" customFormat="1" x14ac:dyDescent="0.3"/>
    <row r="1162" s="87" customFormat="1" x14ac:dyDescent="0.3"/>
    <row r="1163" s="87" customFormat="1" x14ac:dyDescent="0.3"/>
    <row r="1164" s="87" customFormat="1" x14ac:dyDescent="0.3"/>
    <row r="1165" s="87" customFormat="1" x14ac:dyDescent="0.3"/>
    <row r="1166" s="87" customFormat="1" x14ac:dyDescent="0.3"/>
    <row r="1167" s="87" customFormat="1" x14ac:dyDescent="0.3"/>
    <row r="1168" s="87" customFormat="1" x14ac:dyDescent="0.3"/>
    <row r="1169" s="87" customFormat="1" x14ac:dyDescent="0.3"/>
    <row r="1170" s="87" customFormat="1" x14ac:dyDescent="0.3"/>
    <row r="1171" s="87" customFormat="1" x14ac:dyDescent="0.3"/>
    <row r="1172" s="87" customFormat="1" x14ac:dyDescent="0.3"/>
    <row r="1173" s="87" customFormat="1" x14ac:dyDescent="0.3"/>
    <row r="1174" s="87" customFormat="1" x14ac:dyDescent="0.3"/>
    <row r="1175" s="87" customFormat="1" x14ac:dyDescent="0.3"/>
    <row r="1176" s="87" customFormat="1" x14ac:dyDescent="0.3"/>
    <row r="1177" s="87" customFormat="1" x14ac:dyDescent="0.3"/>
    <row r="1178" s="87" customFormat="1" x14ac:dyDescent="0.3"/>
    <row r="1179" s="87" customFormat="1" x14ac:dyDescent="0.3"/>
    <row r="1180" s="87" customFormat="1" x14ac:dyDescent="0.3"/>
    <row r="1181" s="87" customFormat="1" x14ac:dyDescent="0.3"/>
    <row r="1182" s="87" customFormat="1" x14ac:dyDescent="0.3"/>
    <row r="1183" s="87" customFormat="1" x14ac:dyDescent="0.3"/>
    <row r="1184" s="87" customFormat="1" x14ac:dyDescent="0.3"/>
    <row r="1185" s="87" customFormat="1" x14ac:dyDescent="0.3"/>
    <row r="1186" s="87" customFormat="1" x14ac:dyDescent="0.3"/>
    <row r="1187" s="87" customFormat="1" x14ac:dyDescent="0.3"/>
    <row r="1188" s="87" customFormat="1" x14ac:dyDescent="0.3"/>
    <row r="1189" s="87" customFormat="1" x14ac:dyDescent="0.3"/>
    <row r="1190" s="87" customFormat="1" x14ac:dyDescent="0.3"/>
    <row r="1191" s="87" customFormat="1" x14ac:dyDescent="0.3"/>
    <row r="1192" s="87" customFormat="1" x14ac:dyDescent="0.3"/>
    <row r="1193" s="87" customFormat="1" x14ac:dyDescent="0.3"/>
    <row r="1194" s="87" customFormat="1" x14ac:dyDescent="0.3"/>
    <row r="1195" s="87" customFormat="1" x14ac:dyDescent="0.3"/>
    <row r="1196" s="87" customFormat="1" x14ac:dyDescent="0.3"/>
    <row r="1197" s="87" customFormat="1" x14ac:dyDescent="0.3"/>
    <row r="1198" s="87" customFormat="1" x14ac:dyDescent="0.3"/>
    <row r="1199" s="87" customFormat="1" x14ac:dyDescent="0.3"/>
    <row r="1200" s="87" customFormat="1" x14ac:dyDescent="0.3"/>
    <row r="1201" s="87" customFormat="1" x14ac:dyDescent="0.3"/>
    <row r="1202" s="87" customFormat="1" x14ac:dyDescent="0.3"/>
    <row r="1203" s="87" customFormat="1" x14ac:dyDescent="0.3"/>
    <row r="1204" s="87" customFormat="1" x14ac:dyDescent="0.3"/>
    <row r="1205" s="87" customFormat="1" x14ac:dyDescent="0.3"/>
    <row r="1206" s="87" customFormat="1" x14ac:dyDescent="0.3"/>
    <row r="1207" s="87" customFormat="1" x14ac:dyDescent="0.3"/>
    <row r="1208" s="87" customFormat="1" x14ac:dyDescent="0.3"/>
    <row r="1209" s="87" customFormat="1" x14ac:dyDescent="0.3"/>
    <row r="1210" s="87" customFormat="1" x14ac:dyDescent="0.3"/>
    <row r="1211" s="87" customFormat="1" x14ac:dyDescent="0.3"/>
    <row r="1212" s="87" customFormat="1" x14ac:dyDescent="0.3"/>
    <row r="1213" s="87" customFormat="1" x14ac:dyDescent="0.3"/>
    <row r="1214" s="87" customFormat="1" x14ac:dyDescent="0.3"/>
    <row r="1215" s="87" customFormat="1" x14ac:dyDescent="0.3"/>
    <row r="1216" s="87" customFormat="1" x14ac:dyDescent="0.3"/>
    <row r="1217" s="87" customFormat="1" x14ac:dyDescent="0.3"/>
    <row r="1218" s="87" customFormat="1" x14ac:dyDescent="0.3"/>
    <row r="1219" s="87" customFormat="1" x14ac:dyDescent="0.3"/>
    <row r="1220" s="87" customFormat="1" x14ac:dyDescent="0.3"/>
    <row r="1221" s="87" customFormat="1" x14ac:dyDescent="0.3"/>
    <row r="1222" s="87" customFormat="1" x14ac:dyDescent="0.3"/>
    <row r="1223" s="87" customFormat="1" x14ac:dyDescent="0.3"/>
    <row r="1224" s="87" customFormat="1" x14ac:dyDescent="0.3"/>
    <row r="1225" s="87" customFormat="1" x14ac:dyDescent="0.3"/>
    <row r="1226" s="87" customFormat="1" x14ac:dyDescent="0.3"/>
    <row r="1227" s="87" customFormat="1" x14ac:dyDescent="0.3"/>
    <row r="1228" s="87" customFormat="1" x14ac:dyDescent="0.3"/>
    <row r="1229" s="87" customFormat="1" x14ac:dyDescent="0.3"/>
    <row r="1230" s="87" customFormat="1" x14ac:dyDescent="0.3"/>
    <row r="1231" s="87" customFormat="1" x14ac:dyDescent="0.3"/>
    <row r="1232" s="87" customFormat="1" x14ac:dyDescent="0.3"/>
    <row r="1233" s="87" customFormat="1" x14ac:dyDescent="0.3"/>
    <row r="1234" s="87" customFormat="1" x14ac:dyDescent="0.3"/>
    <row r="1235" s="87" customFormat="1" x14ac:dyDescent="0.3"/>
    <row r="1236" s="87" customFormat="1" x14ac:dyDescent="0.3"/>
    <row r="1237" s="87" customFormat="1" x14ac:dyDescent="0.3"/>
    <row r="1238" s="87" customFormat="1" x14ac:dyDescent="0.3"/>
    <row r="1239" s="87" customFormat="1" x14ac:dyDescent="0.3"/>
    <row r="1240" s="87" customFormat="1" x14ac:dyDescent="0.3"/>
    <row r="1241" s="87" customFormat="1" x14ac:dyDescent="0.3"/>
    <row r="1242" s="87" customFormat="1" x14ac:dyDescent="0.3"/>
    <row r="1243" s="87" customFormat="1" x14ac:dyDescent="0.3"/>
    <row r="1244" s="87" customFormat="1" x14ac:dyDescent="0.3"/>
    <row r="1245" s="87" customFormat="1" x14ac:dyDescent="0.3"/>
    <row r="1246" s="87" customFormat="1" x14ac:dyDescent="0.3"/>
    <row r="1247" s="87" customFormat="1" x14ac:dyDescent="0.3"/>
    <row r="1248" s="87" customFormat="1" x14ac:dyDescent="0.3"/>
    <row r="1249" s="87" customFormat="1" x14ac:dyDescent="0.3"/>
    <row r="1250" s="87" customFormat="1" x14ac:dyDescent="0.3"/>
    <row r="1251" s="87" customFormat="1" x14ac:dyDescent="0.3"/>
    <row r="1252" s="87" customFormat="1" x14ac:dyDescent="0.3"/>
    <row r="1253" s="87" customFormat="1" x14ac:dyDescent="0.3"/>
    <row r="1254" s="87" customFormat="1" x14ac:dyDescent="0.3"/>
    <row r="1255" s="87" customFormat="1" x14ac:dyDescent="0.3"/>
    <row r="1256" s="87" customFormat="1" x14ac:dyDescent="0.3"/>
    <row r="1257" s="87" customFormat="1" x14ac:dyDescent="0.3"/>
    <row r="1258" s="87" customFormat="1" x14ac:dyDescent="0.3"/>
    <row r="1259" s="87" customFormat="1" x14ac:dyDescent="0.3"/>
    <row r="1260" s="87" customFormat="1" x14ac:dyDescent="0.3"/>
    <row r="1261" s="87" customFormat="1" x14ac:dyDescent="0.3"/>
    <row r="1262" s="87" customFormat="1" x14ac:dyDescent="0.3"/>
    <row r="1263" s="87" customFormat="1" x14ac:dyDescent="0.3"/>
    <row r="1264" s="87" customFormat="1" x14ac:dyDescent="0.3"/>
    <row r="1265" s="87" customFormat="1" x14ac:dyDescent="0.3"/>
    <row r="1266" s="87" customFormat="1" x14ac:dyDescent="0.3"/>
    <row r="1267" s="87" customFormat="1" x14ac:dyDescent="0.3"/>
    <row r="1268" s="87" customFormat="1" x14ac:dyDescent="0.3"/>
    <row r="1269" s="87" customFormat="1" x14ac:dyDescent="0.3"/>
    <row r="1270" s="87" customFormat="1" x14ac:dyDescent="0.3"/>
    <row r="1271" s="87" customFormat="1" x14ac:dyDescent="0.3"/>
    <row r="1272" s="87" customFormat="1" x14ac:dyDescent="0.3"/>
    <row r="1273" s="87" customFormat="1" x14ac:dyDescent="0.3"/>
    <row r="1274" s="87" customFormat="1" x14ac:dyDescent="0.3"/>
    <row r="1275" s="87" customFormat="1" x14ac:dyDescent="0.3"/>
    <row r="1276" s="87" customFormat="1" x14ac:dyDescent="0.3"/>
    <row r="1277" s="87" customFormat="1" x14ac:dyDescent="0.3"/>
    <row r="1278" s="87" customFormat="1" x14ac:dyDescent="0.3"/>
    <row r="1279" s="87" customFormat="1" x14ac:dyDescent="0.3"/>
    <row r="1280" s="87" customFormat="1" x14ac:dyDescent="0.3"/>
    <row r="1281" s="87" customFormat="1" x14ac:dyDescent="0.3"/>
    <row r="1282" s="87" customFormat="1" x14ac:dyDescent="0.3"/>
    <row r="1283" s="87" customFormat="1" x14ac:dyDescent="0.3"/>
    <row r="1284" s="87" customFormat="1" x14ac:dyDescent="0.3"/>
    <row r="1285" s="87" customFormat="1" x14ac:dyDescent="0.3"/>
    <row r="1286" s="87" customFormat="1" x14ac:dyDescent="0.3"/>
    <row r="1287" s="87" customFormat="1" x14ac:dyDescent="0.3"/>
    <row r="1288" s="87" customFormat="1" x14ac:dyDescent="0.3"/>
    <row r="1289" s="87" customFormat="1" x14ac:dyDescent="0.3"/>
    <row r="1290" s="87" customFormat="1" x14ac:dyDescent="0.3"/>
    <row r="1291" s="87" customFormat="1" x14ac:dyDescent="0.3"/>
    <row r="1292" s="87" customFormat="1" x14ac:dyDescent="0.3"/>
    <row r="1293" s="87" customFormat="1" x14ac:dyDescent="0.3"/>
    <row r="1294" s="87" customFormat="1" x14ac:dyDescent="0.3"/>
    <row r="1295" s="87" customFormat="1" x14ac:dyDescent="0.3"/>
    <row r="1296" s="87" customFormat="1" x14ac:dyDescent="0.3"/>
    <row r="1297" s="87" customFormat="1" x14ac:dyDescent="0.3"/>
    <row r="1298" s="87" customFormat="1" x14ac:dyDescent="0.3"/>
    <row r="1299" s="87" customFormat="1" x14ac:dyDescent="0.3"/>
    <row r="1300" s="87" customFormat="1" x14ac:dyDescent="0.3"/>
    <row r="1301" s="87" customFormat="1" x14ac:dyDescent="0.3"/>
    <row r="1302" s="87" customFormat="1" x14ac:dyDescent="0.3"/>
    <row r="1303" s="87" customFormat="1" x14ac:dyDescent="0.3"/>
    <row r="1304" s="87" customFormat="1" x14ac:dyDescent="0.3"/>
    <row r="1305" s="87" customFormat="1" x14ac:dyDescent="0.3"/>
    <row r="1306" s="87" customFormat="1" x14ac:dyDescent="0.3"/>
    <row r="1307" s="87" customFormat="1" x14ac:dyDescent="0.3"/>
    <row r="1308" s="87" customFormat="1" x14ac:dyDescent="0.3"/>
    <row r="1309" s="87" customFormat="1" x14ac:dyDescent="0.3"/>
    <row r="1310" s="87" customFormat="1" x14ac:dyDescent="0.3"/>
    <row r="1311" s="87" customFormat="1" x14ac:dyDescent="0.3"/>
    <row r="1312" s="87" customFormat="1" x14ac:dyDescent="0.3"/>
    <row r="1313" s="87" customFormat="1" x14ac:dyDescent="0.3"/>
    <row r="1314" s="87" customFormat="1" x14ac:dyDescent="0.3"/>
    <row r="1315" s="87" customFormat="1" x14ac:dyDescent="0.3"/>
    <row r="1316" s="87" customFormat="1" x14ac:dyDescent="0.3"/>
    <row r="1317" s="87" customFormat="1" x14ac:dyDescent="0.3"/>
    <row r="1318" s="87" customFormat="1" x14ac:dyDescent="0.3"/>
    <row r="1319" s="87" customFormat="1" x14ac:dyDescent="0.3"/>
    <row r="1320" s="87" customFormat="1" x14ac:dyDescent="0.3"/>
    <row r="1321" s="87" customFormat="1" x14ac:dyDescent="0.3"/>
    <row r="1322" s="87" customFormat="1" x14ac:dyDescent="0.3"/>
    <row r="1323" s="87" customFormat="1" x14ac:dyDescent="0.3"/>
    <row r="1324" s="87" customFormat="1" x14ac:dyDescent="0.3"/>
    <row r="1325" s="87" customFormat="1" x14ac:dyDescent="0.3"/>
    <row r="1326" s="87" customFormat="1" x14ac:dyDescent="0.3"/>
    <row r="1327" s="87" customFormat="1" x14ac:dyDescent="0.3"/>
    <row r="1328" s="87" customFormat="1" x14ac:dyDescent="0.3"/>
    <row r="1329" s="87" customFormat="1" x14ac:dyDescent="0.3"/>
    <row r="1330" s="87" customFormat="1" x14ac:dyDescent="0.3"/>
    <row r="1331" s="87" customFormat="1" x14ac:dyDescent="0.3"/>
    <row r="1332" s="87" customFormat="1" x14ac:dyDescent="0.3"/>
    <row r="1333" s="87" customFormat="1" x14ac:dyDescent="0.3"/>
    <row r="1334" s="87" customFormat="1" x14ac:dyDescent="0.3"/>
    <row r="1335" s="87" customFormat="1" x14ac:dyDescent="0.3"/>
    <row r="1336" s="87" customFormat="1" x14ac:dyDescent="0.3"/>
    <row r="1337" s="87" customFormat="1" x14ac:dyDescent="0.3"/>
    <row r="1338" s="87" customFormat="1" x14ac:dyDescent="0.3"/>
    <row r="1339" s="87" customFormat="1" x14ac:dyDescent="0.3"/>
    <row r="1340" s="87" customFormat="1" x14ac:dyDescent="0.3"/>
    <row r="1341" s="87" customFormat="1" x14ac:dyDescent="0.3"/>
    <row r="1342" s="87" customFormat="1" x14ac:dyDescent="0.3"/>
    <row r="1343" s="87" customFormat="1" x14ac:dyDescent="0.3"/>
    <row r="1344" s="87" customFormat="1" x14ac:dyDescent="0.3"/>
    <row r="1345" s="87" customFormat="1" x14ac:dyDescent="0.3"/>
    <row r="1346" s="87" customFormat="1" x14ac:dyDescent="0.3"/>
    <row r="1347" s="87" customFormat="1" x14ac:dyDescent="0.3"/>
    <row r="1348" s="87" customFormat="1" x14ac:dyDescent="0.3"/>
    <row r="1349" s="87" customFormat="1" x14ac:dyDescent="0.3"/>
    <row r="1350" s="87" customFormat="1" x14ac:dyDescent="0.3"/>
    <row r="1351" s="87" customFormat="1" x14ac:dyDescent="0.3"/>
    <row r="1352" s="87" customFormat="1" x14ac:dyDescent="0.3"/>
    <row r="1353" s="87" customFormat="1" x14ac:dyDescent="0.3"/>
    <row r="1354" s="87" customFormat="1" x14ac:dyDescent="0.3"/>
    <row r="1355" s="87" customFormat="1" x14ac:dyDescent="0.3"/>
    <row r="1356" s="87" customFormat="1" x14ac:dyDescent="0.3"/>
    <row r="1357" s="87" customFormat="1" x14ac:dyDescent="0.3"/>
    <row r="1358" s="87" customFormat="1" x14ac:dyDescent="0.3"/>
    <row r="1359" s="87" customFormat="1" x14ac:dyDescent="0.3"/>
    <row r="1360" s="87" customFormat="1" x14ac:dyDescent="0.3"/>
    <row r="1361" s="87" customFormat="1" x14ac:dyDescent="0.3"/>
    <row r="1362" s="87" customFormat="1" x14ac:dyDescent="0.3"/>
    <row r="1363" s="87" customFormat="1" x14ac:dyDescent="0.3"/>
    <row r="1364" s="87" customFormat="1" x14ac:dyDescent="0.3"/>
    <row r="1365" s="87" customFormat="1" x14ac:dyDescent="0.3"/>
    <row r="1366" s="87" customFormat="1" x14ac:dyDescent="0.3"/>
    <row r="1367" s="87" customFormat="1" x14ac:dyDescent="0.3"/>
    <row r="1368" s="87" customFormat="1" x14ac:dyDescent="0.3"/>
    <row r="1369" s="87" customFormat="1" x14ac:dyDescent="0.3"/>
    <row r="1370" s="87" customFormat="1" x14ac:dyDescent="0.3"/>
    <row r="1371" s="87" customFormat="1" x14ac:dyDescent="0.3"/>
    <row r="1372" s="87" customFormat="1" x14ac:dyDescent="0.3"/>
    <row r="1373" s="87" customFormat="1" x14ac:dyDescent="0.3"/>
    <row r="1374" s="87" customFormat="1" x14ac:dyDescent="0.3"/>
    <row r="1375" s="87" customFormat="1" x14ac:dyDescent="0.3"/>
    <row r="1376" s="87" customFormat="1" x14ac:dyDescent="0.3"/>
    <row r="1377" s="87" customFormat="1" x14ac:dyDescent="0.3"/>
    <row r="1378" s="87" customFormat="1" x14ac:dyDescent="0.3"/>
    <row r="1379" s="87" customFormat="1" x14ac:dyDescent="0.3"/>
    <row r="1380" s="87" customFormat="1" x14ac:dyDescent="0.3"/>
    <row r="1381" s="87" customFormat="1" x14ac:dyDescent="0.3"/>
    <row r="1382" s="87" customFormat="1" x14ac:dyDescent="0.3"/>
    <row r="1383" s="87" customFormat="1" x14ac:dyDescent="0.3"/>
    <row r="1384" s="87" customFormat="1" x14ac:dyDescent="0.3"/>
    <row r="1385" s="87" customFormat="1" x14ac:dyDescent="0.3"/>
    <row r="1386" s="87" customFormat="1" x14ac:dyDescent="0.3"/>
    <row r="1387" s="87" customFormat="1" x14ac:dyDescent="0.3"/>
    <row r="1388" s="87" customFormat="1" x14ac:dyDescent="0.3"/>
    <row r="1389" s="87" customFormat="1" x14ac:dyDescent="0.3"/>
    <row r="1390" s="87" customFormat="1" x14ac:dyDescent="0.3"/>
    <row r="1391" s="87" customFormat="1" x14ac:dyDescent="0.3"/>
    <row r="1392" s="87" customFormat="1" x14ac:dyDescent="0.3"/>
    <row r="1393" s="87" customFormat="1" x14ac:dyDescent="0.3"/>
    <row r="1394" s="87" customFormat="1" x14ac:dyDescent="0.3"/>
    <row r="1395" s="87" customFormat="1" x14ac:dyDescent="0.3"/>
    <row r="1396" s="87" customFormat="1" x14ac:dyDescent="0.3"/>
    <row r="1397" s="87" customFormat="1" x14ac:dyDescent="0.3"/>
    <row r="1398" s="87" customFormat="1" x14ac:dyDescent="0.3"/>
    <row r="1399" s="87" customFormat="1" x14ac:dyDescent="0.3"/>
    <row r="1400" s="87" customFormat="1" x14ac:dyDescent="0.3"/>
    <row r="1401" s="87" customFormat="1" x14ac:dyDescent="0.3"/>
    <row r="1402" s="87" customFormat="1" x14ac:dyDescent="0.3"/>
    <row r="1403" s="87" customFormat="1" x14ac:dyDescent="0.3"/>
    <row r="1404" s="87" customFormat="1" x14ac:dyDescent="0.3"/>
    <row r="1405" s="87" customFormat="1" x14ac:dyDescent="0.3"/>
    <row r="1406" s="87" customFormat="1" x14ac:dyDescent="0.3"/>
    <row r="1407" s="87" customFormat="1" x14ac:dyDescent="0.3"/>
    <row r="1408" s="87" customFormat="1" x14ac:dyDescent="0.3"/>
    <row r="1409" s="87" customFormat="1" x14ac:dyDescent="0.3"/>
    <row r="1410" s="87" customFormat="1" x14ac:dyDescent="0.3"/>
    <row r="1411" s="87" customFormat="1" x14ac:dyDescent="0.3"/>
    <row r="1412" s="87" customFormat="1" x14ac:dyDescent="0.3"/>
    <row r="1413" s="87" customFormat="1" x14ac:dyDescent="0.3"/>
    <row r="1414" s="87" customFormat="1" x14ac:dyDescent="0.3"/>
    <row r="1415" s="87" customFormat="1" x14ac:dyDescent="0.3"/>
    <row r="1416" s="87" customFormat="1" x14ac:dyDescent="0.3"/>
    <row r="1417" s="87" customFormat="1" x14ac:dyDescent="0.3"/>
    <row r="1418" s="87" customFormat="1" x14ac:dyDescent="0.3"/>
    <row r="1419" s="87" customFormat="1" x14ac:dyDescent="0.3"/>
    <row r="1420" s="87" customFormat="1" x14ac:dyDescent="0.3"/>
    <row r="1421" s="87" customFormat="1" x14ac:dyDescent="0.3"/>
    <row r="1422" s="87" customFormat="1" x14ac:dyDescent="0.3"/>
    <row r="1423" s="87" customFormat="1" x14ac:dyDescent="0.3"/>
    <row r="1424" s="87" customFormat="1" x14ac:dyDescent="0.3"/>
    <row r="1425" s="87" customFormat="1" x14ac:dyDescent="0.3"/>
    <row r="1426" s="87" customFormat="1" x14ac:dyDescent="0.3"/>
    <row r="1427" s="87" customFormat="1" x14ac:dyDescent="0.3"/>
    <row r="1428" s="87" customFormat="1" x14ac:dyDescent="0.3"/>
    <row r="1429" s="87" customFormat="1" x14ac:dyDescent="0.3"/>
    <row r="1430" s="87" customFormat="1" x14ac:dyDescent="0.3"/>
    <row r="1431" s="87" customFormat="1" x14ac:dyDescent="0.3"/>
    <row r="1432" s="87" customFormat="1" x14ac:dyDescent="0.3"/>
    <row r="1433" s="87" customFormat="1" x14ac:dyDescent="0.3"/>
  </sheetData>
  <mergeCells count="35">
    <mergeCell ref="K16:M16"/>
    <mergeCell ref="B3:H3"/>
    <mergeCell ref="K17:M17"/>
    <mergeCell ref="K19:M19"/>
    <mergeCell ref="L18:M18"/>
    <mergeCell ref="L12:M12"/>
    <mergeCell ref="L14:M14"/>
    <mergeCell ref="K15:M15"/>
    <mergeCell ref="B6:G6"/>
    <mergeCell ref="B15:D15"/>
    <mergeCell ref="G15:I15"/>
    <mergeCell ref="B1:E1"/>
    <mergeCell ref="K6:O6"/>
    <mergeCell ref="K8:M8"/>
    <mergeCell ref="L9:M9"/>
    <mergeCell ref="L10:M11"/>
    <mergeCell ref="B90:D90"/>
    <mergeCell ref="G90:I90"/>
    <mergeCell ref="B51:G51"/>
    <mergeCell ref="L20:M20"/>
    <mergeCell ref="L22:M22"/>
    <mergeCell ref="K21:M21"/>
    <mergeCell ref="K23:M23"/>
    <mergeCell ref="B60:D60"/>
    <mergeCell ref="G60:I60"/>
    <mergeCell ref="B70:D70"/>
    <mergeCell ref="G70:I70"/>
    <mergeCell ref="B81:D81"/>
    <mergeCell ref="G81:I81"/>
    <mergeCell ref="B26:D26"/>
    <mergeCell ref="G26:I26"/>
    <mergeCell ref="B36:D36"/>
    <mergeCell ref="G36:I36"/>
    <mergeCell ref="B47:D47"/>
    <mergeCell ref="G47:I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3AB3-4575-463E-9A08-B01250C9E06E}">
  <sheetPr>
    <tabColor theme="9" tint="0.79998168889431442"/>
  </sheetPr>
  <dimension ref="A1:BO746"/>
  <sheetViews>
    <sheetView topLeftCell="A22" zoomScale="80" zoomScaleNormal="80" workbookViewId="0">
      <selection activeCell="I34" sqref="I34"/>
    </sheetView>
  </sheetViews>
  <sheetFormatPr defaultRowHeight="14.4" x14ac:dyDescent="0.3"/>
  <cols>
    <col min="1" max="2" width="8.88671875" style="87"/>
    <col min="3" max="3" width="15" customWidth="1"/>
    <col min="4" max="4" width="20.6640625" customWidth="1"/>
    <col min="5" max="5" width="21.44140625" customWidth="1"/>
    <col min="6" max="6" width="26.88671875" customWidth="1"/>
    <col min="7" max="7" width="38.44140625" customWidth="1"/>
    <col min="8" max="67" width="8.88671875" style="87"/>
  </cols>
  <sheetData>
    <row r="1" spans="3:7" x14ac:dyDescent="0.3">
      <c r="C1" s="87"/>
      <c r="D1" s="87"/>
      <c r="E1" s="87"/>
      <c r="F1" s="87"/>
      <c r="G1" s="87"/>
    </row>
    <row r="2" spans="3:7" x14ac:dyDescent="0.3">
      <c r="C2" s="87"/>
      <c r="D2" s="87"/>
      <c r="E2" s="87"/>
      <c r="F2" s="87"/>
      <c r="G2" s="87"/>
    </row>
    <row r="3" spans="3:7" ht="22.8" x14ac:dyDescent="0.4">
      <c r="C3" s="116" t="s">
        <v>98</v>
      </c>
      <c r="D3" s="87"/>
      <c r="E3" s="87"/>
      <c r="F3" s="87"/>
      <c r="G3" s="87"/>
    </row>
    <row r="4" spans="3:7" ht="15" thickBot="1" x14ac:dyDescent="0.35">
      <c r="C4" s="87"/>
      <c r="D4" s="87"/>
      <c r="E4" s="87"/>
      <c r="F4" s="87"/>
      <c r="G4" s="87"/>
    </row>
    <row r="5" spans="3:7" ht="31.8" customHeight="1" thickBot="1" x14ac:dyDescent="0.35">
      <c r="C5" s="74" t="s">
        <v>95</v>
      </c>
      <c r="D5" s="75" t="s">
        <v>94</v>
      </c>
      <c r="E5" s="74" t="s">
        <v>89</v>
      </c>
      <c r="F5" s="75" t="s">
        <v>90</v>
      </c>
      <c r="G5" s="75" t="s">
        <v>99</v>
      </c>
    </row>
    <row r="6" spans="3:7" ht="129" customHeight="1" thickBot="1" x14ac:dyDescent="0.35">
      <c r="C6" s="74" t="s">
        <v>96</v>
      </c>
      <c r="D6" s="76">
        <v>546.36294814898577</v>
      </c>
      <c r="E6" s="77">
        <v>3.4147684259311609E-3</v>
      </c>
      <c r="F6" s="78">
        <v>6.5043208112974494E-3</v>
      </c>
      <c r="G6" s="179" t="s">
        <v>149</v>
      </c>
    </row>
    <row r="7" spans="3:7" ht="127.2" customHeight="1" thickBot="1" x14ac:dyDescent="0.35">
      <c r="C7" s="74" t="s">
        <v>75</v>
      </c>
      <c r="D7" s="76">
        <v>543.63515926072512</v>
      </c>
      <c r="E7" s="77">
        <v>4.5302929938393762E-3</v>
      </c>
      <c r="F7" s="78">
        <v>9.0605859876787525E-3</v>
      </c>
      <c r="G7" s="178" t="s">
        <v>150</v>
      </c>
    </row>
    <row r="8" spans="3:7" ht="160.80000000000001" customHeight="1" thickBot="1" x14ac:dyDescent="0.35">
      <c r="C8" s="74" t="s">
        <v>76</v>
      </c>
      <c r="D8" s="76">
        <v>1089.9981074097109</v>
      </c>
      <c r="E8" s="77">
        <v>4.5416587808737949E-3</v>
      </c>
      <c r="F8" s="78">
        <v>5.4499905370485546E-2</v>
      </c>
      <c r="G8" s="179" t="s">
        <v>151</v>
      </c>
    </row>
    <row r="9" spans="3:7" s="87" customFormat="1" x14ac:dyDescent="0.3"/>
    <row r="10" spans="3:7" s="87" customFormat="1" x14ac:dyDescent="0.3"/>
    <row r="11" spans="3:7" s="87" customFormat="1" x14ac:dyDescent="0.3"/>
    <row r="12" spans="3:7" s="87" customFormat="1" ht="22.8" x14ac:dyDescent="0.4">
      <c r="C12" s="116" t="s">
        <v>111</v>
      </c>
    </row>
    <row r="13" spans="3:7" s="87" customFormat="1" x14ac:dyDescent="0.3"/>
    <row r="14" spans="3:7" s="87" customFormat="1" x14ac:dyDescent="0.3"/>
    <row r="15" spans="3:7" s="87" customFormat="1" x14ac:dyDescent="0.3"/>
    <row r="16" spans="3:7" s="87" customFormat="1" ht="15.6" x14ac:dyDescent="0.3">
      <c r="C16" s="117" t="s">
        <v>112</v>
      </c>
      <c r="D16" s="118"/>
      <c r="E16" s="118"/>
      <c r="F16" s="118"/>
    </row>
    <row r="17" spans="3:14" s="87" customFormat="1" ht="16.2" thickBot="1" x14ac:dyDescent="0.35">
      <c r="C17" s="118"/>
      <c r="D17" s="118"/>
      <c r="E17" s="118"/>
      <c r="F17" s="118"/>
    </row>
    <row r="18" spans="3:14" ht="31.2" customHeight="1" thickBot="1" x14ac:dyDescent="0.35">
      <c r="C18" s="274" t="s">
        <v>155</v>
      </c>
      <c r="D18" s="275" t="s">
        <v>156</v>
      </c>
      <c r="E18" s="275" t="s">
        <v>157</v>
      </c>
      <c r="F18" s="276" t="s">
        <v>99</v>
      </c>
      <c r="G18" s="87"/>
      <c r="I18" s="329" t="s">
        <v>164</v>
      </c>
      <c r="J18" s="330"/>
      <c r="K18" s="330"/>
      <c r="L18" s="330"/>
      <c r="M18" s="330"/>
      <c r="N18" s="331"/>
    </row>
    <row r="19" spans="3:14" ht="206.4" customHeight="1" thickBot="1" x14ac:dyDescent="0.35">
      <c r="C19" s="277" t="s">
        <v>76</v>
      </c>
      <c r="D19" s="270">
        <v>2.2000000000000002</v>
      </c>
      <c r="E19" s="270">
        <v>1</v>
      </c>
      <c r="F19" s="272" t="s">
        <v>158</v>
      </c>
      <c r="G19" s="87"/>
      <c r="I19" s="323" t="s">
        <v>165</v>
      </c>
      <c r="J19" s="324"/>
      <c r="K19" s="324"/>
      <c r="L19" s="324"/>
      <c r="M19" s="324"/>
      <c r="N19" s="325"/>
    </row>
    <row r="20" spans="3:14" ht="144" customHeight="1" thickBot="1" x14ac:dyDescent="0.35">
      <c r="C20" s="277" t="s">
        <v>75</v>
      </c>
      <c r="D20" s="270">
        <v>1.6</v>
      </c>
      <c r="E20" s="270">
        <v>2</v>
      </c>
      <c r="F20" s="272" t="s">
        <v>159</v>
      </c>
      <c r="G20" s="87"/>
      <c r="I20" s="323" t="s">
        <v>166</v>
      </c>
      <c r="J20" s="324"/>
      <c r="K20" s="324"/>
      <c r="L20" s="324"/>
      <c r="M20" s="324"/>
      <c r="N20" s="325"/>
    </row>
    <row r="21" spans="3:14" ht="175.8" customHeight="1" thickBot="1" x14ac:dyDescent="0.35">
      <c r="C21" s="278" t="s">
        <v>96</v>
      </c>
      <c r="D21" s="271">
        <v>1.4</v>
      </c>
      <c r="E21" s="271">
        <v>3</v>
      </c>
      <c r="F21" s="273" t="s">
        <v>160</v>
      </c>
      <c r="G21" s="87"/>
      <c r="I21" s="326" t="s">
        <v>167</v>
      </c>
      <c r="J21" s="327"/>
      <c r="K21" s="327"/>
      <c r="L21" s="327"/>
      <c r="M21" s="327"/>
      <c r="N21" s="328"/>
    </row>
    <row r="22" spans="3:14" ht="45" customHeight="1" x14ac:dyDescent="0.3">
      <c r="C22" s="264"/>
      <c r="D22" s="264"/>
      <c r="E22" s="264"/>
      <c r="F22" s="264"/>
      <c r="G22" s="87"/>
      <c r="I22" s="284"/>
    </row>
    <row r="23" spans="3:14" ht="60" customHeight="1" x14ac:dyDescent="0.3">
      <c r="C23" s="117" t="s">
        <v>113</v>
      </c>
      <c r="D23" s="118"/>
      <c r="E23" s="118"/>
      <c r="F23" s="118"/>
      <c r="G23" s="87"/>
    </row>
    <row r="24" spans="3:14" ht="15" customHeight="1" thickBot="1" x14ac:dyDescent="0.35">
      <c r="C24" s="118"/>
      <c r="D24" s="118"/>
      <c r="E24" s="118"/>
      <c r="F24" s="118"/>
      <c r="G24" s="87"/>
    </row>
    <row r="25" spans="3:14" s="87" customFormat="1" ht="16.2" thickBot="1" x14ac:dyDescent="0.35">
      <c r="C25" s="279" t="s">
        <v>155</v>
      </c>
      <c r="D25" s="282" t="s">
        <v>156</v>
      </c>
      <c r="E25" s="282" t="s">
        <v>157</v>
      </c>
      <c r="F25" s="283" t="s">
        <v>99</v>
      </c>
    </row>
    <row r="26" spans="3:14" s="87" customFormat="1" ht="157.80000000000001" customHeight="1" thickBot="1" x14ac:dyDescent="0.35">
      <c r="C26" s="280" t="s">
        <v>76</v>
      </c>
      <c r="D26" s="270">
        <v>1.8</v>
      </c>
      <c r="E26" s="270">
        <v>1</v>
      </c>
      <c r="F26" s="268" t="s">
        <v>161</v>
      </c>
    </row>
    <row r="27" spans="3:14" s="87" customFormat="1" ht="169.2" customHeight="1" thickBot="1" x14ac:dyDescent="0.35">
      <c r="C27" s="280" t="s">
        <v>96</v>
      </c>
      <c r="D27" s="270">
        <v>2</v>
      </c>
      <c r="E27" s="270">
        <v>2</v>
      </c>
      <c r="F27" s="268" t="s">
        <v>162</v>
      </c>
    </row>
    <row r="28" spans="3:14" s="87" customFormat="1" ht="168.6" customHeight="1" thickBot="1" x14ac:dyDescent="0.35">
      <c r="C28" s="281" t="s">
        <v>75</v>
      </c>
      <c r="D28" s="271">
        <v>1.4</v>
      </c>
      <c r="E28" s="271">
        <v>3</v>
      </c>
      <c r="F28" s="269" t="s">
        <v>163</v>
      </c>
    </row>
    <row r="29" spans="3:14" s="87" customFormat="1" ht="15.6" x14ac:dyDescent="0.3">
      <c r="C29" s="118"/>
      <c r="D29" s="118"/>
      <c r="E29" s="118"/>
      <c r="F29" s="118"/>
    </row>
    <row r="30" spans="3:14" s="87" customFormat="1" x14ac:dyDescent="0.3"/>
    <row r="31" spans="3:14" s="87" customFormat="1" x14ac:dyDescent="0.3"/>
    <row r="32" spans="3:14" x14ac:dyDescent="0.3">
      <c r="G32" s="87"/>
      <c r="I32" s="265"/>
      <c r="J32" s="265"/>
      <c r="K32" s="265"/>
      <c r="L32" s="265"/>
    </row>
    <row r="33" spans="3:12" x14ac:dyDescent="0.3">
      <c r="G33" s="87"/>
      <c r="I33" s="266"/>
      <c r="J33" s="267"/>
      <c r="K33" s="267"/>
      <c r="L33" s="267"/>
    </row>
    <row r="34" spans="3:12" x14ac:dyDescent="0.3">
      <c r="G34" s="87"/>
      <c r="I34" s="266"/>
      <c r="J34" s="267"/>
      <c r="K34" s="267"/>
      <c r="L34" s="267"/>
    </row>
    <row r="35" spans="3:12" x14ac:dyDescent="0.3">
      <c r="G35" s="87"/>
      <c r="I35" s="266"/>
      <c r="J35" s="267"/>
      <c r="K35" s="267"/>
      <c r="L35" s="267"/>
    </row>
    <row r="36" spans="3:12" ht="80.400000000000006" customHeight="1" x14ac:dyDescent="0.3">
      <c r="C36" s="264"/>
      <c r="D36" s="264"/>
      <c r="E36" s="264"/>
      <c r="F36" s="264"/>
      <c r="G36" s="87"/>
    </row>
    <row r="37" spans="3:12" ht="14.4" customHeight="1" x14ac:dyDescent="0.3">
      <c r="C37" s="264"/>
      <c r="D37" s="264"/>
      <c r="E37" s="264"/>
      <c r="F37" s="264"/>
      <c r="G37" s="87"/>
    </row>
    <row r="38" spans="3:12" ht="69" customHeight="1" x14ac:dyDescent="0.3">
      <c r="C38" s="264"/>
      <c r="D38" s="264"/>
      <c r="E38" s="264"/>
      <c r="F38" s="264"/>
      <c r="G38" s="87"/>
    </row>
    <row r="39" spans="3:12" s="87" customFormat="1" x14ac:dyDescent="0.3">
      <c r="C39" s="93"/>
      <c r="D39" s="93"/>
      <c r="E39" s="93"/>
      <c r="F39" s="93"/>
    </row>
    <row r="40" spans="3:12" s="87" customFormat="1" x14ac:dyDescent="0.3"/>
    <row r="41" spans="3:12" s="87" customFormat="1" x14ac:dyDescent="0.3"/>
    <row r="42" spans="3:12" s="87" customFormat="1" x14ac:dyDescent="0.3"/>
    <row r="43" spans="3:12" s="87" customFormat="1" x14ac:dyDescent="0.3"/>
    <row r="44" spans="3:12" s="87" customFormat="1" x14ac:dyDescent="0.3"/>
    <row r="45" spans="3:12" s="87" customFormat="1" x14ac:dyDescent="0.3"/>
    <row r="46" spans="3:12" s="87" customFormat="1" x14ac:dyDescent="0.3"/>
    <row r="47" spans="3:12" s="87" customFormat="1" x14ac:dyDescent="0.3"/>
    <row r="48" spans="3:12" s="87" customFormat="1" x14ac:dyDescent="0.3"/>
    <row r="49" s="87" customFormat="1" x14ac:dyDescent="0.3"/>
    <row r="50" s="87" customFormat="1" x14ac:dyDescent="0.3"/>
    <row r="51" s="87" customFormat="1" x14ac:dyDescent="0.3"/>
    <row r="52" s="87" customFormat="1" x14ac:dyDescent="0.3"/>
    <row r="53" s="87" customFormat="1" x14ac:dyDescent="0.3"/>
    <row r="54" s="87" customFormat="1" x14ac:dyDescent="0.3"/>
    <row r="55" s="87" customFormat="1" x14ac:dyDescent="0.3"/>
    <row r="56" s="87" customFormat="1" x14ac:dyDescent="0.3"/>
    <row r="57" s="87" customFormat="1" x14ac:dyDescent="0.3"/>
    <row r="58" s="87" customFormat="1" x14ac:dyDescent="0.3"/>
    <row r="59" s="87" customFormat="1" x14ac:dyDescent="0.3"/>
    <row r="60" s="87" customFormat="1" x14ac:dyDescent="0.3"/>
    <row r="61" s="87" customFormat="1" x14ac:dyDescent="0.3"/>
    <row r="62" s="87" customFormat="1" x14ac:dyDescent="0.3"/>
    <row r="63" s="87" customFormat="1" x14ac:dyDescent="0.3"/>
    <row r="64" s="87" customFormat="1" x14ac:dyDescent="0.3"/>
    <row r="65" s="87" customFormat="1" x14ac:dyDescent="0.3"/>
    <row r="66" s="87" customFormat="1" x14ac:dyDescent="0.3"/>
    <row r="67" s="87" customFormat="1" x14ac:dyDescent="0.3"/>
    <row r="68" s="87" customFormat="1" x14ac:dyDescent="0.3"/>
    <row r="69" s="87" customFormat="1" x14ac:dyDescent="0.3"/>
    <row r="70" s="87" customFormat="1" x14ac:dyDescent="0.3"/>
    <row r="71" s="87" customFormat="1" x14ac:dyDescent="0.3"/>
    <row r="72" s="87" customFormat="1" x14ac:dyDescent="0.3"/>
    <row r="73" s="87" customFormat="1" x14ac:dyDescent="0.3"/>
    <row r="74" s="87" customFormat="1" x14ac:dyDescent="0.3"/>
    <row r="75" s="87" customFormat="1" x14ac:dyDescent="0.3"/>
    <row r="76" s="87" customFormat="1" x14ac:dyDescent="0.3"/>
    <row r="77" s="87" customFormat="1" x14ac:dyDescent="0.3"/>
    <row r="78" s="87" customFormat="1" x14ac:dyDescent="0.3"/>
    <row r="79" s="87" customFormat="1" x14ac:dyDescent="0.3"/>
    <row r="80" s="87" customFormat="1" x14ac:dyDescent="0.3"/>
    <row r="81" s="87" customFormat="1" x14ac:dyDescent="0.3"/>
    <row r="82" s="87" customFormat="1" x14ac:dyDescent="0.3"/>
    <row r="83" s="87" customFormat="1" x14ac:dyDescent="0.3"/>
    <row r="84" s="87" customFormat="1" x14ac:dyDescent="0.3"/>
    <row r="85" s="87" customFormat="1" x14ac:dyDescent="0.3"/>
    <row r="86" s="87" customFormat="1" x14ac:dyDescent="0.3"/>
    <row r="87" s="87" customFormat="1" x14ac:dyDescent="0.3"/>
    <row r="88" s="87" customFormat="1" x14ac:dyDescent="0.3"/>
    <row r="89" s="87" customFormat="1" x14ac:dyDescent="0.3"/>
    <row r="90" s="87" customFormat="1" x14ac:dyDescent="0.3"/>
    <row r="91" s="87" customFormat="1" x14ac:dyDescent="0.3"/>
    <row r="92" s="87" customFormat="1" x14ac:dyDescent="0.3"/>
    <row r="93" s="87" customFormat="1" x14ac:dyDescent="0.3"/>
    <row r="94" s="87" customFormat="1" x14ac:dyDescent="0.3"/>
    <row r="95" s="87" customFormat="1" x14ac:dyDescent="0.3"/>
    <row r="96" s="87" customFormat="1" x14ac:dyDescent="0.3"/>
    <row r="97" s="87" customFormat="1" x14ac:dyDescent="0.3"/>
    <row r="98" s="87" customFormat="1" x14ac:dyDescent="0.3"/>
    <row r="99" s="87" customFormat="1" x14ac:dyDescent="0.3"/>
    <row r="100" s="87" customFormat="1" x14ac:dyDescent="0.3"/>
    <row r="101" s="87" customFormat="1" x14ac:dyDescent="0.3"/>
    <row r="102" s="87" customFormat="1" x14ac:dyDescent="0.3"/>
    <row r="103" s="87" customFormat="1" x14ac:dyDescent="0.3"/>
    <row r="104" s="87" customFormat="1" x14ac:dyDescent="0.3"/>
    <row r="105" s="87" customFormat="1" x14ac:dyDescent="0.3"/>
    <row r="106" s="87" customFormat="1" x14ac:dyDescent="0.3"/>
    <row r="107" s="87" customFormat="1" x14ac:dyDescent="0.3"/>
    <row r="108" s="87" customFormat="1" x14ac:dyDescent="0.3"/>
    <row r="109" s="87" customFormat="1" x14ac:dyDescent="0.3"/>
    <row r="110" s="87" customFormat="1" x14ac:dyDescent="0.3"/>
    <row r="111" s="87" customFormat="1" x14ac:dyDescent="0.3"/>
    <row r="112" s="87" customFormat="1" x14ac:dyDescent="0.3"/>
    <row r="113" s="87" customFormat="1" x14ac:dyDescent="0.3"/>
    <row r="114" s="87" customFormat="1" x14ac:dyDescent="0.3"/>
    <row r="115" s="87" customFormat="1" x14ac:dyDescent="0.3"/>
    <row r="116" s="87" customFormat="1" x14ac:dyDescent="0.3"/>
    <row r="117" s="87" customFormat="1" x14ac:dyDescent="0.3"/>
    <row r="118" s="87" customFormat="1" x14ac:dyDescent="0.3"/>
    <row r="119" s="87" customFormat="1" x14ac:dyDescent="0.3"/>
    <row r="120" s="87" customFormat="1" x14ac:dyDescent="0.3"/>
    <row r="121" s="87" customFormat="1" x14ac:dyDescent="0.3"/>
    <row r="122" s="87" customFormat="1" x14ac:dyDescent="0.3"/>
    <row r="123" s="87" customFormat="1" x14ac:dyDescent="0.3"/>
    <row r="124" s="87" customFormat="1" x14ac:dyDescent="0.3"/>
    <row r="125" s="87" customFormat="1" x14ac:dyDescent="0.3"/>
    <row r="126" s="87" customFormat="1" x14ac:dyDescent="0.3"/>
    <row r="127" s="87" customFormat="1" x14ac:dyDescent="0.3"/>
    <row r="128" s="87" customFormat="1" x14ac:dyDescent="0.3"/>
    <row r="129" s="87" customFormat="1" x14ac:dyDescent="0.3"/>
    <row r="130" s="87" customFormat="1" x14ac:dyDescent="0.3"/>
    <row r="131" s="87" customFormat="1" x14ac:dyDescent="0.3"/>
    <row r="132" s="87" customFormat="1" x14ac:dyDescent="0.3"/>
    <row r="133" s="87" customFormat="1" x14ac:dyDescent="0.3"/>
    <row r="134" s="87" customFormat="1" x14ac:dyDescent="0.3"/>
    <row r="135" s="87" customFormat="1" x14ac:dyDescent="0.3"/>
    <row r="136" s="87" customFormat="1" x14ac:dyDescent="0.3"/>
    <row r="137" s="87" customFormat="1" x14ac:dyDescent="0.3"/>
    <row r="138" s="87" customFormat="1" x14ac:dyDescent="0.3"/>
    <row r="139" s="87" customFormat="1" x14ac:dyDescent="0.3"/>
    <row r="140" s="87" customFormat="1" x14ac:dyDescent="0.3"/>
    <row r="141" s="87" customFormat="1" x14ac:dyDescent="0.3"/>
    <row r="142" s="87" customFormat="1" x14ac:dyDescent="0.3"/>
    <row r="143" s="87" customFormat="1" x14ac:dyDescent="0.3"/>
    <row r="144" s="87" customFormat="1" x14ac:dyDescent="0.3"/>
    <row r="145" s="87" customFormat="1" x14ac:dyDescent="0.3"/>
    <row r="146" s="87" customFormat="1" x14ac:dyDescent="0.3"/>
    <row r="147" s="87" customFormat="1" x14ac:dyDescent="0.3"/>
    <row r="148" s="87" customFormat="1" x14ac:dyDescent="0.3"/>
    <row r="149" s="87" customFormat="1" x14ac:dyDescent="0.3"/>
    <row r="150" s="87" customFormat="1" x14ac:dyDescent="0.3"/>
    <row r="151" s="87" customFormat="1" x14ac:dyDescent="0.3"/>
    <row r="152" s="87" customFormat="1" x14ac:dyDescent="0.3"/>
    <row r="153" s="87" customFormat="1" x14ac:dyDescent="0.3"/>
    <row r="154" s="87" customFormat="1" x14ac:dyDescent="0.3"/>
    <row r="155" s="87" customFormat="1" x14ac:dyDescent="0.3"/>
    <row r="156" s="87" customFormat="1" x14ac:dyDescent="0.3"/>
    <row r="157" s="87" customFormat="1" x14ac:dyDescent="0.3"/>
    <row r="158" s="87" customFormat="1" x14ac:dyDescent="0.3"/>
    <row r="159" s="87" customFormat="1" x14ac:dyDescent="0.3"/>
    <row r="160" s="87" customFormat="1" x14ac:dyDescent="0.3"/>
    <row r="161" s="87" customFormat="1" x14ac:dyDescent="0.3"/>
    <row r="162" s="87" customFormat="1" x14ac:dyDescent="0.3"/>
    <row r="163" s="87" customFormat="1" x14ac:dyDescent="0.3"/>
    <row r="164" s="87" customFormat="1" x14ac:dyDescent="0.3"/>
    <row r="165" s="87" customFormat="1" x14ac:dyDescent="0.3"/>
    <row r="166" s="87" customFormat="1" x14ac:dyDescent="0.3"/>
    <row r="167" s="87" customFormat="1" x14ac:dyDescent="0.3"/>
    <row r="168" s="87" customFormat="1" x14ac:dyDescent="0.3"/>
    <row r="169" s="87" customFormat="1" x14ac:dyDescent="0.3"/>
    <row r="170" s="87" customFormat="1" x14ac:dyDescent="0.3"/>
    <row r="171" s="87" customFormat="1" x14ac:dyDescent="0.3"/>
    <row r="172" s="87" customFormat="1" x14ac:dyDescent="0.3"/>
    <row r="173" s="87" customFormat="1" x14ac:dyDescent="0.3"/>
    <row r="174" s="87" customFormat="1" x14ac:dyDescent="0.3"/>
    <row r="175" s="87" customFormat="1" x14ac:dyDescent="0.3"/>
    <row r="176" s="87" customFormat="1" x14ac:dyDescent="0.3"/>
    <row r="177" s="87" customFormat="1" x14ac:dyDescent="0.3"/>
    <row r="178" s="87" customFormat="1" x14ac:dyDescent="0.3"/>
    <row r="179" s="87" customFormat="1" x14ac:dyDescent="0.3"/>
    <row r="180" s="87" customFormat="1" x14ac:dyDescent="0.3"/>
    <row r="181" s="87" customFormat="1" x14ac:dyDescent="0.3"/>
    <row r="182" s="87" customFormat="1" x14ac:dyDescent="0.3"/>
    <row r="183" s="87" customFormat="1" x14ac:dyDescent="0.3"/>
    <row r="184" s="87" customFormat="1" x14ac:dyDescent="0.3"/>
    <row r="185" s="87" customFormat="1" x14ac:dyDescent="0.3"/>
    <row r="186" s="87" customFormat="1" x14ac:dyDescent="0.3"/>
    <row r="187" s="87" customFormat="1" x14ac:dyDescent="0.3"/>
    <row r="188" s="87" customFormat="1" x14ac:dyDescent="0.3"/>
    <row r="189" s="87" customFormat="1" x14ac:dyDescent="0.3"/>
    <row r="190" s="87" customFormat="1" x14ac:dyDescent="0.3"/>
    <row r="191" s="87" customFormat="1" x14ac:dyDescent="0.3"/>
    <row r="192" s="87" customFormat="1" x14ac:dyDescent="0.3"/>
    <row r="193" s="87" customFormat="1" x14ac:dyDescent="0.3"/>
    <row r="194" s="87" customFormat="1" x14ac:dyDescent="0.3"/>
    <row r="195" s="87" customFormat="1" x14ac:dyDescent="0.3"/>
    <row r="196" s="87" customFormat="1" x14ac:dyDescent="0.3"/>
    <row r="197" s="87" customFormat="1" x14ac:dyDescent="0.3"/>
    <row r="198" s="87" customFormat="1" x14ac:dyDescent="0.3"/>
    <row r="199" s="87" customFormat="1" x14ac:dyDescent="0.3"/>
    <row r="200" s="87" customFormat="1" x14ac:dyDescent="0.3"/>
    <row r="201" s="87" customFormat="1" x14ac:dyDescent="0.3"/>
    <row r="202" s="87" customFormat="1" x14ac:dyDescent="0.3"/>
    <row r="203" s="87" customFormat="1" x14ac:dyDescent="0.3"/>
    <row r="204" s="87" customFormat="1" x14ac:dyDescent="0.3"/>
    <row r="205" s="87" customFormat="1" x14ac:dyDescent="0.3"/>
    <row r="206" s="87" customFormat="1" x14ac:dyDescent="0.3"/>
    <row r="207" s="87" customFormat="1" x14ac:dyDescent="0.3"/>
    <row r="208" s="87" customFormat="1" x14ac:dyDescent="0.3"/>
    <row r="209" s="87" customFormat="1" x14ac:dyDescent="0.3"/>
    <row r="210" s="87" customFormat="1" x14ac:dyDescent="0.3"/>
    <row r="211" s="87" customFormat="1" x14ac:dyDescent="0.3"/>
    <row r="212" s="87" customFormat="1" x14ac:dyDescent="0.3"/>
    <row r="213" s="87" customFormat="1" x14ac:dyDescent="0.3"/>
    <row r="214" s="87" customFormat="1" x14ac:dyDescent="0.3"/>
    <row r="215" s="87" customFormat="1" x14ac:dyDescent="0.3"/>
    <row r="216" s="87" customFormat="1" x14ac:dyDescent="0.3"/>
    <row r="217" s="87" customFormat="1" x14ac:dyDescent="0.3"/>
    <row r="218" s="87" customFormat="1" x14ac:dyDescent="0.3"/>
    <row r="219" s="87" customFormat="1" x14ac:dyDescent="0.3"/>
    <row r="220" s="87" customFormat="1" x14ac:dyDescent="0.3"/>
    <row r="221" s="87" customFormat="1" x14ac:dyDescent="0.3"/>
    <row r="222" s="87" customFormat="1" x14ac:dyDescent="0.3"/>
    <row r="223" s="87" customFormat="1" x14ac:dyDescent="0.3"/>
    <row r="224" s="87" customFormat="1" x14ac:dyDescent="0.3"/>
    <row r="225" s="87" customFormat="1" x14ac:dyDescent="0.3"/>
    <row r="226" s="87" customFormat="1" x14ac:dyDescent="0.3"/>
    <row r="227" s="87" customFormat="1" x14ac:dyDescent="0.3"/>
    <row r="228" s="87" customFormat="1" x14ac:dyDescent="0.3"/>
    <row r="229" s="87" customFormat="1" x14ac:dyDescent="0.3"/>
    <row r="230" s="87" customFormat="1" x14ac:dyDescent="0.3"/>
    <row r="231" s="87" customFormat="1" x14ac:dyDescent="0.3"/>
    <row r="232" s="87" customFormat="1" x14ac:dyDescent="0.3"/>
    <row r="233" s="87" customFormat="1" x14ac:dyDescent="0.3"/>
    <row r="234" s="87" customFormat="1" x14ac:dyDescent="0.3"/>
    <row r="235" s="87" customFormat="1" x14ac:dyDescent="0.3"/>
    <row r="236" s="87" customFormat="1" x14ac:dyDescent="0.3"/>
    <row r="237" s="87" customFormat="1" x14ac:dyDescent="0.3"/>
    <row r="238" s="87" customFormat="1" x14ac:dyDescent="0.3"/>
    <row r="239" s="87" customFormat="1" x14ac:dyDescent="0.3"/>
    <row r="240" s="87" customFormat="1" x14ac:dyDescent="0.3"/>
    <row r="241" s="87" customFormat="1" x14ac:dyDescent="0.3"/>
    <row r="242" s="87" customFormat="1" x14ac:dyDescent="0.3"/>
    <row r="243" s="87" customFormat="1" x14ac:dyDescent="0.3"/>
    <row r="244" s="87" customFormat="1" x14ac:dyDescent="0.3"/>
    <row r="245" s="87" customFormat="1" x14ac:dyDescent="0.3"/>
    <row r="246" s="87" customFormat="1" x14ac:dyDescent="0.3"/>
    <row r="247" s="87" customFormat="1" x14ac:dyDescent="0.3"/>
    <row r="248" s="87" customFormat="1" x14ac:dyDescent="0.3"/>
    <row r="249" s="87" customFormat="1" x14ac:dyDescent="0.3"/>
    <row r="250" s="87" customFormat="1" x14ac:dyDescent="0.3"/>
    <row r="251" s="87" customFormat="1" x14ac:dyDescent="0.3"/>
    <row r="252" s="87" customFormat="1" x14ac:dyDescent="0.3"/>
    <row r="253" s="87" customFormat="1" x14ac:dyDescent="0.3"/>
    <row r="254" s="87" customFormat="1" x14ac:dyDescent="0.3"/>
    <row r="255" s="87" customFormat="1" x14ac:dyDescent="0.3"/>
    <row r="256" s="87" customFormat="1" x14ac:dyDescent="0.3"/>
    <row r="257" s="87" customFormat="1" x14ac:dyDescent="0.3"/>
    <row r="258" s="87" customFormat="1" x14ac:dyDescent="0.3"/>
    <row r="259" s="87" customFormat="1" x14ac:dyDescent="0.3"/>
    <row r="260" s="87" customFormat="1" x14ac:dyDescent="0.3"/>
    <row r="261" s="87" customFormat="1" x14ac:dyDescent="0.3"/>
    <row r="262" s="87" customFormat="1" x14ac:dyDescent="0.3"/>
    <row r="263" s="87" customFormat="1" x14ac:dyDescent="0.3"/>
    <row r="264" s="87" customFormat="1" x14ac:dyDescent="0.3"/>
    <row r="265" s="87" customFormat="1" x14ac:dyDescent="0.3"/>
    <row r="266" s="87" customFormat="1" x14ac:dyDescent="0.3"/>
    <row r="267" s="87" customFormat="1" x14ac:dyDescent="0.3"/>
    <row r="268" s="87" customFormat="1" x14ac:dyDescent="0.3"/>
    <row r="269" s="87" customFormat="1" x14ac:dyDescent="0.3"/>
    <row r="270" s="87" customFormat="1" x14ac:dyDescent="0.3"/>
    <row r="271" s="87" customFormat="1" x14ac:dyDescent="0.3"/>
    <row r="272" s="87" customFormat="1" x14ac:dyDescent="0.3"/>
    <row r="273" s="87" customFormat="1" x14ac:dyDescent="0.3"/>
    <row r="274" s="87" customFormat="1" x14ac:dyDescent="0.3"/>
    <row r="275" s="87" customFormat="1" x14ac:dyDescent="0.3"/>
    <row r="276" s="87" customFormat="1" x14ac:dyDescent="0.3"/>
    <row r="277" s="87" customFormat="1" x14ac:dyDescent="0.3"/>
    <row r="278" s="87" customFormat="1" x14ac:dyDescent="0.3"/>
    <row r="279" s="87" customFormat="1" x14ac:dyDescent="0.3"/>
    <row r="280" s="87" customFormat="1" x14ac:dyDescent="0.3"/>
    <row r="281" s="87" customFormat="1" x14ac:dyDescent="0.3"/>
    <row r="282" s="87" customFormat="1" x14ac:dyDescent="0.3"/>
    <row r="283" s="87" customFormat="1" x14ac:dyDescent="0.3"/>
    <row r="284" s="87" customFormat="1" x14ac:dyDescent="0.3"/>
    <row r="285" s="87" customFormat="1" x14ac:dyDescent="0.3"/>
    <row r="286" s="87" customFormat="1" x14ac:dyDescent="0.3"/>
    <row r="287" s="87" customFormat="1" x14ac:dyDescent="0.3"/>
    <row r="288" s="87" customFormat="1" x14ac:dyDescent="0.3"/>
    <row r="289" s="87" customFormat="1" x14ac:dyDescent="0.3"/>
    <row r="290" s="87" customFormat="1" x14ac:dyDescent="0.3"/>
    <row r="291" s="87" customFormat="1" x14ac:dyDescent="0.3"/>
    <row r="292" s="87" customFormat="1" x14ac:dyDescent="0.3"/>
    <row r="293" s="87" customFormat="1" x14ac:dyDescent="0.3"/>
    <row r="294" s="87" customFormat="1" x14ac:dyDescent="0.3"/>
    <row r="295" s="87" customFormat="1" x14ac:dyDescent="0.3"/>
    <row r="296" s="87" customFormat="1" x14ac:dyDescent="0.3"/>
    <row r="297" s="87" customFormat="1" x14ac:dyDescent="0.3"/>
    <row r="298" s="87" customFormat="1" x14ac:dyDescent="0.3"/>
    <row r="299" s="87" customFormat="1" x14ac:dyDescent="0.3"/>
    <row r="300" s="87" customFormat="1" x14ac:dyDescent="0.3"/>
    <row r="301" s="87" customFormat="1" x14ac:dyDescent="0.3"/>
    <row r="302" s="87" customFormat="1" x14ac:dyDescent="0.3"/>
    <row r="303" s="87" customFormat="1" x14ac:dyDescent="0.3"/>
    <row r="304" s="87" customFormat="1" x14ac:dyDescent="0.3"/>
    <row r="305" s="87" customFormat="1" x14ac:dyDescent="0.3"/>
    <row r="306" s="87" customFormat="1" x14ac:dyDescent="0.3"/>
    <row r="307" s="87" customFormat="1" x14ac:dyDescent="0.3"/>
    <row r="308" s="87" customFormat="1" x14ac:dyDescent="0.3"/>
    <row r="309" s="87" customFormat="1" x14ac:dyDescent="0.3"/>
    <row r="310" s="87" customFormat="1" x14ac:dyDescent="0.3"/>
    <row r="311" s="87" customFormat="1" x14ac:dyDescent="0.3"/>
    <row r="312" s="87" customFormat="1" x14ac:dyDescent="0.3"/>
    <row r="313" s="87" customFormat="1" x14ac:dyDescent="0.3"/>
    <row r="314" s="87" customFormat="1" x14ac:dyDescent="0.3"/>
    <row r="315" s="87" customFormat="1" x14ac:dyDescent="0.3"/>
    <row r="316" s="87" customFormat="1" x14ac:dyDescent="0.3"/>
    <row r="317" s="87" customFormat="1" x14ac:dyDescent="0.3"/>
    <row r="318" s="87" customFormat="1" x14ac:dyDescent="0.3"/>
    <row r="319" s="87" customFormat="1" x14ac:dyDescent="0.3"/>
    <row r="320" s="87" customFormat="1" x14ac:dyDescent="0.3"/>
    <row r="321" s="87" customFormat="1" x14ac:dyDescent="0.3"/>
    <row r="322" s="87" customFormat="1" x14ac:dyDescent="0.3"/>
    <row r="323" s="87" customFormat="1" x14ac:dyDescent="0.3"/>
    <row r="324" s="87" customFormat="1" x14ac:dyDescent="0.3"/>
    <row r="325" s="87" customFormat="1" x14ac:dyDescent="0.3"/>
    <row r="326" s="87" customFormat="1" x14ac:dyDescent="0.3"/>
    <row r="327" s="87" customFormat="1" x14ac:dyDescent="0.3"/>
    <row r="328" s="87" customFormat="1" x14ac:dyDescent="0.3"/>
    <row r="329" s="87" customFormat="1" x14ac:dyDescent="0.3"/>
    <row r="330" s="87" customFormat="1" x14ac:dyDescent="0.3"/>
    <row r="331" s="87" customFormat="1" x14ac:dyDescent="0.3"/>
    <row r="332" s="87" customFormat="1" x14ac:dyDescent="0.3"/>
    <row r="333" s="87" customFormat="1" x14ac:dyDescent="0.3"/>
    <row r="334" s="87" customFormat="1" x14ac:dyDescent="0.3"/>
    <row r="335" s="87" customFormat="1" x14ac:dyDescent="0.3"/>
    <row r="336" s="87" customFormat="1" x14ac:dyDescent="0.3"/>
    <row r="337" s="87" customFormat="1" x14ac:dyDescent="0.3"/>
    <row r="338" s="87" customFormat="1" x14ac:dyDescent="0.3"/>
    <row r="339" s="87" customFormat="1" x14ac:dyDescent="0.3"/>
    <row r="340" s="87" customFormat="1" x14ac:dyDescent="0.3"/>
    <row r="341" s="87" customFormat="1" x14ac:dyDescent="0.3"/>
    <row r="342" s="87" customFormat="1" x14ac:dyDescent="0.3"/>
    <row r="343" s="87" customFormat="1" x14ac:dyDescent="0.3"/>
    <row r="344" s="87" customFormat="1" x14ac:dyDescent="0.3"/>
    <row r="345" s="87" customFormat="1" x14ac:dyDescent="0.3"/>
    <row r="346" s="87" customFormat="1" x14ac:dyDescent="0.3"/>
    <row r="347" s="87" customFormat="1" x14ac:dyDescent="0.3"/>
    <row r="348" s="87" customFormat="1" x14ac:dyDescent="0.3"/>
    <row r="349" s="87" customFormat="1" x14ac:dyDescent="0.3"/>
    <row r="350" s="87" customFormat="1" x14ac:dyDescent="0.3"/>
    <row r="351" s="87" customFormat="1" x14ac:dyDescent="0.3"/>
    <row r="352" s="87" customFormat="1" x14ac:dyDescent="0.3"/>
    <row r="353" s="87" customFormat="1" x14ac:dyDescent="0.3"/>
    <row r="354" s="87" customFormat="1" x14ac:dyDescent="0.3"/>
    <row r="355" s="87" customFormat="1" x14ac:dyDescent="0.3"/>
    <row r="356" s="87" customFormat="1" x14ac:dyDescent="0.3"/>
    <row r="357" s="87" customFormat="1" x14ac:dyDescent="0.3"/>
    <row r="358" s="87" customFormat="1" x14ac:dyDescent="0.3"/>
    <row r="359" s="87" customFormat="1" x14ac:dyDescent="0.3"/>
    <row r="360" s="87" customFormat="1" x14ac:dyDescent="0.3"/>
    <row r="361" s="87" customFormat="1" x14ac:dyDescent="0.3"/>
    <row r="362" s="87" customFormat="1" x14ac:dyDescent="0.3"/>
    <row r="363" s="87" customFormat="1" x14ac:dyDescent="0.3"/>
    <row r="364" s="87" customFormat="1" x14ac:dyDescent="0.3"/>
    <row r="365" s="87" customFormat="1" x14ac:dyDescent="0.3"/>
    <row r="366" s="87" customFormat="1" x14ac:dyDescent="0.3"/>
    <row r="367" s="87" customFormat="1" x14ac:dyDescent="0.3"/>
    <row r="368" s="87" customFormat="1" x14ac:dyDescent="0.3"/>
    <row r="369" s="87" customFormat="1" x14ac:dyDescent="0.3"/>
    <row r="370" s="87" customFormat="1" x14ac:dyDescent="0.3"/>
    <row r="371" s="87" customFormat="1" x14ac:dyDescent="0.3"/>
    <row r="372" s="87" customFormat="1" x14ac:dyDescent="0.3"/>
    <row r="373" s="87" customFormat="1" x14ac:dyDescent="0.3"/>
    <row r="374" s="87" customFormat="1" x14ac:dyDescent="0.3"/>
    <row r="375" s="87" customFormat="1" x14ac:dyDescent="0.3"/>
    <row r="376" s="87" customFormat="1" x14ac:dyDescent="0.3"/>
    <row r="377" s="87" customFormat="1" x14ac:dyDescent="0.3"/>
    <row r="378" s="87" customFormat="1" x14ac:dyDescent="0.3"/>
    <row r="379" s="87" customFormat="1" x14ac:dyDescent="0.3"/>
    <row r="380" s="87" customFormat="1" x14ac:dyDescent="0.3"/>
    <row r="381" s="87" customFormat="1" x14ac:dyDescent="0.3"/>
    <row r="382" s="87" customFormat="1" x14ac:dyDescent="0.3"/>
    <row r="383" s="87" customFormat="1" x14ac:dyDescent="0.3"/>
    <row r="384" s="87" customFormat="1" x14ac:dyDescent="0.3"/>
    <row r="385" s="87" customFormat="1" x14ac:dyDescent="0.3"/>
    <row r="386" s="87" customFormat="1" x14ac:dyDescent="0.3"/>
    <row r="387" s="87" customFormat="1" x14ac:dyDescent="0.3"/>
    <row r="388" s="87" customFormat="1" x14ac:dyDescent="0.3"/>
    <row r="389" s="87" customFormat="1" x14ac:dyDescent="0.3"/>
    <row r="390" s="87" customFormat="1" x14ac:dyDescent="0.3"/>
    <row r="391" s="87" customFormat="1" x14ac:dyDescent="0.3"/>
    <row r="392" s="87" customFormat="1" x14ac:dyDescent="0.3"/>
    <row r="393" s="87" customFormat="1" x14ac:dyDescent="0.3"/>
    <row r="394" s="87" customFormat="1" x14ac:dyDescent="0.3"/>
    <row r="395" s="87" customFormat="1" x14ac:dyDescent="0.3"/>
    <row r="396" s="87" customFormat="1" x14ac:dyDescent="0.3"/>
    <row r="397" s="87" customFormat="1" x14ac:dyDescent="0.3"/>
    <row r="398" s="87" customFormat="1" x14ac:dyDescent="0.3"/>
    <row r="399" s="87" customFormat="1" x14ac:dyDescent="0.3"/>
    <row r="400" s="87" customFormat="1" x14ac:dyDescent="0.3"/>
    <row r="401" s="87" customFormat="1" x14ac:dyDescent="0.3"/>
    <row r="402" s="87" customFormat="1" x14ac:dyDescent="0.3"/>
    <row r="403" s="87" customFormat="1" x14ac:dyDescent="0.3"/>
    <row r="404" s="87" customFormat="1" x14ac:dyDescent="0.3"/>
    <row r="405" s="87" customFormat="1" x14ac:dyDescent="0.3"/>
    <row r="406" s="87" customFormat="1" x14ac:dyDescent="0.3"/>
    <row r="407" s="87" customFormat="1" x14ac:dyDescent="0.3"/>
    <row r="408" s="87" customFormat="1" x14ac:dyDescent="0.3"/>
    <row r="409" s="87" customFormat="1" x14ac:dyDescent="0.3"/>
    <row r="410" s="87" customFormat="1" x14ac:dyDescent="0.3"/>
    <row r="411" s="87" customFormat="1" x14ac:dyDescent="0.3"/>
    <row r="412" s="87" customFormat="1" x14ac:dyDescent="0.3"/>
    <row r="413" s="87" customFormat="1" x14ac:dyDescent="0.3"/>
    <row r="414" s="87" customFormat="1" x14ac:dyDescent="0.3"/>
    <row r="415" s="87" customFormat="1" x14ac:dyDescent="0.3"/>
    <row r="416" s="87" customFormat="1" x14ac:dyDescent="0.3"/>
    <row r="417" s="87" customFormat="1" x14ac:dyDescent="0.3"/>
    <row r="418" s="87" customFormat="1" x14ac:dyDescent="0.3"/>
    <row r="419" s="87" customFormat="1" x14ac:dyDescent="0.3"/>
    <row r="420" s="87" customFormat="1" x14ac:dyDescent="0.3"/>
    <row r="421" s="87" customFormat="1" x14ac:dyDescent="0.3"/>
    <row r="422" s="87" customFormat="1" x14ac:dyDescent="0.3"/>
    <row r="423" s="87" customFormat="1" x14ac:dyDescent="0.3"/>
    <row r="424" s="87" customFormat="1" x14ac:dyDescent="0.3"/>
    <row r="425" s="87" customFormat="1" x14ac:dyDescent="0.3"/>
    <row r="426" s="87" customFormat="1" x14ac:dyDescent="0.3"/>
    <row r="427" s="87" customFormat="1" x14ac:dyDescent="0.3"/>
    <row r="428" s="87" customFormat="1" x14ac:dyDescent="0.3"/>
    <row r="429" s="87" customFormat="1" x14ac:dyDescent="0.3"/>
    <row r="430" s="87" customFormat="1" x14ac:dyDescent="0.3"/>
    <row r="431" s="87" customFormat="1" x14ac:dyDescent="0.3"/>
    <row r="432" s="87" customFormat="1" x14ac:dyDescent="0.3"/>
    <row r="433" s="87" customFormat="1" x14ac:dyDescent="0.3"/>
    <row r="434" s="87" customFormat="1" x14ac:dyDescent="0.3"/>
    <row r="435" s="87" customFormat="1" x14ac:dyDescent="0.3"/>
    <row r="436" s="87" customFormat="1" x14ac:dyDescent="0.3"/>
    <row r="437" s="87" customFormat="1" x14ac:dyDescent="0.3"/>
    <row r="438" s="87" customFormat="1" x14ac:dyDescent="0.3"/>
    <row r="439" s="87" customFormat="1" x14ac:dyDescent="0.3"/>
    <row r="440" s="87" customFormat="1" x14ac:dyDescent="0.3"/>
    <row r="441" s="87" customFormat="1" x14ac:dyDescent="0.3"/>
    <row r="442" s="87" customFormat="1" x14ac:dyDescent="0.3"/>
    <row r="443" s="87" customFormat="1" x14ac:dyDescent="0.3"/>
    <row r="444" s="87" customFormat="1" x14ac:dyDescent="0.3"/>
    <row r="445" s="87" customFormat="1" x14ac:dyDescent="0.3"/>
    <row r="446" s="87" customFormat="1" x14ac:dyDescent="0.3"/>
    <row r="447" s="87" customFormat="1" x14ac:dyDescent="0.3"/>
    <row r="448" s="87" customFormat="1" x14ac:dyDescent="0.3"/>
    <row r="449" s="87" customFormat="1" x14ac:dyDescent="0.3"/>
    <row r="450" s="87" customFormat="1" x14ac:dyDescent="0.3"/>
    <row r="451" s="87" customFormat="1" x14ac:dyDescent="0.3"/>
    <row r="452" s="87" customFormat="1" x14ac:dyDescent="0.3"/>
    <row r="453" s="87" customFormat="1" x14ac:dyDescent="0.3"/>
    <row r="454" s="87" customFormat="1" x14ac:dyDescent="0.3"/>
    <row r="455" s="87" customFormat="1" x14ac:dyDescent="0.3"/>
    <row r="456" s="87" customFormat="1" x14ac:dyDescent="0.3"/>
    <row r="457" s="87" customFormat="1" x14ac:dyDescent="0.3"/>
    <row r="458" s="87" customFormat="1" x14ac:dyDescent="0.3"/>
    <row r="459" s="87" customFormat="1" x14ac:dyDescent="0.3"/>
    <row r="460" s="87" customFormat="1" x14ac:dyDescent="0.3"/>
    <row r="461" s="87" customFormat="1" x14ac:dyDescent="0.3"/>
    <row r="462" s="87" customFormat="1" x14ac:dyDescent="0.3"/>
    <row r="463" s="87" customFormat="1" x14ac:dyDescent="0.3"/>
    <row r="464" s="87" customFormat="1" x14ac:dyDescent="0.3"/>
    <row r="465" s="87" customFormat="1" x14ac:dyDescent="0.3"/>
    <row r="466" s="87" customFormat="1" x14ac:dyDescent="0.3"/>
    <row r="467" s="87" customFormat="1" x14ac:dyDescent="0.3"/>
    <row r="468" s="87" customFormat="1" x14ac:dyDescent="0.3"/>
    <row r="469" s="87" customFormat="1" x14ac:dyDescent="0.3"/>
    <row r="470" s="87" customFormat="1" x14ac:dyDescent="0.3"/>
    <row r="471" s="87" customFormat="1" x14ac:dyDescent="0.3"/>
    <row r="472" s="87" customFormat="1" x14ac:dyDescent="0.3"/>
    <row r="473" s="87" customFormat="1" x14ac:dyDescent="0.3"/>
    <row r="474" s="87" customFormat="1" x14ac:dyDescent="0.3"/>
    <row r="475" s="87" customFormat="1" x14ac:dyDescent="0.3"/>
    <row r="476" s="87" customFormat="1" x14ac:dyDescent="0.3"/>
    <row r="477" s="87" customFormat="1" x14ac:dyDescent="0.3"/>
    <row r="478" s="87" customFormat="1" x14ac:dyDescent="0.3"/>
    <row r="479" s="87" customFormat="1" x14ac:dyDescent="0.3"/>
    <row r="480" s="87" customFormat="1" x14ac:dyDescent="0.3"/>
    <row r="481" s="87" customFormat="1" x14ac:dyDescent="0.3"/>
    <row r="482" s="87" customFormat="1" x14ac:dyDescent="0.3"/>
    <row r="483" s="87" customFormat="1" x14ac:dyDescent="0.3"/>
    <row r="484" s="87" customFormat="1" x14ac:dyDescent="0.3"/>
    <row r="485" s="87" customFormat="1" x14ac:dyDescent="0.3"/>
    <row r="486" s="87" customFormat="1" x14ac:dyDescent="0.3"/>
    <row r="487" s="87" customFormat="1" x14ac:dyDescent="0.3"/>
    <row r="488" s="87" customFormat="1" x14ac:dyDescent="0.3"/>
    <row r="489" s="87" customFormat="1" x14ac:dyDescent="0.3"/>
    <row r="490" s="87" customFormat="1" x14ac:dyDescent="0.3"/>
    <row r="491" s="87" customFormat="1" x14ac:dyDescent="0.3"/>
    <row r="492" s="87" customFormat="1" x14ac:dyDescent="0.3"/>
    <row r="493" s="87" customFormat="1" x14ac:dyDescent="0.3"/>
    <row r="494" s="87" customFormat="1" x14ac:dyDescent="0.3"/>
    <row r="495" s="87" customFormat="1" x14ac:dyDescent="0.3"/>
    <row r="496" s="87" customFormat="1" x14ac:dyDescent="0.3"/>
    <row r="497" s="87" customFormat="1" x14ac:dyDescent="0.3"/>
    <row r="498" s="87" customFormat="1" x14ac:dyDescent="0.3"/>
    <row r="499" s="87" customFormat="1" x14ac:dyDescent="0.3"/>
    <row r="500" s="87" customFormat="1" x14ac:dyDescent="0.3"/>
    <row r="501" s="87" customFormat="1" x14ac:dyDescent="0.3"/>
    <row r="502" s="87" customFormat="1" x14ac:dyDescent="0.3"/>
    <row r="503" s="87" customFormat="1" x14ac:dyDescent="0.3"/>
    <row r="504" s="87" customFormat="1" x14ac:dyDescent="0.3"/>
    <row r="505" s="87" customFormat="1" x14ac:dyDescent="0.3"/>
    <row r="506" s="87" customFormat="1" x14ac:dyDescent="0.3"/>
    <row r="507" s="87" customFormat="1" x14ac:dyDescent="0.3"/>
    <row r="508" s="87" customFormat="1" x14ac:dyDescent="0.3"/>
    <row r="509" s="87" customFormat="1" x14ac:dyDescent="0.3"/>
    <row r="510" s="87" customFormat="1" x14ac:dyDescent="0.3"/>
    <row r="511" s="87" customFormat="1" x14ac:dyDescent="0.3"/>
    <row r="512" s="87" customFormat="1" x14ac:dyDescent="0.3"/>
    <row r="513" s="87" customFormat="1" x14ac:dyDescent="0.3"/>
    <row r="514" s="87" customFormat="1" x14ac:dyDescent="0.3"/>
    <row r="515" s="87" customFormat="1" x14ac:dyDescent="0.3"/>
    <row r="516" s="87" customFormat="1" x14ac:dyDescent="0.3"/>
    <row r="517" s="87" customFormat="1" x14ac:dyDescent="0.3"/>
    <row r="518" s="87" customFormat="1" x14ac:dyDescent="0.3"/>
    <row r="519" s="87" customFormat="1" x14ac:dyDescent="0.3"/>
    <row r="520" s="87" customFormat="1" x14ac:dyDescent="0.3"/>
    <row r="521" s="87" customFormat="1" x14ac:dyDescent="0.3"/>
    <row r="522" s="87" customFormat="1" x14ac:dyDescent="0.3"/>
    <row r="523" s="87" customFormat="1" x14ac:dyDescent="0.3"/>
    <row r="524" s="87" customFormat="1" x14ac:dyDescent="0.3"/>
    <row r="525" s="87" customFormat="1" x14ac:dyDescent="0.3"/>
    <row r="526" s="87" customFormat="1" x14ac:dyDescent="0.3"/>
    <row r="527" s="87" customFormat="1" x14ac:dyDescent="0.3"/>
    <row r="528" s="87" customFormat="1" x14ac:dyDescent="0.3"/>
    <row r="529" s="87" customFormat="1" x14ac:dyDescent="0.3"/>
    <row r="530" s="87" customFormat="1" x14ac:dyDescent="0.3"/>
    <row r="531" s="87" customFormat="1" x14ac:dyDescent="0.3"/>
    <row r="532" s="87" customFormat="1" x14ac:dyDescent="0.3"/>
    <row r="533" s="87" customFormat="1" x14ac:dyDescent="0.3"/>
    <row r="534" s="87" customFormat="1" x14ac:dyDescent="0.3"/>
    <row r="535" s="87" customFormat="1" x14ac:dyDescent="0.3"/>
    <row r="536" s="87" customFormat="1" x14ac:dyDescent="0.3"/>
    <row r="537" s="87" customFormat="1" x14ac:dyDescent="0.3"/>
    <row r="538" s="87" customFormat="1" x14ac:dyDescent="0.3"/>
    <row r="539" s="87" customFormat="1" x14ac:dyDescent="0.3"/>
    <row r="540" s="87" customFormat="1" x14ac:dyDescent="0.3"/>
    <row r="541" s="87" customFormat="1" x14ac:dyDescent="0.3"/>
    <row r="542" s="87" customFormat="1" x14ac:dyDescent="0.3"/>
    <row r="543" s="87" customFormat="1" x14ac:dyDescent="0.3"/>
    <row r="544" s="87" customFormat="1" x14ac:dyDescent="0.3"/>
    <row r="545" s="87" customFormat="1" x14ac:dyDescent="0.3"/>
    <row r="546" s="87" customFormat="1" x14ac:dyDescent="0.3"/>
    <row r="547" s="87" customFormat="1" x14ac:dyDescent="0.3"/>
    <row r="548" s="87" customFormat="1" x14ac:dyDescent="0.3"/>
    <row r="549" s="87" customFormat="1" x14ac:dyDescent="0.3"/>
    <row r="550" s="87" customFormat="1" x14ac:dyDescent="0.3"/>
    <row r="551" s="87" customFormat="1" x14ac:dyDescent="0.3"/>
    <row r="552" s="87" customFormat="1" x14ac:dyDescent="0.3"/>
    <row r="553" s="87" customFormat="1" x14ac:dyDescent="0.3"/>
    <row r="554" s="87" customFormat="1" x14ac:dyDescent="0.3"/>
    <row r="555" s="87" customFormat="1" x14ac:dyDescent="0.3"/>
    <row r="556" s="87" customFormat="1" x14ac:dyDescent="0.3"/>
    <row r="557" s="87" customFormat="1" x14ac:dyDescent="0.3"/>
    <row r="558" s="87" customFormat="1" x14ac:dyDescent="0.3"/>
    <row r="559" s="87" customFormat="1" x14ac:dyDescent="0.3"/>
    <row r="560" s="87" customFormat="1" x14ac:dyDescent="0.3"/>
    <row r="561" s="87" customFormat="1" x14ac:dyDescent="0.3"/>
    <row r="562" s="87" customFormat="1" x14ac:dyDescent="0.3"/>
    <row r="563" s="87" customFormat="1" x14ac:dyDescent="0.3"/>
    <row r="564" s="87" customFormat="1" x14ac:dyDescent="0.3"/>
    <row r="565" s="87" customFormat="1" x14ac:dyDescent="0.3"/>
    <row r="566" s="87" customFormat="1" x14ac:dyDescent="0.3"/>
    <row r="567" s="87" customFormat="1" x14ac:dyDescent="0.3"/>
    <row r="568" s="87" customFormat="1" x14ac:dyDescent="0.3"/>
    <row r="569" s="87" customFormat="1" x14ac:dyDescent="0.3"/>
    <row r="570" s="87" customFormat="1" x14ac:dyDescent="0.3"/>
    <row r="571" s="87" customFormat="1" x14ac:dyDescent="0.3"/>
    <row r="572" s="87" customFormat="1" x14ac:dyDescent="0.3"/>
    <row r="573" s="87" customFormat="1" x14ac:dyDescent="0.3"/>
    <row r="574" s="87" customFormat="1" x14ac:dyDescent="0.3"/>
    <row r="575" s="87" customFormat="1" x14ac:dyDescent="0.3"/>
    <row r="576" s="87" customFormat="1" x14ac:dyDescent="0.3"/>
    <row r="577" s="87" customFormat="1" x14ac:dyDescent="0.3"/>
    <row r="578" s="87" customFormat="1" x14ac:dyDescent="0.3"/>
    <row r="579" s="87" customFormat="1" x14ac:dyDescent="0.3"/>
    <row r="580" s="87" customFormat="1" x14ac:dyDescent="0.3"/>
    <row r="581" s="87" customFormat="1" x14ac:dyDescent="0.3"/>
    <row r="582" s="87" customFormat="1" x14ac:dyDescent="0.3"/>
    <row r="583" s="87" customFormat="1" x14ac:dyDescent="0.3"/>
    <row r="584" s="87" customFormat="1" x14ac:dyDescent="0.3"/>
    <row r="585" s="87" customFormat="1" x14ac:dyDescent="0.3"/>
    <row r="586" s="87" customFormat="1" x14ac:dyDescent="0.3"/>
    <row r="587" s="87" customFormat="1" x14ac:dyDescent="0.3"/>
    <row r="588" s="87" customFormat="1" x14ac:dyDescent="0.3"/>
    <row r="589" s="87" customFormat="1" x14ac:dyDescent="0.3"/>
    <row r="590" s="87" customFormat="1" x14ac:dyDescent="0.3"/>
    <row r="591" s="87" customFormat="1" x14ac:dyDescent="0.3"/>
    <row r="592" s="87" customFormat="1" x14ac:dyDescent="0.3"/>
    <row r="593" s="87" customFormat="1" x14ac:dyDescent="0.3"/>
    <row r="594" s="87" customFormat="1" x14ac:dyDescent="0.3"/>
    <row r="595" s="87" customFormat="1" x14ac:dyDescent="0.3"/>
    <row r="596" s="87" customFormat="1" x14ac:dyDescent="0.3"/>
    <row r="597" s="87" customFormat="1" x14ac:dyDescent="0.3"/>
    <row r="598" s="87" customFormat="1" x14ac:dyDescent="0.3"/>
    <row r="599" s="87" customFormat="1" x14ac:dyDescent="0.3"/>
    <row r="600" s="87" customFormat="1" x14ac:dyDescent="0.3"/>
    <row r="601" s="87" customFormat="1" x14ac:dyDescent="0.3"/>
    <row r="602" s="87" customFormat="1" x14ac:dyDescent="0.3"/>
    <row r="603" s="87" customFormat="1" x14ac:dyDescent="0.3"/>
    <row r="604" s="87" customFormat="1" x14ac:dyDescent="0.3"/>
    <row r="605" s="87" customFormat="1" x14ac:dyDescent="0.3"/>
    <row r="606" s="87" customFormat="1" x14ac:dyDescent="0.3"/>
    <row r="607" s="87" customFormat="1" x14ac:dyDescent="0.3"/>
    <row r="608" s="87" customFormat="1" x14ac:dyDescent="0.3"/>
    <row r="609" s="87" customFormat="1" x14ac:dyDescent="0.3"/>
    <row r="610" s="87" customFormat="1" x14ac:dyDescent="0.3"/>
    <row r="611" s="87" customFormat="1" x14ac:dyDescent="0.3"/>
    <row r="612" s="87" customFormat="1" x14ac:dyDescent="0.3"/>
    <row r="613" s="87" customFormat="1" x14ac:dyDescent="0.3"/>
    <row r="614" s="87" customFormat="1" x14ac:dyDescent="0.3"/>
    <row r="615" s="87" customFormat="1" x14ac:dyDescent="0.3"/>
    <row r="616" s="87" customFormat="1" x14ac:dyDescent="0.3"/>
    <row r="617" s="87" customFormat="1" x14ac:dyDescent="0.3"/>
    <row r="618" s="87" customFormat="1" x14ac:dyDescent="0.3"/>
    <row r="619" s="87" customFormat="1" x14ac:dyDescent="0.3"/>
    <row r="620" s="87" customFormat="1" x14ac:dyDescent="0.3"/>
    <row r="621" s="87" customFormat="1" x14ac:dyDescent="0.3"/>
    <row r="622" s="87" customFormat="1" x14ac:dyDescent="0.3"/>
    <row r="623" s="87" customFormat="1" x14ac:dyDescent="0.3"/>
    <row r="624" s="87" customFormat="1" x14ac:dyDescent="0.3"/>
    <row r="625" s="87" customFormat="1" x14ac:dyDescent="0.3"/>
    <row r="626" s="87" customFormat="1" x14ac:dyDescent="0.3"/>
    <row r="627" s="87" customFormat="1" x14ac:dyDescent="0.3"/>
    <row r="628" s="87" customFormat="1" x14ac:dyDescent="0.3"/>
    <row r="629" s="87" customFormat="1" x14ac:dyDescent="0.3"/>
    <row r="630" s="87" customFormat="1" x14ac:dyDescent="0.3"/>
    <row r="631" s="87" customFormat="1" x14ac:dyDescent="0.3"/>
    <row r="632" s="87" customFormat="1" x14ac:dyDescent="0.3"/>
    <row r="633" s="87" customFormat="1" x14ac:dyDescent="0.3"/>
    <row r="634" s="87" customFormat="1" x14ac:dyDescent="0.3"/>
    <row r="635" s="87" customFormat="1" x14ac:dyDescent="0.3"/>
    <row r="636" s="87" customFormat="1" x14ac:dyDescent="0.3"/>
    <row r="637" s="87" customFormat="1" x14ac:dyDescent="0.3"/>
    <row r="638" s="87" customFormat="1" x14ac:dyDescent="0.3"/>
    <row r="639" s="87" customFormat="1" x14ac:dyDescent="0.3"/>
    <row r="640" s="87" customFormat="1" x14ac:dyDescent="0.3"/>
    <row r="641" s="87" customFormat="1" x14ac:dyDescent="0.3"/>
    <row r="642" s="87" customFormat="1" x14ac:dyDescent="0.3"/>
    <row r="643" s="87" customFormat="1" x14ac:dyDescent="0.3"/>
    <row r="644" s="87" customFormat="1" x14ac:dyDescent="0.3"/>
    <row r="645" s="87" customFormat="1" x14ac:dyDescent="0.3"/>
    <row r="646" s="87" customFormat="1" x14ac:dyDescent="0.3"/>
    <row r="647" s="87" customFormat="1" x14ac:dyDescent="0.3"/>
    <row r="648" s="87" customFormat="1" x14ac:dyDescent="0.3"/>
    <row r="649" s="87" customFormat="1" x14ac:dyDescent="0.3"/>
    <row r="650" s="87" customFormat="1" x14ac:dyDescent="0.3"/>
    <row r="651" s="87" customFormat="1" x14ac:dyDescent="0.3"/>
    <row r="652" s="87" customFormat="1" x14ac:dyDescent="0.3"/>
    <row r="653" s="87" customFormat="1" x14ac:dyDescent="0.3"/>
    <row r="654" s="87" customFormat="1" x14ac:dyDescent="0.3"/>
    <row r="655" s="87" customFormat="1" x14ac:dyDescent="0.3"/>
    <row r="656" s="87" customFormat="1" x14ac:dyDescent="0.3"/>
    <row r="657" s="87" customFormat="1" x14ac:dyDescent="0.3"/>
    <row r="658" s="87" customFormat="1" x14ac:dyDescent="0.3"/>
    <row r="659" s="87" customFormat="1" x14ac:dyDescent="0.3"/>
    <row r="660" s="87" customFormat="1" x14ac:dyDescent="0.3"/>
    <row r="661" s="87" customFormat="1" x14ac:dyDescent="0.3"/>
    <row r="662" s="87" customFormat="1" x14ac:dyDescent="0.3"/>
    <row r="663" s="87" customFormat="1" x14ac:dyDescent="0.3"/>
    <row r="664" s="87" customFormat="1" x14ac:dyDescent="0.3"/>
    <row r="665" s="87" customFormat="1" x14ac:dyDescent="0.3"/>
    <row r="666" s="87" customFormat="1" x14ac:dyDescent="0.3"/>
    <row r="667" s="87" customFormat="1" x14ac:dyDescent="0.3"/>
    <row r="668" s="87" customFormat="1" x14ac:dyDescent="0.3"/>
    <row r="669" s="87" customFormat="1" x14ac:dyDescent="0.3"/>
    <row r="670" s="87" customFormat="1" x14ac:dyDescent="0.3"/>
    <row r="671" s="87" customFormat="1" x14ac:dyDescent="0.3"/>
    <row r="672" s="87" customFormat="1" x14ac:dyDescent="0.3"/>
    <row r="673" s="87" customFormat="1" x14ac:dyDescent="0.3"/>
    <row r="674" s="87" customFormat="1" x14ac:dyDescent="0.3"/>
    <row r="675" s="87" customFormat="1" x14ac:dyDescent="0.3"/>
    <row r="676" s="87" customFormat="1" x14ac:dyDescent="0.3"/>
    <row r="677" s="87" customFormat="1" x14ac:dyDescent="0.3"/>
    <row r="678" s="87" customFormat="1" x14ac:dyDescent="0.3"/>
    <row r="679" s="87" customFormat="1" x14ac:dyDescent="0.3"/>
    <row r="680" s="87" customFormat="1" x14ac:dyDescent="0.3"/>
    <row r="681" s="87" customFormat="1" x14ac:dyDescent="0.3"/>
    <row r="682" s="87" customFormat="1" x14ac:dyDescent="0.3"/>
    <row r="683" s="87" customFormat="1" x14ac:dyDescent="0.3"/>
    <row r="684" s="87" customFormat="1" x14ac:dyDescent="0.3"/>
    <row r="685" s="87" customFormat="1" x14ac:dyDescent="0.3"/>
    <row r="686" s="87" customFormat="1" x14ac:dyDescent="0.3"/>
    <row r="687" s="87" customFormat="1" x14ac:dyDescent="0.3"/>
    <row r="688" s="87" customFormat="1" x14ac:dyDescent="0.3"/>
    <row r="689" s="87" customFormat="1" x14ac:dyDescent="0.3"/>
    <row r="690" s="87" customFormat="1" x14ac:dyDescent="0.3"/>
    <row r="691" s="87" customFormat="1" x14ac:dyDescent="0.3"/>
    <row r="692" s="87" customFormat="1" x14ac:dyDescent="0.3"/>
    <row r="693" s="87" customFormat="1" x14ac:dyDescent="0.3"/>
    <row r="694" s="87" customFormat="1" x14ac:dyDescent="0.3"/>
    <row r="695" s="87" customFormat="1" x14ac:dyDescent="0.3"/>
    <row r="696" s="87" customFormat="1" x14ac:dyDescent="0.3"/>
    <row r="697" s="87" customFormat="1" x14ac:dyDescent="0.3"/>
    <row r="698" s="87" customFormat="1" x14ac:dyDescent="0.3"/>
    <row r="699" s="87" customFormat="1" x14ac:dyDescent="0.3"/>
    <row r="700" s="87" customFormat="1" x14ac:dyDescent="0.3"/>
    <row r="701" s="87" customFormat="1" x14ac:dyDescent="0.3"/>
    <row r="702" s="87" customFormat="1" x14ac:dyDescent="0.3"/>
    <row r="703" s="87" customFormat="1" x14ac:dyDescent="0.3"/>
    <row r="704" s="87" customFormat="1" x14ac:dyDescent="0.3"/>
    <row r="705" s="87" customFormat="1" x14ac:dyDescent="0.3"/>
    <row r="706" s="87" customFormat="1" x14ac:dyDescent="0.3"/>
    <row r="707" s="87" customFormat="1" x14ac:dyDescent="0.3"/>
    <row r="708" s="87" customFormat="1" x14ac:dyDescent="0.3"/>
    <row r="709" s="87" customFormat="1" x14ac:dyDescent="0.3"/>
    <row r="710" s="87" customFormat="1" x14ac:dyDescent="0.3"/>
    <row r="711" s="87" customFormat="1" x14ac:dyDescent="0.3"/>
    <row r="712" s="87" customFormat="1" x14ac:dyDescent="0.3"/>
    <row r="713" s="87" customFormat="1" x14ac:dyDescent="0.3"/>
    <row r="714" s="87" customFormat="1" x14ac:dyDescent="0.3"/>
    <row r="715" s="87" customFormat="1" x14ac:dyDescent="0.3"/>
    <row r="716" s="87" customFormat="1" x14ac:dyDescent="0.3"/>
    <row r="717" s="87" customFormat="1" x14ac:dyDescent="0.3"/>
    <row r="718" s="87" customFormat="1" x14ac:dyDescent="0.3"/>
    <row r="719" s="87" customFormat="1" x14ac:dyDescent="0.3"/>
    <row r="720" s="87" customFormat="1" x14ac:dyDescent="0.3"/>
    <row r="721" s="87" customFormat="1" x14ac:dyDescent="0.3"/>
    <row r="722" s="87" customFormat="1" x14ac:dyDescent="0.3"/>
    <row r="723" s="87" customFormat="1" x14ac:dyDescent="0.3"/>
    <row r="724" s="87" customFormat="1" x14ac:dyDescent="0.3"/>
    <row r="725" s="87" customFormat="1" x14ac:dyDescent="0.3"/>
    <row r="726" s="87" customFormat="1" x14ac:dyDescent="0.3"/>
    <row r="727" s="87" customFormat="1" x14ac:dyDescent="0.3"/>
    <row r="728" s="87" customFormat="1" x14ac:dyDescent="0.3"/>
    <row r="729" s="87" customFormat="1" x14ac:dyDescent="0.3"/>
    <row r="730" s="87" customFormat="1" x14ac:dyDescent="0.3"/>
    <row r="731" s="87" customFormat="1" x14ac:dyDescent="0.3"/>
    <row r="732" s="87" customFormat="1" x14ac:dyDescent="0.3"/>
    <row r="733" s="87" customFormat="1" x14ac:dyDescent="0.3"/>
    <row r="734" s="87" customFormat="1" x14ac:dyDescent="0.3"/>
    <row r="735" s="87" customFormat="1" x14ac:dyDescent="0.3"/>
    <row r="736" s="87" customFormat="1" x14ac:dyDescent="0.3"/>
    <row r="737" s="87" customFormat="1" x14ac:dyDescent="0.3"/>
    <row r="738" s="87" customFormat="1" x14ac:dyDescent="0.3"/>
    <row r="739" s="87" customFormat="1" x14ac:dyDescent="0.3"/>
    <row r="740" s="87" customFormat="1" x14ac:dyDescent="0.3"/>
    <row r="741" s="87" customFormat="1" x14ac:dyDescent="0.3"/>
    <row r="742" s="87" customFormat="1" x14ac:dyDescent="0.3"/>
    <row r="743" s="87" customFormat="1" x14ac:dyDescent="0.3"/>
    <row r="744" s="87" customFormat="1" x14ac:dyDescent="0.3"/>
    <row r="745" s="87" customFormat="1" x14ac:dyDescent="0.3"/>
    <row r="746" s="87" customFormat="1" x14ac:dyDescent="0.3"/>
  </sheetData>
  <mergeCells count="4">
    <mergeCell ref="I20:N20"/>
    <mergeCell ref="I21:N21"/>
    <mergeCell ref="I18:N18"/>
    <mergeCell ref="I19:N19"/>
  </mergeCells>
  <conditionalFormatting sqref="D19:D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:E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7DC7-DFFA-4AC8-8FF3-517BEE7FB06F}">
  <sheetPr>
    <tabColor rgb="FFFFFF00"/>
  </sheetPr>
  <dimension ref="A1:Q120"/>
  <sheetViews>
    <sheetView topLeftCell="A7" workbookViewId="0">
      <selection activeCell="B19" sqref="B19"/>
    </sheetView>
  </sheetViews>
  <sheetFormatPr defaultRowHeight="14.4" x14ac:dyDescent="0.3"/>
  <cols>
    <col min="1" max="1" width="29.5546875" bestFit="1" customWidth="1"/>
    <col min="2" max="2" width="15.77734375" customWidth="1"/>
    <col min="3" max="7" width="21.88671875" customWidth="1"/>
    <col min="8" max="8" width="22.33203125" customWidth="1"/>
    <col min="9" max="9" width="25" customWidth="1"/>
    <col min="10" max="10" width="16.77734375" customWidth="1"/>
    <col min="11" max="11" width="19" bestFit="1" customWidth="1"/>
    <col min="12" max="12" width="21.88671875" bestFit="1" customWidth="1"/>
    <col min="13" max="13" width="25.6640625" bestFit="1" customWidth="1"/>
    <col min="15" max="15" width="29.5546875" bestFit="1" customWidth="1"/>
    <col min="16" max="16" width="62.88671875" bestFit="1" customWidth="1"/>
  </cols>
  <sheetData>
    <row r="1" spans="1:16" ht="27" x14ac:dyDescent="0.3">
      <c r="A1" s="32" t="s">
        <v>21</v>
      </c>
      <c r="B1" s="32" t="s">
        <v>22</v>
      </c>
      <c r="C1" s="33" t="s">
        <v>23</v>
      </c>
      <c r="D1" s="52" t="s">
        <v>24</v>
      </c>
      <c r="E1" s="54" t="s">
        <v>34</v>
      </c>
      <c r="F1" s="55" t="s">
        <v>35</v>
      </c>
      <c r="G1" s="56" t="s">
        <v>36</v>
      </c>
      <c r="M1" s="5"/>
    </row>
    <row r="2" spans="1:16" x14ac:dyDescent="0.3">
      <c r="A2" s="1" t="s">
        <v>25</v>
      </c>
      <c r="B2" s="2" t="s">
        <v>26</v>
      </c>
      <c r="C2" s="31">
        <v>1.7</v>
      </c>
      <c r="D2" s="60" t="s">
        <v>27</v>
      </c>
      <c r="E2" s="49">
        <f>SUM(C2:C10)</f>
        <v>46.699999999999996</v>
      </c>
      <c r="F2" s="49">
        <f>SUM(D8:D10)</f>
        <v>22</v>
      </c>
      <c r="G2" s="57">
        <f>SUM(E2:F2)</f>
        <v>68.699999999999989</v>
      </c>
      <c r="M2" s="5"/>
      <c r="O2" s="68"/>
      <c r="P2" s="69"/>
    </row>
    <row r="3" spans="1:16" x14ac:dyDescent="0.3">
      <c r="A3" s="3"/>
      <c r="B3" s="2" t="s">
        <v>28</v>
      </c>
      <c r="C3" s="53">
        <v>1.4</v>
      </c>
      <c r="D3" s="61" t="s">
        <v>27</v>
      </c>
      <c r="E3" s="59" t="s">
        <v>38</v>
      </c>
      <c r="F3" s="49"/>
      <c r="G3" s="58"/>
      <c r="M3" s="5"/>
      <c r="O3" s="30"/>
      <c r="P3" s="5"/>
    </row>
    <row r="4" spans="1:16" ht="28.8" customHeight="1" x14ac:dyDescent="0.3">
      <c r="A4" s="3"/>
      <c r="B4" s="2" t="s">
        <v>29</v>
      </c>
      <c r="C4" s="53">
        <v>2.8</v>
      </c>
      <c r="D4" s="61" t="s">
        <v>27</v>
      </c>
      <c r="E4" s="39"/>
      <c r="F4" s="39"/>
      <c r="M4" s="5"/>
      <c r="O4" s="30"/>
      <c r="P4" s="30"/>
    </row>
    <row r="5" spans="1:16" x14ac:dyDescent="0.3">
      <c r="A5" s="3"/>
      <c r="B5" s="2" t="s">
        <v>30</v>
      </c>
      <c r="C5" s="53">
        <v>1.2</v>
      </c>
      <c r="D5" s="61" t="s">
        <v>27</v>
      </c>
      <c r="E5" s="39"/>
      <c r="F5" s="39"/>
      <c r="M5" s="5"/>
      <c r="O5" s="30"/>
      <c r="P5" s="5"/>
    </row>
    <row r="6" spans="1:16" x14ac:dyDescent="0.3">
      <c r="A6" s="3"/>
      <c r="B6" s="2" t="s">
        <v>26</v>
      </c>
      <c r="C6" s="53">
        <v>7.8</v>
      </c>
      <c r="D6" s="61" t="s">
        <v>27</v>
      </c>
      <c r="E6" s="39"/>
      <c r="F6" s="39"/>
      <c r="M6" s="5"/>
      <c r="O6" s="6"/>
      <c r="P6" s="5"/>
    </row>
    <row r="7" spans="1:16" x14ac:dyDescent="0.3">
      <c r="A7" s="3"/>
      <c r="B7" s="2" t="s">
        <v>28</v>
      </c>
      <c r="C7" s="53">
        <v>8.6999999999999993</v>
      </c>
      <c r="D7" s="61" t="s">
        <v>27</v>
      </c>
      <c r="E7" s="39"/>
      <c r="F7" s="39"/>
      <c r="M7" s="5"/>
      <c r="O7" s="5"/>
      <c r="P7" s="5"/>
    </row>
    <row r="8" spans="1:16" x14ac:dyDescent="0.3">
      <c r="A8" s="3"/>
      <c r="B8" s="2" t="s">
        <v>29</v>
      </c>
      <c r="C8" s="53">
        <v>10.3</v>
      </c>
      <c r="D8" s="61">
        <v>2</v>
      </c>
      <c r="E8" s="39"/>
      <c r="F8" s="39"/>
      <c r="M8" s="5"/>
      <c r="O8" s="5"/>
      <c r="P8" s="5"/>
    </row>
    <row r="9" spans="1:16" x14ac:dyDescent="0.3">
      <c r="A9" s="3"/>
      <c r="B9" s="2" t="s">
        <v>31</v>
      </c>
      <c r="C9" s="53">
        <v>10.4</v>
      </c>
      <c r="D9" s="61">
        <v>2</v>
      </c>
      <c r="E9" s="39"/>
      <c r="F9" s="39"/>
      <c r="M9" s="5"/>
      <c r="O9" s="5"/>
      <c r="P9" s="30"/>
    </row>
    <row r="10" spans="1:16" x14ac:dyDescent="0.3">
      <c r="A10" s="1" t="s">
        <v>32</v>
      </c>
      <c r="B10" s="4"/>
      <c r="C10" s="53">
        <v>2.4</v>
      </c>
      <c r="D10" s="61">
        <v>18</v>
      </c>
      <c r="E10" s="39"/>
      <c r="F10" s="39"/>
      <c r="M10" s="5"/>
    </row>
    <row r="11" spans="1:16" x14ac:dyDescent="0.3">
      <c r="A11" s="6"/>
      <c r="B11" s="5"/>
      <c r="C11" s="5"/>
      <c r="D11" s="5"/>
      <c r="E11" s="5"/>
      <c r="F11" s="5"/>
      <c r="G11" s="5"/>
      <c r="M11" s="5"/>
    </row>
    <row r="12" spans="1:16" x14ac:dyDescent="0.3">
      <c r="B12" s="5"/>
      <c r="C12" s="5"/>
      <c r="D12" s="50" t="s">
        <v>51</v>
      </c>
      <c r="E12" s="5"/>
      <c r="F12" s="5"/>
      <c r="G12" s="5"/>
      <c r="H12" s="5"/>
      <c r="M12" s="5"/>
    </row>
    <row r="13" spans="1:16" x14ac:dyDescent="0.3">
      <c r="A13" s="7" t="s">
        <v>0</v>
      </c>
      <c r="B13" s="5"/>
      <c r="C13" s="5"/>
      <c r="D13" s="5"/>
      <c r="E13" s="5"/>
      <c r="F13" s="5"/>
      <c r="G13" s="5"/>
      <c r="J13" s="5"/>
      <c r="K13" s="5"/>
      <c r="L13" s="5"/>
      <c r="M13" s="5"/>
    </row>
    <row r="14" spans="1:16" ht="34.200000000000003" x14ac:dyDescent="0.3">
      <c r="A14" s="34" t="s">
        <v>39</v>
      </c>
      <c r="B14" s="27">
        <v>47</v>
      </c>
      <c r="C14" s="5"/>
      <c r="D14" s="5"/>
      <c r="G14" s="5"/>
      <c r="K14" s="5"/>
      <c r="L14" s="5"/>
      <c r="M14" s="5"/>
    </row>
    <row r="15" spans="1:16" ht="41.4" customHeight="1" x14ac:dyDescent="0.3">
      <c r="A15" s="34" t="s">
        <v>40</v>
      </c>
      <c r="B15" s="27">
        <v>22</v>
      </c>
      <c r="C15" s="5"/>
      <c r="D15" s="5"/>
      <c r="E15" s="35" t="s">
        <v>3</v>
      </c>
      <c r="F15" s="62" t="s">
        <v>2</v>
      </c>
      <c r="G15" s="35" t="s">
        <v>4</v>
      </c>
      <c r="K15" s="5"/>
      <c r="L15" s="5"/>
      <c r="M15" s="5"/>
    </row>
    <row r="16" spans="1:16" ht="44.4" customHeight="1" x14ac:dyDescent="0.3">
      <c r="A16" s="34" t="s">
        <v>5</v>
      </c>
      <c r="B16" s="22">
        <v>2.7E-2</v>
      </c>
      <c r="C16" s="5"/>
      <c r="D16" s="5"/>
      <c r="E16" s="37" t="s">
        <v>59</v>
      </c>
      <c r="F16" s="12">
        <f>L54</f>
        <v>135.27199443593639</v>
      </c>
      <c r="G16" s="24" t="s">
        <v>7</v>
      </c>
      <c r="K16" s="5"/>
      <c r="L16" s="5"/>
      <c r="M16" s="5"/>
    </row>
    <row r="17" spans="1:13" ht="57" x14ac:dyDescent="0.3">
      <c r="A17" s="34" t="s">
        <v>8</v>
      </c>
      <c r="B17" s="23" t="s">
        <v>33</v>
      </c>
      <c r="C17" s="5"/>
      <c r="D17" s="5"/>
      <c r="E17" s="38" t="s">
        <v>9</v>
      </c>
      <c r="F17" s="51">
        <f>L55</f>
        <v>1.1877190514219496</v>
      </c>
      <c r="G17" s="24" t="s">
        <v>10</v>
      </c>
      <c r="K17" s="5"/>
      <c r="L17" s="5"/>
      <c r="M17" s="5"/>
    </row>
    <row r="18" spans="1:13" ht="24" x14ac:dyDescent="0.3">
      <c r="A18" s="34" t="s">
        <v>1</v>
      </c>
      <c r="B18" s="23" t="s">
        <v>47</v>
      </c>
      <c r="C18" s="5"/>
      <c r="D18" s="5"/>
      <c r="E18" s="37" t="s">
        <v>53</v>
      </c>
      <c r="F18" s="26">
        <f>L56</f>
        <v>1.5221785888776651E-2</v>
      </c>
      <c r="G18" s="24" t="s">
        <v>12</v>
      </c>
      <c r="K18" s="14"/>
      <c r="L18" s="14"/>
      <c r="M18" s="14"/>
    </row>
    <row r="19" spans="1:13" ht="45.6" x14ac:dyDescent="0.3">
      <c r="A19" s="34" t="s">
        <v>37</v>
      </c>
      <c r="B19" s="28" t="s">
        <v>57</v>
      </c>
      <c r="C19" s="5"/>
      <c r="D19" s="5"/>
      <c r="E19" s="5"/>
      <c r="F19" s="5"/>
      <c r="G19" s="5"/>
      <c r="H19" s="5"/>
      <c r="I19" s="15"/>
      <c r="J19" s="14"/>
      <c r="K19" s="14"/>
      <c r="L19" s="14"/>
      <c r="M19" s="14"/>
    </row>
    <row r="20" spans="1:13" ht="22.8" x14ac:dyDescent="0.3">
      <c r="A20" s="34" t="s">
        <v>60</v>
      </c>
      <c r="B20" s="21" t="s">
        <v>41</v>
      </c>
      <c r="C20" s="5"/>
      <c r="D20" s="5"/>
      <c r="E20" s="5"/>
      <c r="F20" s="5"/>
      <c r="G20" s="5"/>
      <c r="H20" s="5"/>
      <c r="I20" s="15"/>
      <c r="J20" s="14"/>
      <c r="K20" s="14"/>
      <c r="L20" s="14"/>
      <c r="M20" s="14"/>
    </row>
    <row r="21" spans="1: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7"/>
      <c r="L21" s="5"/>
      <c r="M21" s="16"/>
    </row>
    <row r="22" spans="1:13" ht="34.200000000000003" x14ac:dyDescent="0.3">
      <c r="A22" s="29" t="s">
        <v>13</v>
      </c>
      <c r="B22" s="29" t="s">
        <v>14</v>
      </c>
      <c r="C22" s="29" t="s">
        <v>15</v>
      </c>
      <c r="D22" s="29" t="s">
        <v>42</v>
      </c>
      <c r="E22" s="36" t="s">
        <v>61</v>
      </c>
      <c r="F22" s="29" t="s">
        <v>44</v>
      </c>
      <c r="G22" s="36" t="s">
        <v>62</v>
      </c>
      <c r="H22" s="36" t="s">
        <v>63</v>
      </c>
      <c r="I22" s="29" t="s">
        <v>16</v>
      </c>
      <c r="J22" s="29" t="s">
        <v>17</v>
      </c>
      <c r="K22" s="29" t="s">
        <v>18</v>
      </c>
      <c r="L22" s="29" t="s">
        <v>7</v>
      </c>
      <c r="M22" s="17"/>
    </row>
    <row r="23" spans="1:13" x14ac:dyDescent="0.3">
      <c r="A23" s="19">
        <v>1</v>
      </c>
      <c r="B23" s="12">
        <v>2015</v>
      </c>
      <c r="C23" s="12">
        <v>700</v>
      </c>
      <c r="D23" s="12">
        <v>0</v>
      </c>
      <c r="E23" s="12">
        <v>0</v>
      </c>
      <c r="F23" s="12">
        <v>0</v>
      </c>
      <c r="G23" s="12">
        <v>0</v>
      </c>
      <c r="H23" s="46">
        <f>E23+G23</f>
        <v>0</v>
      </c>
      <c r="I23" s="12">
        <f>H23-C23</f>
        <v>-700</v>
      </c>
      <c r="J23" s="12">
        <v>700</v>
      </c>
      <c r="K23" s="12">
        <v>0</v>
      </c>
      <c r="L23" s="12">
        <v>-700</v>
      </c>
      <c r="M23" s="5"/>
    </row>
    <row r="24" spans="1:13" x14ac:dyDescent="0.3">
      <c r="A24" s="19">
        <f>A23+1</f>
        <v>2</v>
      </c>
      <c r="B24" s="12">
        <f>B23+1</f>
        <v>2016</v>
      </c>
      <c r="C24" s="12">
        <v>2</v>
      </c>
      <c r="D24" s="12">
        <f>B14</f>
        <v>47</v>
      </c>
      <c r="E24" s="46">
        <f>D24*0.95</f>
        <v>44.65</v>
      </c>
      <c r="F24" s="12">
        <v>22</v>
      </c>
      <c r="G24" s="46">
        <f t="shared" ref="G24:G53" si="0">F24*0.9</f>
        <v>19.8</v>
      </c>
      <c r="H24" s="46">
        <f t="shared" ref="H24:H53" si="1">E24+G24</f>
        <v>64.45</v>
      </c>
      <c r="I24" s="12">
        <f t="shared" ref="I24:I53" si="2">H24-C24</f>
        <v>62.45</v>
      </c>
      <c r="J24" s="12">
        <f>(C24)/((1+0.1)^($A24-1))</f>
        <v>1.8181818181818181</v>
      </c>
      <c r="K24" s="12">
        <f>(I24)/((1+0.1)^($A24-1))</f>
        <v>56.772727272727273</v>
      </c>
      <c r="L24" s="12">
        <f t="shared" ref="L24:L53" si="3">K24-J24</f>
        <v>54.954545454545453</v>
      </c>
      <c r="M24" s="18"/>
    </row>
    <row r="25" spans="1:13" x14ac:dyDescent="0.3">
      <c r="A25" s="19">
        <f t="shared" ref="A25:B40" si="4">A24+1</f>
        <v>3</v>
      </c>
      <c r="B25" s="12">
        <f t="shared" si="4"/>
        <v>2017</v>
      </c>
      <c r="C25" s="12">
        <f>C24</f>
        <v>2</v>
      </c>
      <c r="D25" s="12">
        <f>D24*(1+$B$16)</f>
        <v>48.268999999999998</v>
      </c>
      <c r="E25" s="46">
        <f t="shared" ref="E25:E53" si="5">D25*0.95</f>
        <v>45.855549999999994</v>
      </c>
      <c r="F25" s="12">
        <f t="shared" ref="D25:F53" si="6">F24*(1+$B$16)</f>
        <v>22.593999999999998</v>
      </c>
      <c r="G25" s="46">
        <f t="shared" si="0"/>
        <v>20.334599999999998</v>
      </c>
      <c r="H25" s="46">
        <f t="shared" si="1"/>
        <v>66.190149999999988</v>
      </c>
      <c r="I25" s="12">
        <f t="shared" si="2"/>
        <v>64.190149999999988</v>
      </c>
      <c r="J25" s="12">
        <f t="shared" ref="J25:J37" si="7">(C25)/((1+0.1)^($A25-1))</f>
        <v>1.6528925619834709</v>
      </c>
      <c r="K25" s="12">
        <f t="shared" ref="K25:K37" si="8">(I25)/((1+0.1)^($A25-1))</f>
        <v>53.049710743801633</v>
      </c>
      <c r="L25" s="12">
        <f t="shared" si="3"/>
        <v>51.396818181818162</v>
      </c>
      <c r="M25" s="18"/>
    </row>
    <row r="26" spans="1:13" x14ac:dyDescent="0.3">
      <c r="A26" s="19">
        <f t="shared" si="4"/>
        <v>4</v>
      </c>
      <c r="B26" s="12">
        <f t="shared" si="4"/>
        <v>2018</v>
      </c>
      <c r="C26" s="12">
        <f t="shared" ref="C26:C52" si="9">C25</f>
        <v>2</v>
      </c>
      <c r="D26" s="12">
        <f t="shared" si="6"/>
        <v>49.572262999999992</v>
      </c>
      <c r="E26" s="46">
        <f t="shared" si="5"/>
        <v>47.093649849999991</v>
      </c>
      <c r="F26" s="12">
        <f t="shared" ref="F26" si="10">F25*(1+$B$16)</f>
        <v>23.204037999999997</v>
      </c>
      <c r="G26" s="46">
        <f t="shared" si="0"/>
        <v>20.883634199999999</v>
      </c>
      <c r="H26" s="46">
        <f t="shared" si="1"/>
        <v>67.977284049999994</v>
      </c>
      <c r="I26" s="12">
        <f t="shared" si="2"/>
        <v>65.977284049999994</v>
      </c>
      <c r="J26" s="12">
        <f t="shared" si="7"/>
        <v>1.5026296018031551</v>
      </c>
      <c r="K26" s="12">
        <f t="shared" si="8"/>
        <v>49.569710030052576</v>
      </c>
      <c r="L26" s="12">
        <f t="shared" si="3"/>
        <v>48.067080428249419</v>
      </c>
      <c r="M26" s="18"/>
    </row>
    <row r="27" spans="1:13" x14ac:dyDescent="0.3">
      <c r="A27" s="19">
        <f t="shared" si="4"/>
        <v>5</v>
      </c>
      <c r="B27" s="12">
        <f t="shared" si="4"/>
        <v>2019</v>
      </c>
      <c r="C27" s="12">
        <f t="shared" si="9"/>
        <v>2</v>
      </c>
      <c r="D27" s="12">
        <f t="shared" si="6"/>
        <v>50.910714100999989</v>
      </c>
      <c r="E27" s="46">
        <f t="shared" si="5"/>
        <v>48.365178395949989</v>
      </c>
      <c r="F27" s="12">
        <f t="shared" ref="F27" si="11">F26*(1+$B$16)</f>
        <v>23.830547025999994</v>
      </c>
      <c r="G27" s="46">
        <f t="shared" si="0"/>
        <v>21.447492323399995</v>
      </c>
      <c r="H27" s="46">
        <f t="shared" si="1"/>
        <v>69.812670719349981</v>
      </c>
      <c r="I27" s="12">
        <f t="shared" si="2"/>
        <v>67.812670719349981</v>
      </c>
      <c r="J27" s="12">
        <f t="shared" si="7"/>
        <v>1.366026910730141</v>
      </c>
      <c r="K27" s="12">
        <f t="shared" si="8"/>
        <v>46.316966545556973</v>
      </c>
      <c r="L27" s="12">
        <f t="shared" si="3"/>
        <v>44.950939634826831</v>
      </c>
      <c r="M27" s="18"/>
    </row>
    <row r="28" spans="1:13" x14ac:dyDescent="0.3">
      <c r="A28" s="19">
        <f t="shared" si="4"/>
        <v>6</v>
      </c>
      <c r="B28" s="12">
        <f t="shared" si="4"/>
        <v>2020</v>
      </c>
      <c r="C28" s="12">
        <f t="shared" si="9"/>
        <v>2</v>
      </c>
      <c r="D28" s="12">
        <f t="shared" si="6"/>
        <v>52.285303381726983</v>
      </c>
      <c r="E28" s="46">
        <f t="shared" si="5"/>
        <v>49.671038212640632</v>
      </c>
      <c r="F28" s="12">
        <f t="shared" ref="F28" si="12">F27*(1+$B$16)</f>
        <v>24.473971795701992</v>
      </c>
      <c r="G28" s="46">
        <f t="shared" si="0"/>
        <v>22.026574616131793</v>
      </c>
      <c r="H28" s="46">
        <f t="shared" si="1"/>
        <v>71.697612828772421</v>
      </c>
      <c r="I28" s="12">
        <f t="shared" si="2"/>
        <v>69.697612828772421</v>
      </c>
      <c r="J28" s="12">
        <f t="shared" si="7"/>
        <v>1.2418426461183099</v>
      </c>
      <c r="K28" s="12">
        <f t="shared" si="8"/>
        <v>43.276733971706101</v>
      </c>
      <c r="L28" s="12">
        <f t="shared" si="3"/>
        <v>42.034891325587793</v>
      </c>
      <c r="M28" s="18"/>
    </row>
    <row r="29" spans="1:13" x14ac:dyDescent="0.3">
      <c r="A29" s="19">
        <f t="shared" si="4"/>
        <v>7</v>
      </c>
      <c r="B29" s="12">
        <f t="shared" si="4"/>
        <v>2021</v>
      </c>
      <c r="C29" s="12">
        <f t="shared" si="9"/>
        <v>2</v>
      </c>
      <c r="D29" s="12">
        <f t="shared" si="6"/>
        <v>53.697006573033605</v>
      </c>
      <c r="E29" s="46">
        <f t="shared" si="5"/>
        <v>51.01215624438192</v>
      </c>
      <c r="F29" s="12">
        <f t="shared" ref="F29" si="13">F28*(1+$B$16)</f>
        <v>25.134769034185943</v>
      </c>
      <c r="G29" s="46">
        <f t="shared" si="0"/>
        <v>22.621292130767351</v>
      </c>
      <c r="H29" s="46">
        <f t="shared" si="1"/>
        <v>73.633448375149271</v>
      </c>
      <c r="I29" s="12">
        <f t="shared" si="2"/>
        <v>71.633448375149271</v>
      </c>
      <c r="J29" s="12">
        <f t="shared" si="7"/>
        <v>1.1289478601075544</v>
      </c>
      <c r="K29" s="12">
        <f t="shared" si="8"/>
        <v>40.435214127624867</v>
      </c>
      <c r="L29" s="12">
        <f t="shared" si="3"/>
        <v>39.306266267517316</v>
      </c>
      <c r="M29" s="18"/>
    </row>
    <row r="30" spans="1:13" x14ac:dyDescent="0.3">
      <c r="A30" s="19">
        <f t="shared" si="4"/>
        <v>8</v>
      </c>
      <c r="B30" s="12">
        <f t="shared" si="4"/>
        <v>2022</v>
      </c>
      <c r="C30" s="12">
        <f t="shared" si="9"/>
        <v>2</v>
      </c>
      <c r="D30" s="12">
        <f t="shared" si="6"/>
        <v>55.146825750505506</v>
      </c>
      <c r="E30" s="46">
        <f t="shared" si="5"/>
        <v>52.389484462980228</v>
      </c>
      <c r="F30" s="12">
        <f t="shared" ref="F30" si="14">F29*(1+$B$16)</f>
        <v>25.813407798108962</v>
      </c>
      <c r="G30" s="46">
        <f t="shared" si="0"/>
        <v>23.232067018298068</v>
      </c>
      <c r="H30" s="46">
        <f t="shared" si="1"/>
        <v>75.621551481278289</v>
      </c>
      <c r="I30" s="12">
        <f t="shared" si="2"/>
        <v>73.621551481278289</v>
      </c>
      <c r="J30" s="12">
        <f t="shared" si="7"/>
        <v>1.0263162364614129</v>
      </c>
      <c r="K30" s="12">
        <f t="shared" si="8"/>
        <v>37.779496819357846</v>
      </c>
      <c r="L30" s="12">
        <f t="shared" si="3"/>
        <v>36.753180582896434</v>
      </c>
      <c r="M30" s="18"/>
    </row>
    <row r="31" spans="1:13" x14ac:dyDescent="0.3">
      <c r="A31" s="19">
        <f t="shared" si="4"/>
        <v>9</v>
      </c>
      <c r="B31" s="12">
        <f t="shared" si="4"/>
        <v>2023</v>
      </c>
      <c r="C31" s="12">
        <f t="shared" si="9"/>
        <v>2</v>
      </c>
      <c r="D31" s="12">
        <f t="shared" si="6"/>
        <v>56.635790045769149</v>
      </c>
      <c r="E31" s="46">
        <f t="shared" si="5"/>
        <v>53.80400054348069</v>
      </c>
      <c r="F31" s="12">
        <f t="shared" ref="F31" si="15">F30*(1+$B$16)</f>
        <v>26.510369808657902</v>
      </c>
      <c r="G31" s="46">
        <f t="shared" si="0"/>
        <v>23.859332827792112</v>
      </c>
      <c r="H31" s="46">
        <f t="shared" si="1"/>
        <v>77.663333371272799</v>
      </c>
      <c r="I31" s="12">
        <f t="shared" si="2"/>
        <v>75.663333371272799</v>
      </c>
      <c r="J31" s="12">
        <f t="shared" si="7"/>
        <v>0.93301476041946629</v>
      </c>
      <c r="K31" s="12">
        <f t="shared" si="8"/>
        <v>35.297503428968149</v>
      </c>
      <c r="L31" s="12">
        <f t="shared" si="3"/>
        <v>34.364488668548681</v>
      </c>
      <c r="M31" s="18"/>
    </row>
    <row r="32" spans="1:13" x14ac:dyDescent="0.3">
      <c r="A32" s="19">
        <f t="shared" si="4"/>
        <v>10</v>
      </c>
      <c r="B32" s="12">
        <f t="shared" si="4"/>
        <v>2024</v>
      </c>
      <c r="C32" s="12">
        <f t="shared" si="9"/>
        <v>2</v>
      </c>
      <c r="D32" s="12">
        <f t="shared" si="6"/>
        <v>58.164956377004913</v>
      </c>
      <c r="E32" s="46">
        <f t="shared" si="5"/>
        <v>55.256708558154664</v>
      </c>
      <c r="F32" s="12">
        <f t="shared" ref="F32" si="16">F31*(1+$B$16)</f>
        <v>27.226149793491665</v>
      </c>
      <c r="G32" s="46">
        <f t="shared" si="0"/>
        <v>24.503534814142498</v>
      </c>
      <c r="H32" s="46">
        <f t="shared" si="1"/>
        <v>79.760243372297168</v>
      </c>
      <c r="I32" s="12">
        <f t="shared" si="2"/>
        <v>77.760243372297168</v>
      </c>
      <c r="J32" s="12">
        <f t="shared" si="7"/>
        <v>0.84819523674496933</v>
      </c>
      <c r="K32" s="12">
        <f t="shared" si="8"/>
        <v>32.977934018256015</v>
      </c>
      <c r="L32" s="12">
        <f t="shared" si="3"/>
        <v>32.129738781511044</v>
      </c>
      <c r="M32" s="18"/>
    </row>
    <row r="33" spans="1:13" x14ac:dyDescent="0.3">
      <c r="A33" s="19">
        <f t="shared" si="4"/>
        <v>11</v>
      </c>
      <c r="B33" s="12">
        <f t="shared" si="4"/>
        <v>2025</v>
      </c>
      <c r="C33" s="12">
        <f t="shared" si="9"/>
        <v>2</v>
      </c>
      <c r="D33" s="12">
        <f t="shared" si="6"/>
        <v>59.735410199184038</v>
      </c>
      <c r="E33" s="46">
        <f t="shared" si="5"/>
        <v>56.748639689224831</v>
      </c>
      <c r="F33" s="12">
        <f t="shared" ref="F33" si="17">F32*(1+$B$16)</f>
        <v>27.961255837915939</v>
      </c>
      <c r="G33" s="46">
        <f t="shared" si="0"/>
        <v>25.165130254124346</v>
      </c>
      <c r="H33" s="46">
        <f t="shared" si="1"/>
        <v>81.91376994334918</v>
      </c>
      <c r="I33" s="12">
        <f t="shared" si="2"/>
        <v>79.91376994334918</v>
      </c>
      <c r="J33" s="12">
        <f t="shared" si="7"/>
        <v>0.77108657885906295</v>
      </c>
      <c r="K33" s="12">
        <f t="shared" si="8"/>
        <v>30.810217734673667</v>
      </c>
      <c r="L33" s="12">
        <f t="shared" si="3"/>
        <v>30.039131155814605</v>
      </c>
      <c r="M33" s="18"/>
    </row>
    <row r="34" spans="1:13" x14ac:dyDescent="0.3">
      <c r="A34" s="19">
        <f t="shared" si="4"/>
        <v>12</v>
      </c>
      <c r="B34" s="12">
        <f t="shared" si="4"/>
        <v>2026</v>
      </c>
      <c r="C34" s="12">
        <f t="shared" si="9"/>
        <v>2</v>
      </c>
      <c r="D34" s="12">
        <f t="shared" si="6"/>
        <v>61.348266274562</v>
      </c>
      <c r="E34" s="46">
        <f t="shared" si="5"/>
        <v>58.280852960833897</v>
      </c>
      <c r="F34" s="12">
        <f t="shared" ref="F34" si="18">F33*(1+$B$16)</f>
        <v>28.716209745539668</v>
      </c>
      <c r="G34" s="46">
        <f t="shared" si="0"/>
        <v>25.844588770985702</v>
      </c>
      <c r="H34" s="46">
        <f t="shared" si="1"/>
        <v>84.125441731819592</v>
      </c>
      <c r="I34" s="12">
        <f t="shared" si="2"/>
        <v>82.125441731819592</v>
      </c>
      <c r="J34" s="12">
        <f t="shared" si="7"/>
        <v>0.7009877989627844</v>
      </c>
      <c r="K34" s="12">
        <f t="shared" si="8"/>
        <v>28.784466319217309</v>
      </c>
      <c r="L34" s="12">
        <f t="shared" si="3"/>
        <v>28.083478520254523</v>
      </c>
      <c r="M34" s="18"/>
    </row>
    <row r="35" spans="1:13" x14ac:dyDescent="0.3">
      <c r="A35" s="19">
        <f t="shared" si="4"/>
        <v>13</v>
      </c>
      <c r="B35" s="12">
        <f t="shared" si="4"/>
        <v>2027</v>
      </c>
      <c r="C35" s="12">
        <f t="shared" si="9"/>
        <v>2</v>
      </c>
      <c r="D35" s="12">
        <f t="shared" si="6"/>
        <v>63.004669463975169</v>
      </c>
      <c r="E35" s="46">
        <f t="shared" si="5"/>
        <v>59.854435990776409</v>
      </c>
      <c r="F35" s="12">
        <f t="shared" ref="F35" si="19">F34*(1+$B$16)</f>
        <v>29.491547408669238</v>
      </c>
      <c r="G35" s="46">
        <f t="shared" si="0"/>
        <v>26.542392667802314</v>
      </c>
      <c r="H35" s="46">
        <f t="shared" si="1"/>
        <v>86.396828658578727</v>
      </c>
      <c r="I35" s="12">
        <f t="shared" si="2"/>
        <v>84.396828658578727</v>
      </c>
      <c r="J35" s="12">
        <f t="shared" si="7"/>
        <v>0.63726163542071312</v>
      </c>
      <c r="K35" s="12">
        <f t="shared" si="8"/>
        <v>26.891430527643795</v>
      </c>
      <c r="L35" s="12">
        <f t="shared" si="3"/>
        <v>26.254168892223081</v>
      </c>
      <c r="M35" s="18"/>
    </row>
    <row r="36" spans="1:13" x14ac:dyDescent="0.3">
      <c r="A36" s="19">
        <f t="shared" si="4"/>
        <v>14</v>
      </c>
      <c r="B36" s="12">
        <f t="shared" si="4"/>
        <v>2028</v>
      </c>
      <c r="C36" s="12">
        <f t="shared" si="9"/>
        <v>2</v>
      </c>
      <c r="D36" s="12">
        <f t="shared" si="6"/>
        <v>64.705795539502489</v>
      </c>
      <c r="E36" s="46">
        <f t="shared" si="5"/>
        <v>61.47050576252736</v>
      </c>
      <c r="F36" s="12">
        <f t="shared" ref="F36" si="20">F35*(1+$B$16)</f>
        <v>30.287819188703306</v>
      </c>
      <c r="G36" s="46">
        <f t="shared" si="0"/>
        <v>27.259037269832977</v>
      </c>
      <c r="H36" s="46">
        <f t="shared" si="1"/>
        <v>88.72954303236034</v>
      </c>
      <c r="I36" s="12">
        <f t="shared" si="2"/>
        <v>86.72954303236034</v>
      </c>
      <c r="J36" s="12">
        <f t="shared" si="7"/>
        <v>0.57932875947337559</v>
      </c>
      <c r="K36" s="12">
        <f t="shared" si="8"/>
        <v>25.122459287315028</v>
      </c>
      <c r="L36" s="12">
        <f t="shared" si="3"/>
        <v>24.543130527841651</v>
      </c>
      <c r="M36" s="18"/>
    </row>
    <row r="37" spans="1:13" x14ac:dyDescent="0.3">
      <c r="A37" s="19">
        <f t="shared" si="4"/>
        <v>15</v>
      </c>
      <c r="B37" s="12">
        <f t="shared" si="4"/>
        <v>2029</v>
      </c>
      <c r="C37" s="12">
        <f t="shared" si="9"/>
        <v>2</v>
      </c>
      <c r="D37" s="12">
        <f t="shared" si="6"/>
        <v>66.452852019069056</v>
      </c>
      <c r="E37" s="46">
        <f t="shared" si="5"/>
        <v>63.130209418115598</v>
      </c>
      <c r="F37" s="12">
        <f t="shared" ref="F37" si="21">F36*(1+$B$16)</f>
        <v>31.105590306798291</v>
      </c>
      <c r="G37" s="46">
        <f t="shared" si="0"/>
        <v>27.995031276118464</v>
      </c>
      <c r="H37" s="46">
        <f t="shared" si="1"/>
        <v>91.125240694234066</v>
      </c>
      <c r="I37" s="12">
        <f t="shared" si="2"/>
        <v>89.125240694234066</v>
      </c>
      <c r="J37" s="12">
        <f t="shared" si="7"/>
        <v>0.52666250861215946</v>
      </c>
      <c r="K37" s="12">
        <f t="shared" si="8"/>
        <v>23.469461422343919</v>
      </c>
      <c r="L37" s="12">
        <f t="shared" si="3"/>
        <v>22.94279891373176</v>
      </c>
      <c r="M37" s="18"/>
    </row>
    <row r="38" spans="1:13" x14ac:dyDescent="0.3">
      <c r="A38" s="19">
        <f t="shared" si="4"/>
        <v>16</v>
      </c>
      <c r="B38" s="12">
        <f t="shared" si="4"/>
        <v>2030</v>
      </c>
      <c r="C38" s="12">
        <f t="shared" si="9"/>
        <v>2</v>
      </c>
      <c r="D38" s="12">
        <f t="shared" si="6"/>
        <v>68.247079023583908</v>
      </c>
      <c r="E38" s="46">
        <f t="shared" si="5"/>
        <v>64.834725072404709</v>
      </c>
      <c r="F38" s="12">
        <f t="shared" ref="F38" si="22">F37*(1+$B$16)</f>
        <v>31.945441245081842</v>
      </c>
      <c r="G38" s="46">
        <f t="shared" si="0"/>
        <v>28.750897120573658</v>
      </c>
      <c r="H38" s="46">
        <f t="shared" si="1"/>
        <v>93.585622192978363</v>
      </c>
      <c r="I38" s="12">
        <f t="shared" si="2"/>
        <v>91.585622192978363</v>
      </c>
      <c r="J38" s="12">
        <f>(C38)/((1+0.1)^($A38-1))</f>
        <v>0.47878409873832678</v>
      </c>
      <c r="K38" s="12">
        <f>(H38)/((1+0.1)^($A38-1))</f>
        <v>22.40365388826535</v>
      </c>
      <c r="L38" s="12">
        <f t="shared" si="3"/>
        <v>21.924869789527023</v>
      </c>
      <c r="M38" s="18"/>
    </row>
    <row r="39" spans="1:13" x14ac:dyDescent="0.3">
      <c r="A39" s="19">
        <f t="shared" si="4"/>
        <v>17</v>
      </c>
      <c r="B39" s="12">
        <f t="shared" si="4"/>
        <v>2031</v>
      </c>
      <c r="C39" s="12">
        <f t="shared" si="9"/>
        <v>2</v>
      </c>
      <c r="D39" s="12">
        <f t="shared" si="6"/>
        <v>70.089750157220664</v>
      </c>
      <c r="E39" s="46">
        <f t="shared" si="5"/>
        <v>66.58526264935962</v>
      </c>
      <c r="F39" s="12">
        <f t="shared" ref="F39" si="23">F38*(1+$B$16)</f>
        <v>32.807968158699047</v>
      </c>
      <c r="G39" s="46">
        <f t="shared" si="0"/>
        <v>29.527171342829142</v>
      </c>
      <c r="H39" s="46">
        <f t="shared" si="1"/>
        <v>96.112433992188755</v>
      </c>
      <c r="I39" s="12">
        <f t="shared" si="2"/>
        <v>94.112433992188755</v>
      </c>
      <c r="J39" s="12">
        <f t="shared" ref="J39:J53" si="24">(C39)/((1+0.08)^($A39-1))</f>
        <v>0.58378093512201845</v>
      </c>
      <c r="K39" s="12">
        <f t="shared" ref="K39:K53" si="25">(H39)/((1+0.08)^($A39-1))</f>
        <v>28.054303296406612</v>
      </c>
      <c r="L39" s="12">
        <f t="shared" si="3"/>
        <v>27.470522361284594</v>
      </c>
      <c r="M39" s="18"/>
    </row>
    <row r="40" spans="1:13" x14ac:dyDescent="0.3">
      <c r="A40" s="19">
        <f t="shared" si="4"/>
        <v>18</v>
      </c>
      <c r="B40" s="12">
        <f t="shared" si="4"/>
        <v>2032</v>
      </c>
      <c r="C40" s="12">
        <f t="shared" si="9"/>
        <v>2</v>
      </c>
      <c r="D40" s="12">
        <f t="shared" si="6"/>
        <v>71.98217341146561</v>
      </c>
      <c r="E40" s="46">
        <f t="shared" si="5"/>
        <v>68.383064740892323</v>
      </c>
      <c r="F40" s="12">
        <f t="shared" ref="F40" si="26">F39*(1+$B$16)</f>
        <v>33.693783298983917</v>
      </c>
      <c r="G40" s="46">
        <f t="shared" si="0"/>
        <v>30.324404969085524</v>
      </c>
      <c r="H40" s="46">
        <f t="shared" si="1"/>
        <v>98.707469709977843</v>
      </c>
      <c r="I40" s="12">
        <f t="shared" si="2"/>
        <v>96.707469709977843</v>
      </c>
      <c r="J40" s="12">
        <f t="shared" si="24"/>
        <v>0.54053790289075787</v>
      </c>
      <c r="K40" s="12">
        <f t="shared" si="25"/>
        <v>26.677564338342211</v>
      </c>
      <c r="L40" s="12">
        <f t="shared" si="3"/>
        <v>26.137026435451453</v>
      </c>
      <c r="M40" s="18"/>
    </row>
    <row r="41" spans="1:13" x14ac:dyDescent="0.3">
      <c r="A41" s="19">
        <f t="shared" ref="A41:B53" si="27">A40+1</f>
        <v>19</v>
      </c>
      <c r="B41" s="12">
        <f t="shared" si="27"/>
        <v>2033</v>
      </c>
      <c r="C41" s="12">
        <f t="shared" si="9"/>
        <v>2</v>
      </c>
      <c r="D41" s="12">
        <f t="shared" si="6"/>
        <v>73.925692093575179</v>
      </c>
      <c r="E41" s="46">
        <f t="shared" si="5"/>
        <v>70.229407488896413</v>
      </c>
      <c r="F41" s="12">
        <f t="shared" ref="F41" si="28">F40*(1+$B$16)</f>
        <v>34.603515448056477</v>
      </c>
      <c r="G41" s="46">
        <f t="shared" si="0"/>
        <v>31.14316390325083</v>
      </c>
      <c r="H41" s="46">
        <f t="shared" si="1"/>
        <v>101.37257139214725</v>
      </c>
      <c r="I41" s="12">
        <f t="shared" si="2"/>
        <v>99.37257139214725</v>
      </c>
      <c r="J41" s="12">
        <f t="shared" si="24"/>
        <v>0.50049805823218307</v>
      </c>
      <c r="K41" s="12">
        <f t="shared" si="25"/>
        <v>25.368387569886526</v>
      </c>
      <c r="L41" s="12">
        <f t="shared" si="3"/>
        <v>24.867889511654344</v>
      </c>
      <c r="M41" s="18"/>
    </row>
    <row r="42" spans="1:13" x14ac:dyDescent="0.3">
      <c r="A42" s="19">
        <f t="shared" si="27"/>
        <v>20</v>
      </c>
      <c r="B42" s="12">
        <f t="shared" si="27"/>
        <v>2034</v>
      </c>
      <c r="C42" s="12">
        <f t="shared" si="9"/>
        <v>2</v>
      </c>
      <c r="D42" s="12">
        <f t="shared" si="6"/>
        <v>75.921685780101697</v>
      </c>
      <c r="E42" s="46">
        <f t="shared" si="5"/>
        <v>72.125601491096603</v>
      </c>
      <c r="F42" s="12">
        <f t="shared" ref="F42" si="29">F41*(1+$B$16)</f>
        <v>35.537810365154002</v>
      </c>
      <c r="G42" s="46">
        <f t="shared" si="0"/>
        <v>31.984029328638602</v>
      </c>
      <c r="H42" s="46">
        <f t="shared" si="1"/>
        <v>104.1096308197352</v>
      </c>
      <c r="I42" s="12">
        <f t="shared" si="2"/>
        <v>102.1096308197352</v>
      </c>
      <c r="J42" s="12">
        <f t="shared" si="24"/>
        <v>0.46342412799276211</v>
      </c>
      <c r="K42" s="12">
        <f t="shared" si="25"/>
        <v>24.123457439142086</v>
      </c>
      <c r="L42" s="12">
        <f t="shared" si="3"/>
        <v>23.660033311149324</v>
      </c>
      <c r="M42" s="18"/>
    </row>
    <row r="43" spans="1:13" x14ac:dyDescent="0.3">
      <c r="A43" s="19">
        <f t="shared" si="27"/>
        <v>21</v>
      </c>
      <c r="B43" s="12">
        <f t="shared" si="27"/>
        <v>2035</v>
      </c>
      <c r="C43" s="12">
        <f t="shared" si="9"/>
        <v>2</v>
      </c>
      <c r="D43" s="12">
        <f t="shared" si="6"/>
        <v>77.971571296164441</v>
      </c>
      <c r="E43" s="46">
        <f t="shared" si="5"/>
        <v>74.072992731356223</v>
      </c>
      <c r="F43" s="12">
        <f t="shared" ref="F43" si="30">F42*(1+$B$16)</f>
        <v>36.497331245013157</v>
      </c>
      <c r="G43" s="46">
        <f t="shared" si="0"/>
        <v>32.84759812051184</v>
      </c>
      <c r="H43" s="46">
        <f t="shared" si="1"/>
        <v>106.92059085186807</v>
      </c>
      <c r="I43" s="12">
        <f t="shared" si="2"/>
        <v>104.92059085186807</v>
      </c>
      <c r="J43" s="12">
        <f t="shared" si="24"/>
        <v>0.42909641480811306</v>
      </c>
      <c r="K43" s="12">
        <f t="shared" si="25"/>
        <v>22.939621101850861</v>
      </c>
      <c r="L43" s="12">
        <f t="shared" si="3"/>
        <v>22.510524687042746</v>
      </c>
      <c r="M43" s="18"/>
    </row>
    <row r="44" spans="1:13" x14ac:dyDescent="0.3">
      <c r="A44" s="19">
        <f t="shared" si="27"/>
        <v>22</v>
      </c>
      <c r="B44" s="12">
        <f t="shared" si="27"/>
        <v>2036</v>
      </c>
      <c r="C44" s="12">
        <f t="shared" si="9"/>
        <v>2</v>
      </c>
      <c r="D44" s="12">
        <f t="shared" si="6"/>
        <v>80.076803721160871</v>
      </c>
      <c r="E44" s="46">
        <f t="shared" si="5"/>
        <v>76.072963535102829</v>
      </c>
      <c r="F44" s="12">
        <f t="shared" ref="F44" si="31">F43*(1+$B$16)</f>
        <v>37.482759188628506</v>
      </c>
      <c r="G44" s="46">
        <f t="shared" si="0"/>
        <v>33.734483269765654</v>
      </c>
      <c r="H44" s="46">
        <f t="shared" si="1"/>
        <v>109.80744680486848</v>
      </c>
      <c r="I44" s="12">
        <f t="shared" si="2"/>
        <v>107.80744680486848</v>
      </c>
      <c r="J44" s="12">
        <f t="shared" si="24"/>
        <v>0.39731149519269726</v>
      </c>
      <c r="K44" s="12">
        <f t="shared" si="25"/>
        <v>21.813880436667432</v>
      </c>
      <c r="L44" s="12">
        <f t="shared" si="3"/>
        <v>21.416568941474736</v>
      </c>
      <c r="M44" s="18"/>
    </row>
    <row r="45" spans="1:13" x14ac:dyDescent="0.3">
      <c r="A45" s="19">
        <f t="shared" si="27"/>
        <v>23</v>
      </c>
      <c r="B45" s="12">
        <f t="shared" si="27"/>
        <v>2037</v>
      </c>
      <c r="C45" s="12">
        <f t="shared" si="9"/>
        <v>2</v>
      </c>
      <c r="D45" s="12">
        <f t="shared" si="6"/>
        <v>82.23887742163221</v>
      </c>
      <c r="E45" s="46">
        <f t="shared" si="5"/>
        <v>78.126933550550589</v>
      </c>
      <c r="F45" s="12">
        <f t="shared" ref="F45" si="32">F44*(1+$B$16)</f>
        <v>38.494793686721472</v>
      </c>
      <c r="G45" s="46">
        <f t="shared" si="0"/>
        <v>34.645314318049323</v>
      </c>
      <c r="H45" s="46">
        <f t="shared" si="1"/>
        <v>112.77224786859992</v>
      </c>
      <c r="I45" s="12">
        <f t="shared" si="2"/>
        <v>110.77224786859992</v>
      </c>
      <c r="J45" s="12">
        <f t="shared" si="24"/>
        <v>0.36788101406731222</v>
      </c>
      <c r="K45" s="12">
        <f t="shared" si="25"/>
        <v>20.743384452275414</v>
      </c>
      <c r="L45" s="12">
        <f t="shared" si="3"/>
        <v>20.375503438208103</v>
      </c>
      <c r="M45" s="18"/>
    </row>
    <row r="46" spans="1:13" x14ac:dyDescent="0.3">
      <c r="A46" s="19">
        <f t="shared" si="27"/>
        <v>24</v>
      </c>
      <c r="B46" s="12">
        <f t="shared" si="27"/>
        <v>2038</v>
      </c>
      <c r="C46" s="12">
        <f t="shared" si="9"/>
        <v>2</v>
      </c>
      <c r="D46" s="12">
        <f t="shared" si="6"/>
        <v>84.459327112016268</v>
      </c>
      <c r="E46" s="46">
        <f t="shared" si="5"/>
        <v>80.236360756415451</v>
      </c>
      <c r="F46" s="12">
        <f t="shared" ref="F46" si="33">F45*(1+$B$16)</f>
        <v>39.534153116262949</v>
      </c>
      <c r="G46" s="46">
        <f t="shared" si="0"/>
        <v>35.580737804636655</v>
      </c>
      <c r="H46" s="46">
        <f t="shared" si="1"/>
        <v>115.81709856105211</v>
      </c>
      <c r="I46" s="12">
        <f t="shared" si="2"/>
        <v>113.81709856105211</v>
      </c>
      <c r="J46" s="12">
        <f t="shared" si="24"/>
        <v>0.34063056858084467</v>
      </c>
      <c r="K46" s="12">
        <f t="shared" si="25"/>
        <v>19.725422067117453</v>
      </c>
      <c r="L46" s="12">
        <f t="shared" si="3"/>
        <v>19.384791498536607</v>
      </c>
      <c r="M46" s="18"/>
    </row>
    <row r="47" spans="1:13" x14ac:dyDescent="0.3">
      <c r="A47" s="19">
        <f t="shared" si="27"/>
        <v>25</v>
      </c>
      <c r="B47" s="12">
        <f t="shared" si="27"/>
        <v>2039</v>
      </c>
      <c r="C47" s="12">
        <f t="shared" si="9"/>
        <v>2</v>
      </c>
      <c r="D47" s="12">
        <f t="shared" si="6"/>
        <v>86.739728944040706</v>
      </c>
      <c r="E47" s="46">
        <f t="shared" si="5"/>
        <v>82.40274249683867</v>
      </c>
      <c r="F47" s="12">
        <f t="shared" ref="F47" si="34">F46*(1+$B$16)</f>
        <v>40.601575250402043</v>
      </c>
      <c r="G47" s="46">
        <f t="shared" si="0"/>
        <v>36.541417725361839</v>
      </c>
      <c r="H47" s="46">
        <f t="shared" si="1"/>
        <v>118.94416022220051</v>
      </c>
      <c r="I47" s="12">
        <f t="shared" si="2"/>
        <v>116.94416022220051</v>
      </c>
      <c r="J47" s="12">
        <f t="shared" si="24"/>
        <v>0.31539867461189319</v>
      </c>
      <c r="K47" s="12">
        <f t="shared" si="25"/>
        <v>18.757415243453355</v>
      </c>
      <c r="L47" s="12">
        <f t="shared" si="3"/>
        <v>18.442016568841463</v>
      </c>
      <c r="M47" s="18"/>
    </row>
    <row r="48" spans="1:13" x14ac:dyDescent="0.3">
      <c r="A48" s="19">
        <f t="shared" si="27"/>
        <v>26</v>
      </c>
      <c r="B48" s="12">
        <f t="shared" si="27"/>
        <v>2040</v>
      </c>
      <c r="C48" s="12">
        <f t="shared" si="9"/>
        <v>2</v>
      </c>
      <c r="D48" s="12">
        <f t="shared" si="6"/>
        <v>89.081701625529803</v>
      </c>
      <c r="E48" s="46">
        <f t="shared" si="5"/>
        <v>84.627616544253314</v>
      </c>
      <c r="F48" s="12">
        <f t="shared" ref="F48" si="35">F47*(1+$B$16)</f>
        <v>41.697817782162893</v>
      </c>
      <c r="G48" s="46">
        <f t="shared" si="0"/>
        <v>37.528036003946603</v>
      </c>
      <c r="H48" s="46">
        <f t="shared" si="1"/>
        <v>122.15565254819992</v>
      </c>
      <c r="I48" s="12">
        <f t="shared" si="2"/>
        <v>120.15565254819992</v>
      </c>
      <c r="J48" s="12">
        <f t="shared" si="24"/>
        <v>0.292035809825827</v>
      </c>
      <c r="K48" s="12">
        <f t="shared" si="25"/>
        <v>17.836912458357958</v>
      </c>
      <c r="L48" s="12">
        <f t="shared" si="3"/>
        <v>17.544876648532131</v>
      </c>
      <c r="M48" s="18"/>
    </row>
    <row r="49" spans="1:13" x14ac:dyDescent="0.3">
      <c r="A49" s="19">
        <f t="shared" si="27"/>
        <v>27</v>
      </c>
      <c r="B49" s="12">
        <f t="shared" si="27"/>
        <v>2041</v>
      </c>
      <c r="C49" s="12">
        <f t="shared" si="9"/>
        <v>2</v>
      </c>
      <c r="D49" s="12">
        <f t="shared" si="6"/>
        <v>91.486907569419103</v>
      </c>
      <c r="E49" s="46">
        <f t="shared" si="5"/>
        <v>86.912562190948137</v>
      </c>
      <c r="F49" s="12">
        <f t="shared" ref="F49" si="36">F48*(1+$B$16)</f>
        <v>42.823658862281285</v>
      </c>
      <c r="G49" s="46">
        <f t="shared" si="0"/>
        <v>38.541292976053157</v>
      </c>
      <c r="H49" s="46">
        <f t="shared" si="1"/>
        <v>125.45385516700129</v>
      </c>
      <c r="I49" s="12">
        <f t="shared" si="2"/>
        <v>123.45385516700129</v>
      </c>
      <c r="J49" s="12">
        <f t="shared" si="24"/>
        <v>0.27040352761650649</v>
      </c>
      <c r="K49" s="12">
        <f t="shared" si="25"/>
        <v>16.961582495123722</v>
      </c>
      <c r="L49" s="12">
        <f t="shared" si="3"/>
        <v>16.691178967507216</v>
      </c>
      <c r="M49" s="18"/>
    </row>
    <row r="50" spans="1:13" x14ac:dyDescent="0.3">
      <c r="A50" s="19">
        <f t="shared" si="27"/>
        <v>28</v>
      </c>
      <c r="B50" s="12">
        <f t="shared" si="27"/>
        <v>2042</v>
      </c>
      <c r="C50" s="12">
        <f t="shared" si="9"/>
        <v>2</v>
      </c>
      <c r="D50" s="12">
        <f t="shared" si="6"/>
        <v>93.957054073793415</v>
      </c>
      <c r="E50" s="46">
        <f t="shared" si="5"/>
        <v>89.259201370103739</v>
      </c>
      <c r="F50" s="12">
        <f t="shared" ref="F50" si="37">F49*(1+$B$16)</f>
        <v>43.979897651562872</v>
      </c>
      <c r="G50" s="46">
        <f t="shared" si="0"/>
        <v>39.581907886406583</v>
      </c>
      <c r="H50" s="46">
        <f t="shared" si="1"/>
        <v>128.84110925651032</v>
      </c>
      <c r="I50" s="12">
        <f t="shared" si="2"/>
        <v>126.84110925651032</v>
      </c>
      <c r="J50" s="12">
        <f t="shared" si="24"/>
        <v>0.25037363668195045</v>
      </c>
      <c r="K50" s="12">
        <f t="shared" si="25"/>
        <v>16.1292085393445</v>
      </c>
      <c r="L50" s="12">
        <f t="shared" si="3"/>
        <v>15.87883490266255</v>
      </c>
      <c r="M50" s="18"/>
    </row>
    <row r="51" spans="1:13" x14ac:dyDescent="0.3">
      <c r="A51" s="19">
        <f t="shared" si="27"/>
        <v>29</v>
      </c>
      <c r="B51" s="12">
        <f t="shared" si="27"/>
        <v>2043</v>
      </c>
      <c r="C51" s="12">
        <f t="shared" si="9"/>
        <v>2</v>
      </c>
      <c r="D51" s="12">
        <f t="shared" si="6"/>
        <v>96.493894533785834</v>
      </c>
      <c r="E51" s="46">
        <f t="shared" si="5"/>
        <v>91.669199807096533</v>
      </c>
      <c r="F51" s="12">
        <f t="shared" ref="F51" si="38">F50*(1+$B$16)</f>
        <v>45.167354888155067</v>
      </c>
      <c r="G51" s="46">
        <f t="shared" si="0"/>
        <v>40.650619399339561</v>
      </c>
      <c r="H51" s="46">
        <f t="shared" si="1"/>
        <v>132.31981920643608</v>
      </c>
      <c r="I51" s="12">
        <f t="shared" si="2"/>
        <v>130.31981920643608</v>
      </c>
      <c r="J51" s="12">
        <f t="shared" si="24"/>
        <v>0.23182744137217634</v>
      </c>
      <c r="K51" s="12">
        <f t="shared" si="25"/>
        <v>15.337682564728517</v>
      </c>
      <c r="L51" s="12">
        <f t="shared" si="3"/>
        <v>15.10585512335634</v>
      </c>
      <c r="M51" s="18"/>
    </row>
    <row r="52" spans="1:13" x14ac:dyDescent="0.3">
      <c r="A52" s="19">
        <f t="shared" si="27"/>
        <v>30</v>
      </c>
      <c r="B52" s="12">
        <f t="shared" si="27"/>
        <v>2044</v>
      </c>
      <c r="C52" s="12">
        <f t="shared" si="9"/>
        <v>2</v>
      </c>
      <c r="D52" s="12">
        <f t="shared" si="6"/>
        <v>99.099229686198044</v>
      </c>
      <c r="E52" s="46">
        <f t="shared" si="5"/>
        <v>94.144268201888138</v>
      </c>
      <c r="F52" s="12">
        <f t="shared" ref="F52" si="39">F51*(1+$B$16)</f>
        <v>46.386873470135249</v>
      </c>
      <c r="G52" s="46">
        <f t="shared" si="0"/>
        <v>41.748186123121727</v>
      </c>
      <c r="H52" s="46">
        <f t="shared" si="1"/>
        <v>135.89245432500985</v>
      </c>
      <c r="I52" s="12">
        <f t="shared" si="2"/>
        <v>133.89245432500985</v>
      </c>
      <c r="J52" s="12">
        <f t="shared" si="24"/>
        <v>0.21465503830757068</v>
      </c>
      <c r="K52" s="12">
        <f t="shared" si="25"/>
        <v>14.584999994422393</v>
      </c>
      <c r="L52" s="12">
        <f t="shared" si="3"/>
        <v>14.370344956114822</v>
      </c>
      <c r="M52" s="18"/>
    </row>
    <row r="53" spans="1:13" x14ac:dyDescent="0.3">
      <c r="A53" s="19">
        <f t="shared" si="27"/>
        <v>31</v>
      </c>
      <c r="B53" s="12">
        <f t="shared" si="27"/>
        <v>2045</v>
      </c>
      <c r="C53" s="12">
        <f>C52</f>
        <v>2</v>
      </c>
      <c r="D53" s="12">
        <f t="shared" si="6"/>
        <v>101.77490888772539</v>
      </c>
      <c r="E53" s="46">
        <f t="shared" si="5"/>
        <v>96.686163443339112</v>
      </c>
      <c r="F53" s="12">
        <f t="shared" ref="F53" si="40">F52*(1+$B$16)</f>
        <v>47.639319053828899</v>
      </c>
      <c r="G53" s="46">
        <f t="shared" si="0"/>
        <v>42.875387148446009</v>
      </c>
      <c r="H53" s="46">
        <f t="shared" si="1"/>
        <v>139.56155059178514</v>
      </c>
      <c r="I53" s="12">
        <f t="shared" si="2"/>
        <v>137.56155059178514</v>
      </c>
      <c r="J53" s="12">
        <f t="shared" si="24"/>
        <v>0.19875466509960246</v>
      </c>
      <c r="K53" s="12">
        <f t="shared" si="25"/>
        <v>13.869254624325739</v>
      </c>
      <c r="L53" s="12">
        <f t="shared" si="3"/>
        <v>13.670499959226136</v>
      </c>
      <c r="M53" s="18"/>
    </row>
    <row r="54" spans="1:13" x14ac:dyDescent="0.3">
      <c r="A54" s="12"/>
      <c r="B54" s="19" t="s">
        <v>19</v>
      </c>
      <c r="C54" s="19">
        <f t="shared" ref="C54:L54" si="41">SUM(C23:C53)</f>
        <v>760</v>
      </c>
      <c r="D54" s="19">
        <f>SUM(D23:D53)</f>
        <v>2130.475238062746</v>
      </c>
      <c r="E54" s="47">
        <f>SUM(E23:E53)</f>
        <v>2023.9514761596085</v>
      </c>
      <c r="F54" s="47">
        <f t="shared" ref="F54:G54" si="42">SUM(F23:F53)</f>
        <v>997.24372845490245</v>
      </c>
      <c r="G54" s="47">
        <f t="shared" si="42"/>
        <v>897.51935560941229</v>
      </c>
      <c r="H54" s="47">
        <f>SUM(H23:H53)</f>
        <v>2921.4708317690211</v>
      </c>
      <c r="I54" s="19">
        <f t="shared" si="41"/>
        <v>2161.4708317690211</v>
      </c>
      <c r="J54" s="19">
        <f t="shared" si="41"/>
        <v>720.60876832301892</v>
      </c>
      <c r="K54" s="19">
        <f t="shared" si="41"/>
        <v>855.88076275895548</v>
      </c>
      <c r="L54" s="20">
        <f t="shared" si="41"/>
        <v>135.27199443593639</v>
      </c>
      <c r="M54" s="40" t="s">
        <v>20</v>
      </c>
    </row>
    <row r="55" spans="1:13" x14ac:dyDescent="0.3">
      <c r="A55" s="5"/>
      <c r="B55" s="5"/>
      <c r="C55" s="5"/>
      <c r="D55" s="5"/>
      <c r="E55" s="5"/>
      <c r="F55" s="5"/>
      <c r="G55" s="5"/>
      <c r="H55" s="5"/>
      <c r="I55" s="17"/>
      <c r="J55" s="17"/>
      <c r="K55" s="5"/>
      <c r="L55" s="42">
        <f>K54/J54</f>
        <v>1.1877190514219496</v>
      </c>
      <c r="M55" s="40" t="s">
        <v>9</v>
      </c>
    </row>
    <row r="56" spans="1:13" ht="22.8" x14ac:dyDescent="0.3">
      <c r="A56" s="5"/>
      <c r="B56" s="45"/>
      <c r="C56" s="5"/>
      <c r="D56" s="5"/>
      <c r="E56" s="5"/>
      <c r="F56" s="5"/>
      <c r="G56" s="5"/>
      <c r="H56" s="5"/>
      <c r="I56" s="5"/>
      <c r="J56" s="5"/>
      <c r="K56" s="5"/>
      <c r="L56" s="43">
        <f>IRR(L23:L53)</f>
        <v>1.5221785888776651E-2</v>
      </c>
      <c r="M56" s="41" t="s">
        <v>11</v>
      </c>
    </row>
    <row r="71" spans="1:6" x14ac:dyDescent="0.3">
      <c r="D71" s="50" t="s">
        <v>52</v>
      </c>
    </row>
    <row r="74" spans="1:6" x14ac:dyDescent="0.3">
      <c r="A74" s="7" t="s">
        <v>0</v>
      </c>
      <c r="B74" s="5"/>
    </row>
    <row r="75" spans="1:6" ht="34.200000000000003" x14ac:dyDescent="0.3">
      <c r="A75" s="34" t="s">
        <v>39</v>
      </c>
      <c r="B75" s="27">
        <v>47</v>
      </c>
      <c r="F75" s="5"/>
    </row>
    <row r="76" spans="1:6" ht="34.200000000000003" x14ac:dyDescent="0.3">
      <c r="A76" s="34" t="s">
        <v>40</v>
      </c>
      <c r="B76" s="27">
        <v>22</v>
      </c>
      <c r="D76" s="35" t="s">
        <v>3</v>
      </c>
      <c r="E76" s="62" t="s">
        <v>2</v>
      </c>
      <c r="F76" s="35" t="s">
        <v>4</v>
      </c>
    </row>
    <row r="77" spans="1:6" ht="45.6" x14ac:dyDescent="0.3">
      <c r="A77" s="34" t="s">
        <v>5</v>
      </c>
      <c r="B77" s="22">
        <v>2.7E-2</v>
      </c>
      <c r="D77" s="37" t="s">
        <v>59</v>
      </c>
      <c r="E77" s="12">
        <f>L118</f>
        <v>189.6016412427698</v>
      </c>
      <c r="F77" s="24" t="s">
        <v>7</v>
      </c>
    </row>
    <row r="78" spans="1:6" ht="57" x14ac:dyDescent="0.3">
      <c r="A78" s="34" t="s">
        <v>8</v>
      </c>
      <c r="B78" s="23" t="s">
        <v>33</v>
      </c>
      <c r="D78" s="38" t="s">
        <v>9</v>
      </c>
      <c r="E78" s="51">
        <f>L119</f>
        <v>1.3665475686968489</v>
      </c>
      <c r="F78" s="24" t="s">
        <v>10</v>
      </c>
    </row>
    <row r="79" spans="1:6" ht="24" x14ac:dyDescent="0.3">
      <c r="A79" s="34" t="s">
        <v>1</v>
      </c>
      <c r="B79" s="23" t="s">
        <v>47</v>
      </c>
      <c r="D79" s="37" t="s">
        <v>53</v>
      </c>
      <c r="E79" s="26">
        <f>L120</f>
        <v>3.3167086636593623E-2</v>
      </c>
      <c r="F79" s="24" t="s">
        <v>12</v>
      </c>
    </row>
    <row r="80" spans="1:6" ht="45.6" x14ac:dyDescent="0.3">
      <c r="A80" s="34" t="s">
        <v>37</v>
      </c>
      <c r="B80" s="28" t="s">
        <v>50</v>
      </c>
    </row>
    <row r="81" spans="1:17" ht="34.200000000000003" x14ac:dyDescent="0.3">
      <c r="A81" s="34" t="s">
        <v>60</v>
      </c>
      <c r="B81" s="21" t="s">
        <v>49</v>
      </c>
    </row>
    <row r="86" spans="1:17" ht="34.200000000000003" x14ac:dyDescent="0.3">
      <c r="A86" s="29" t="s">
        <v>13</v>
      </c>
      <c r="B86" s="29" t="s">
        <v>14</v>
      </c>
      <c r="C86" s="29" t="s">
        <v>15</v>
      </c>
      <c r="D86" s="29" t="s">
        <v>42</v>
      </c>
      <c r="E86" s="36" t="s">
        <v>61</v>
      </c>
      <c r="F86" s="29" t="s">
        <v>44</v>
      </c>
      <c r="G86" s="36" t="s">
        <v>62</v>
      </c>
      <c r="H86" s="36" t="s">
        <v>63</v>
      </c>
      <c r="I86" s="29" t="s">
        <v>16</v>
      </c>
      <c r="J86" s="29" t="s">
        <v>17</v>
      </c>
      <c r="K86" s="29" t="s">
        <v>18</v>
      </c>
      <c r="L86" s="29" t="s">
        <v>7</v>
      </c>
      <c r="Q86" s="17"/>
    </row>
    <row r="87" spans="1:17" x14ac:dyDescent="0.3">
      <c r="A87" s="19">
        <v>1</v>
      </c>
      <c r="B87" s="12">
        <v>2015</v>
      </c>
      <c r="C87" s="12">
        <v>700</v>
      </c>
      <c r="D87" s="12">
        <v>0</v>
      </c>
      <c r="E87" s="12">
        <v>0</v>
      </c>
      <c r="F87" s="12">
        <v>0</v>
      </c>
      <c r="G87" s="12">
        <v>0</v>
      </c>
      <c r="H87" s="46">
        <f>E87+G87</f>
        <v>0</v>
      </c>
      <c r="I87" s="12">
        <f>H87-C87</f>
        <v>-700</v>
      </c>
      <c r="J87" s="12">
        <v>500</v>
      </c>
      <c r="K87" s="12">
        <v>0</v>
      </c>
      <c r="L87" s="12">
        <f t="shared" ref="L87:L117" si="43">K87-J87</f>
        <v>-500</v>
      </c>
      <c r="Q87" s="5"/>
    </row>
    <row r="88" spans="1:17" x14ac:dyDescent="0.3">
      <c r="A88" s="19">
        <f>A87+1</f>
        <v>2</v>
      </c>
      <c r="B88" s="12">
        <f>B87+1</f>
        <v>2016</v>
      </c>
      <c r="C88" s="12">
        <v>2</v>
      </c>
      <c r="D88" s="12">
        <v>47</v>
      </c>
      <c r="E88" s="46">
        <f>D88*0.95</f>
        <v>44.65</v>
      </c>
      <c r="F88" s="12">
        <v>22</v>
      </c>
      <c r="G88" s="46">
        <f t="shared" ref="G88:G117" si="44">F88*0.9</f>
        <v>19.8</v>
      </c>
      <c r="H88" s="46">
        <f t="shared" ref="H88:H117" si="45">E88+G88</f>
        <v>64.45</v>
      </c>
      <c r="I88" s="12">
        <f>H88-C88</f>
        <v>62.45</v>
      </c>
      <c r="J88" s="12">
        <f>(C88)/((1+0.12)^($A88-1))</f>
        <v>1.7857142857142856</v>
      </c>
      <c r="K88" s="12">
        <f>(H88)/((1+0.12)^($A88-1))</f>
        <v>57.544642857142854</v>
      </c>
      <c r="L88" s="12">
        <f t="shared" si="43"/>
        <v>55.758928571428569</v>
      </c>
      <c r="Q88" s="18"/>
    </row>
    <row r="89" spans="1:17" x14ac:dyDescent="0.3">
      <c r="A89" s="19">
        <f t="shared" ref="A89:B89" si="46">A88+1</f>
        <v>3</v>
      </c>
      <c r="B89" s="12">
        <f t="shared" si="46"/>
        <v>2017</v>
      </c>
      <c r="C89" s="12">
        <f>C88</f>
        <v>2</v>
      </c>
      <c r="D89" s="12">
        <f>D88*(1+$B$77)</f>
        <v>48.268999999999998</v>
      </c>
      <c r="E89" s="46">
        <f t="shared" ref="E89:E117" si="47">D89*0.95</f>
        <v>45.855549999999994</v>
      </c>
      <c r="F89" s="12">
        <f t="shared" ref="F89:F104" si="48">F88*(1+$B$16)</f>
        <v>22.593999999999998</v>
      </c>
      <c r="G89" s="46">
        <f t="shared" si="44"/>
        <v>20.334599999999998</v>
      </c>
      <c r="H89" s="46">
        <f t="shared" si="45"/>
        <v>66.190149999999988</v>
      </c>
      <c r="I89" s="12">
        <f t="shared" ref="I89:I117" si="49">H89-C89</f>
        <v>64.190149999999988</v>
      </c>
      <c r="J89" s="12">
        <f t="shared" ref="J89:J101" si="50">(C89)/((1+0.12)^($A89-1))</f>
        <v>1.5943877551020407</v>
      </c>
      <c r="K89" s="12">
        <f t="shared" ref="K89:K102" si="51">(H89)/((1+0.12)^($A89-1))</f>
        <v>52.766382334183653</v>
      </c>
      <c r="L89" s="12">
        <f t="shared" si="43"/>
        <v>51.171994579081613</v>
      </c>
      <c r="Q89" s="18"/>
    </row>
    <row r="90" spans="1:17" x14ac:dyDescent="0.3">
      <c r="A90" s="19">
        <f t="shared" ref="A90:B90" si="52">A89+1</f>
        <v>4</v>
      </c>
      <c r="B90" s="12">
        <f t="shared" si="52"/>
        <v>2018</v>
      </c>
      <c r="C90" s="12">
        <f t="shared" ref="C90:C116" si="53">C89</f>
        <v>2</v>
      </c>
      <c r="D90" s="12">
        <f>D89*(1+$B$77)</f>
        <v>49.572262999999992</v>
      </c>
      <c r="E90" s="46">
        <f t="shared" si="47"/>
        <v>47.093649849999991</v>
      </c>
      <c r="F90" s="12">
        <f t="shared" si="48"/>
        <v>23.204037999999997</v>
      </c>
      <c r="G90" s="46">
        <f t="shared" si="44"/>
        <v>20.883634199999999</v>
      </c>
      <c r="H90" s="46">
        <f t="shared" si="45"/>
        <v>67.977284049999994</v>
      </c>
      <c r="I90" s="12">
        <f t="shared" si="49"/>
        <v>65.977284049999994</v>
      </c>
      <c r="J90" s="12">
        <f t="shared" si="50"/>
        <v>1.4235604956268217</v>
      </c>
      <c r="K90" s="12">
        <f t="shared" si="51"/>
        <v>48.384888086791619</v>
      </c>
      <c r="L90" s="12">
        <f t="shared" si="43"/>
        <v>46.961327591164796</v>
      </c>
      <c r="Q90" s="18"/>
    </row>
    <row r="91" spans="1:17" x14ac:dyDescent="0.3">
      <c r="A91" s="19">
        <f t="shared" ref="A91:B91" si="54">A90+1</f>
        <v>5</v>
      </c>
      <c r="B91" s="12">
        <f t="shared" si="54"/>
        <v>2019</v>
      </c>
      <c r="C91" s="12">
        <f t="shared" si="53"/>
        <v>2</v>
      </c>
      <c r="D91" s="12">
        <f t="shared" ref="D91:D117" si="55">D90*(1+$B$77)</f>
        <v>50.910714100999989</v>
      </c>
      <c r="E91" s="46">
        <f t="shared" si="47"/>
        <v>48.365178395949989</v>
      </c>
      <c r="F91" s="12">
        <f t="shared" si="48"/>
        <v>23.830547025999994</v>
      </c>
      <c r="G91" s="46">
        <f t="shared" si="44"/>
        <v>21.447492323399995</v>
      </c>
      <c r="H91" s="46">
        <f t="shared" si="45"/>
        <v>69.812670719349981</v>
      </c>
      <c r="I91" s="12">
        <f t="shared" si="49"/>
        <v>67.812670719349981</v>
      </c>
      <c r="J91" s="12">
        <f t="shared" si="50"/>
        <v>1.2710361568096624</v>
      </c>
      <c r="K91" s="12">
        <f t="shared" si="51"/>
        <v>44.367214343870522</v>
      </c>
      <c r="L91" s="12">
        <f t="shared" si="43"/>
        <v>43.096178187060858</v>
      </c>
      <c r="Q91" s="18"/>
    </row>
    <row r="92" spans="1:17" x14ac:dyDescent="0.3">
      <c r="A92" s="19">
        <f t="shared" ref="A92:B92" si="56">A91+1</f>
        <v>6</v>
      </c>
      <c r="B92" s="12">
        <f t="shared" si="56"/>
        <v>2020</v>
      </c>
      <c r="C92" s="12">
        <f t="shared" si="53"/>
        <v>2</v>
      </c>
      <c r="D92" s="12">
        <f t="shared" si="55"/>
        <v>52.285303381726983</v>
      </c>
      <c r="E92" s="46">
        <f t="shared" si="47"/>
        <v>49.671038212640632</v>
      </c>
      <c r="F92" s="12">
        <f t="shared" si="48"/>
        <v>24.473971795701992</v>
      </c>
      <c r="G92" s="46">
        <f t="shared" si="44"/>
        <v>22.026574616131793</v>
      </c>
      <c r="H92" s="46">
        <f t="shared" si="45"/>
        <v>71.697612828772421</v>
      </c>
      <c r="I92" s="12">
        <f t="shared" si="49"/>
        <v>69.697612828772421</v>
      </c>
      <c r="J92" s="12">
        <f t="shared" si="50"/>
        <v>1.1348537114371984</v>
      </c>
      <c r="K92" s="12">
        <f t="shared" si="51"/>
        <v>40.683151009959836</v>
      </c>
      <c r="L92" s="12">
        <f t="shared" si="43"/>
        <v>39.548297298522641</v>
      </c>
      <c r="Q92" s="18"/>
    </row>
    <row r="93" spans="1:17" x14ac:dyDescent="0.3">
      <c r="A93" s="19">
        <f t="shared" ref="A93:B93" si="57">A92+1</f>
        <v>7</v>
      </c>
      <c r="B93" s="12">
        <f t="shared" si="57"/>
        <v>2021</v>
      </c>
      <c r="C93" s="12">
        <f t="shared" si="53"/>
        <v>2</v>
      </c>
      <c r="D93" s="12">
        <f t="shared" si="55"/>
        <v>53.697006573033605</v>
      </c>
      <c r="E93" s="46">
        <f t="shared" si="47"/>
        <v>51.01215624438192</v>
      </c>
      <c r="F93" s="12">
        <f t="shared" si="48"/>
        <v>25.134769034185943</v>
      </c>
      <c r="G93" s="46">
        <f t="shared" si="44"/>
        <v>22.621292130767351</v>
      </c>
      <c r="H93" s="46">
        <f t="shared" si="45"/>
        <v>73.633448375149271</v>
      </c>
      <c r="I93" s="12">
        <f t="shared" si="49"/>
        <v>71.633448375149271</v>
      </c>
      <c r="J93" s="12">
        <f t="shared" si="50"/>
        <v>1.0132622423546414</v>
      </c>
      <c r="K93" s="12">
        <f t="shared" si="51"/>
        <v>37.304996506454238</v>
      </c>
      <c r="L93" s="12">
        <f t="shared" si="43"/>
        <v>36.291734264099595</v>
      </c>
      <c r="Q93" s="18"/>
    </row>
    <row r="94" spans="1:17" x14ac:dyDescent="0.3">
      <c r="A94" s="19">
        <f t="shared" ref="A94:B94" si="58">A93+1</f>
        <v>8</v>
      </c>
      <c r="B94" s="12">
        <f t="shared" si="58"/>
        <v>2022</v>
      </c>
      <c r="C94" s="12">
        <f t="shared" si="53"/>
        <v>2</v>
      </c>
      <c r="D94" s="12">
        <f t="shared" si="55"/>
        <v>55.146825750505506</v>
      </c>
      <c r="E94" s="46">
        <f t="shared" si="47"/>
        <v>52.389484462980228</v>
      </c>
      <c r="F94" s="12">
        <f t="shared" si="48"/>
        <v>25.813407798108962</v>
      </c>
      <c r="G94" s="46">
        <f t="shared" si="44"/>
        <v>23.232067018298068</v>
      </c>
      <c r="H94" s="46">
        <f t="shared" si="45"/>
        <v>75.621551481278289</v>
      </c>
      <c r="I94" s="12">
        <f t="shared" si="49"/>
        <v>73.621551481278289</v>
      </c>
      <c r="J94" s="12">
        <f t="shared" si="50"/>
        <v>0.90469843067378686</v>
      </c>
      <c r="K94" s="12">
        <f t="shared" si="51"/>
        <v>34.207349475114725</v>
      </c>
      <c r="L94" s="12">
        <f t="shared" si="43"/>
        <v>33.302651044440935</v>
      </c>
      <c r="Q94" s="18"/>
    </row>
    <row r="95" spans="1:17" x14ac:dyDescent="0.3">
      <c r="A95" s="19">
        <f t="shared" ref="A95:B95" si="59">A94+1</f>
        <v>9</v>
      </c>
      <c r="B95" s="12">
        <f t="shared" si="59"/>
        <v>2023</v>
      </c>
      <c r="C95" s="12">
        <f t="shared" si="53"/>
        <v>2</v>
      </c>
      <c r="D95" s="12">
        <f t="shared" si="55"/>
        <v>56.635790045769149</v>
      </c>
      <c r="E95" s="46">
        <f t="shared" si="47"/>
        <v>53.80400054348069</v>
      </c>
      <c r="F95" s="12">
        <f t="shared" si="48"/>
        <v>26.510369808657902</v>
      </c>
      <c r="G95" s="46">
        <f t="shared" si="44"/>
        <v>23.859332827792112</v>
      </c>
      <c r="H95" s="46">
        <f t="shared" si="45"/>
        <v>77.663333371272799</v>
      </c>
      <c r="I95" s="12">
        <f t="shared" si="49"/>
        <v>75.663333371272799</v>
      </c>
      <c r="J95" s="12">
        <f t="shared" si="50"/>
        <v>0.80776645595873819</v>
      </c>
      <c r="K95" s="12">
        <f t="shared" si="51"/>
        <v>31.366917777627517</v>
      </c>
      <c r="L95" s="12">
        <f t="shared" si="43"/>
        <v>30.559151321668779</v>
      </c>
      <c r="Q95" s="18"/>
    </row>
    <row r="96" spans="1:17" x14ac:dyDescent="0.3">
      <c r="A96" s="19">
        <f t="shared" ref="A96:B96" si="60">A95+1</f>
        <v>10</v>
      </c>
      <c r="B96" s="12">
        <f t="shared" si="60"/>
        <v>2024</v>
      </c>
      <c r="C96" s="12">
        <f t="shared" si="53"/>
        <v>2</v>
      </c>
      <c r="D96" s="12">
        <f t="shared" si="55"/>
        <v>58.164956377004913</v>
      </c>
      <c r="E96" s="46">
        <f t="shared" si="47"/>
        <v>55.256708558154664</v>
      </c>
      <c r="F96" s="12">
        <f t="shared" si="48"/>
        <v>27.226149793491665</v>
      </c>
      <c r="G96" s="46">
        <f t="shared" si="44"/>
        <v>24.503534814142498</v>
      </c>
      <c r="H96" s="46">
        <f t="shared" si="45"/>
        <v>79.760243372297168</v>
      </c>
      <c r="I96" s="12">
        <f t="shared" si="49"/>
        <v>77.760243372297168</v>
      </c>
      <c r="J96" s="12">
        <f t="shared" si="50"/>
        <v>0.72122004996315914</v>
      </c>
      <c r="K96" s="12">
        <f t="shared" si="51"/>
        <v>28.762343355020949</v>
      </c>
      <c r="L96" s="12">
        <f t="shared" si="43"/>
        <v>28.041123305057791</v>
      </c>
      <c r="Q96" s="18"/>
    </row>
    <row r="97" spans="1:17" x14ac:dyDescent="0.3">
      <c r="A97" s="19">
        <f t="shared" ref="A97:B97" si="61">A96+1</f>
        <v>11</v>
      </c>
      <c r="B97" s="12">
        <f t="shared" si="61"/>
        <v>2025</v>
      </c>
      <c r="C97" s="12">
        <f t="shared" si="53"/>
        <v>2</v>
      </c>
      <c r="D97" s="12">
        <f t="shared" si="55"/>
        <v>59.735410199184038</v>
      </c>
      <c r="E97" s="46">
        <f t="shared" si="47"/>
        <v>56.748639689224831</v>
      </c>
      <c r="F97" s="12">
        <f t="shared" si="48"/>
        <v>27.961255837915939</v>
      </c>
      <c r="G97" s="46">
        <f t="shared" si="44"/>
        <v>25.165130254124346</v>
      </c>
      <c r="H97" s="46">
        <f t="shared" si="45"/>
        <v>81.91376994334918</v>
      </c>
      <c r="I97" s="12">
        <f t="shared" si="49"/>
        <v>79.91376994334918</v>
      </c>
      <c r="J97" s="12">
        <f t="shared" si="50"/>
        <v>0.64394647318139198</v>
      </c>
      <c r="K97" s="12">
        <f t="shared" si="51"/>
        <v>26.374041630005809</v>
      </c>
      <c r="L97" s="12">
        <f t="shared" si="43"/>
        <v>25.730095156824419</v>
      </c>
      <c r="Q97" s="18"/>
    </row>
    <row r="98" spans="1:17" x14ac:dyDescent="0.3">
      <c r="A98" s="19">
        <f t="shared" ref="A98:B98" si="62">A97+1</f>
        <v>12</v>
      </c>
      <c r="B98" s="12">
        <f t="shared" si="62"/>
        <v>2026</v>
      </c>
      <c r="C98" s="12">
        <f t="shared" si="53"/>
        <v>2</v>
      </c>
      <c r="D98" s="12">
        <f t="shared" si="55"/>
        <v>61.348266274562</v>
      </c>
      <c r="E98" s="46">
        <f t="shared" si="47"/>
        <v>58.280852960833897</v>
      </c>
      <c r="F98" s="12">
        <f t="shared" si="48"/>
        <v>28.716209745539668</v>
      </c>
      <c r="G98" s="46">
        <f t="shared" si="44"/>
        <v>25.844588770985702</v>
      </c>
      <c r="H98" s="46">
        <f t="shared" si="45"/>
        <v>84.125441731819592</v>
      </c>
      <c r="I98" s="12">
        <f t="shared" si="49"/>
        <v>82.125441731819592</v>
      </c>
      <c r="J98" s="12">
        <f t="shared" si="50"/>
        <v>0.57495220819767134</v>
      </c>
      <c r="K98" s="12">
        <f t="shared" si="51"/>
        <v>24.184054244657105</v>
      </c>
      <c r="L98" s="12">
        <f>K98-J98</f>
        <v>23.609102036459433</v>
      </c>
      <c r="Q98" s="18"/>
    </row>
    <row r="99" spans="1:17" x14ac:dyDescent="0.3">
      <c r="A99" s="19">
        <f t="shared" ref="A99:B99" si="63">A98+1</f>
        <v>13</v>
      </c>
      <c r="B99" s="12">
        <f t="shared" si="63"/>
        <v>2027</v>
      </c>
      <c r="C99" s="12">
        <f t="shared" si="53"/>
        <v>2</v>
      </c>
      <c r="D99" s="12">
        <f t="shared" si="55"/>
        <v>63.004669463975169</v>
      </c>
      <c r="E99" s="46">
        <f t="shared" si="47"/>
        <v>59.854435990776409</v>
      </c>
      <c r="F99" s="12">
        <f t="shared" si="48"/>
        <v>29.491547408669238</v>
      </c>
      <c r="G99" s="46">
        <f t="shared" si="44"/>
        <v>26.542392667802314</v>
      </c>
      <c r="H99" s="46">
        <f t="shared" si="45"/>
        <v>86.396828658578727</v>
      </c>
      <c r="I99" s="12">
        <f t="shared" si="49"/>
        <v>84.396828658578727</v>
      </c>
      <c r="J99" s="12">
        <f t="shared" si="50"/>
        <v>0.51335018589077808</v>
      </c>
      <c r="K99" s="12">
        <f t="shared" si="51"/>
        <v>22.175914026127543</v>
      </c>
      <c r="L99" s="12">
        <f t="shared" si="43"/>
        <v>21.662563840236764</v>
      </c>
      <c r="Q99" s="18"/>
    </row>
    <row r="100" spans="1:17" x14ac:dyDescent="0.3">
      <c r="A100" s="19">
        <f t="shared" ref="A100:B100" si="64">A99+1</f>
        <v>14</v>
      </c>
      <c r="B100" s="12">
        <f t="shared" si="64"/>
        <v>2028</v>
      </c>
      <c r="C100" s="12">
        <f t="shared" si="53"/>
        <v>2</v>
      </c>
      <c r="D100" s="12">
        <f t="shared" si="55"/>
        <v>64.705795539502489</v>
      </c>
      <c r="E100" s="46">
        <f t="shared" si="47"/>
        <v>61.47050576252736</v>
      </c>
      <c r="F100" s="12">
        <f t="shared" si="48"/>
        <v>30.287819188703306</v>
      </c>
      <c r="G100" s="46">
        <f t="shared" si="44"/>
        <v>27.259037269832977</v>
      </c>
      <c r="H100" s="46">
        <f t="shared" si="45"/>
        <v>88.72954303236034</v>
      </c>
      <c r="I100" s="12">
        <f t="shared" si="49"/>
        <v>86.72954303236034</v>
      </c>
      <c r="J100" s="12">
        <f t="shared" si="50"/>
        <v>0.45834838025962316</v>
      </c>
      <c r="K100" s="12">
        <f t="shared" si="51"/>
        <v>20.334521165029447</v>
      </c>
      <c r="L100" s="12">
        <f t="shared" si="43"/>
        <v>19.876172784769825</v>
      </c>
      <c r="Q100" s="18"/>
    </row>
    <row r="101" spans="1:17" x14ac:dyDescent="0.3">
      <c r="A101" s="19">
        <f t="shared" ref="A101:B101" si="65">A100+1</f>
        <v>15</v>
      </c>
      <c r="B101" s="12">
        <f t="shared" si="65"/>
        <v>2029</v>
      </c>
      <c r="C101" s="12">
        <f t="shared" si="53"/>
        <v>2</v>
      </c>
      <c r="D101" s="12">
        <f t="shared" si="55"/>
        <v>66.452852019069056</v>
      </c>
      <c r="E101" s="46">
        <f t="shared" si="47"/>
        <v>63.130209418115598</v>
      </c>
      <c r="F101" s="12">
        <f t="shared" si="48"/>
        <v>31.105590306798291</v>
      </c>
      <c r="G101" s="46">
        <f t="shared" si="44"/>
        <v>27.995031276118464</v>
      </c>
      <c r="H101" s="46">
        <f t="shared" si="45"/>
        <v>91.125240694234066</v>
      </c>
      <c r="I101" s="12">
        <f t="shared" si="49"/>
        <v>89.125240694234066</v>
      </c>
      <c r="J101" s="12">
        <f t="shared" si="50"/>
        <v>0.40923962523180635</v>
      </c>
      <c r="K101" s="12">
        <f t="shared" si="51"/>
        <v>18.646029675433251</v>
      </c>
      <c r="L101" s="12">
        <f t="shared" si="43"/>
        <v>18.236790050201446</v>
      </c>
      <c r="Q101" s="18"/>
    </row>
    <row r="102" spans="1:17" x14ac:dyDescent="0.3">
      <c r="A102" s="19">
        <f t="shared" ref="A102:B102" si="66">A101+1</f>
        <v>16</v>
      </c>
      <c r="B102" s="12">
        <f t="shared" si="66"/>
        <v>2030</v>
      </c>
      <c r="C102" s="12">
        <f t="shared" si="53"/>
        <v>2</v>
      </c>
      <c r="D102" s="12">
        <f t="shared" si="55"/>
        <v>68.247079023583908</v>
      </c>
      <c r="E102" s="46">
        <f t="shared" si="47"/>
        <v>64.834725072404709</v>
      </c>
      <c r="F102" s="12">
        <f t="shared" si="48"/>
        <v>31.945441245081842</v>
      </c>
      <c r="G102" s="46">
        <f t="shared" si="44"/>
        <v>28.750897120573658</v>
      </c>
      <c r="H102" s="46">
        <f t="shared" si="45"/>
        <v>93.585622192978363</v>
      </c>
      <c r="I102" s="12">
        <f t="shared" si="49"/>
        <v>91.585622192978363</v>
      </c>
      <c r="J102" s="12">
        <f>(C102)/((1+0.12)^($A102-1))</f>
        <v>0.36539252252839854</v>
      </c>
      <c r="K102" s="12">
        <f t="shared" si="51"/>
        <v>17.097743282741021</v>
      </c>
      <c r="L102" s="12">
        <f t="shared" si="43"/>
        <v>16.732350760212622</v>
      </c>
      <c r="Q102" s="18"/>
    </row>
    <row r="103" spans="1:17" x14ac:dyDescent="0.3">
      <c r="A103" s="19">
        <f t="shared" ref="A103:B103" si="67">A102+1</f>
        <v>17</v>
      </c>
      <c r="B103" s="12">
        <f t="shared" si="67"/>
        <v>2031</v>
      </c>
      <c r="C103" s="12">
        <f t="shared" si="53"/>
        <v>2</v>
      </c>
      <c r="D103" s="12">
        <f t="shared" si="55"/>
        <v>70.089750157220664</v>
      </c>
      <c r="E103" s="46">
        <f t="shared" si="47"/>
        <v>66.58526264935962</v>
      </c>
      <c r="F103" s="12">
        <f t="shared" si="48"/>
        <v>32.807968158699047</v>
      </c>
      <c r="G103" s="46">
        <f t="shared" si="44"/>
        <v>29.527171342829142</v>
      </c>
      <c r="H103" s="46">
        <f t="shared" si="45"/>
        <v>96.112433992188755</v>
      </c>
      <c r="I103" s="12">
        <f t="shared" si="49"/>
        <v>94.112433992188755</v>
      </c>
      <c r="J103" s="12">
        <f t="shared" ref="J103:J117" si="68">(C103)/((1+0.1)^($A103-1))</f>
        <v>0.43525827158029706</v>
      </c>
      <c r="K103" s="12">
        <f t="shared" ref="K103:K117" si="69">(H103)/((1+0.1)^($A103-1))</f>
        <v>20.916865948407736</v>
      </c>
      <c r="L103" s="12">
        <f t="shared" si="43"/>
        <v>20.481607676827437</v>
      </c>
      <c r="Q103" s="18"/>
    </row>
    <row r="104" spans="1:17" x14ac:dyDescent="0.3">
      <c r="A104" s="19">
        <f t="shared" ref="A104:B104" si="70">A103+1</f>
        <v>18</v>
      </c>
      <c r="B104" s="12">
        <f t="shared" si="70"/>
        <v>2032</v>
      </c>
      <c r="C104" s="12">
        <f t="shared" si="53"/>
        <v>2</v>
      </c>
      <c r="D104" s="12">
        <f t="shared" si="55"/>
        <v>71.98217341146561</v>
      </c>
      <c r="E104" s="46">
        <f t="shared" si="47"/>
        <v>68.383064740892323</v>
      </c>
      <c r="F104" s="12">
        <f t="shared" si="48"/>
        <v>33.693783298983917</v>
      </c>
      <c r="G104" s="46">
        <f t="shared" si="44"/>
        <v>30.324404969085524</v>
      </c>
      <c r="H104" s="46">
        <f t="shared" si="45"/>
        <v>98.707469709977843</v>
      </c>
      <c r="I104" s="12">
        <f t="shared" si="49"/>
        <v>96.707469709977843</v>
      </c>
      <c r="J104" s="12">
        <f t="shared" si="68"/>
        <v>0.39568933780027005</v>
      </c>
      <c r="K104" s="12">
        <f t="shared" si="69"/>
        <v>19.528746662740673</v>
      </c>
      <c r="L104" s="12">
        <f t="shared" si="43"/>
        <v>19.133057324940403</v>
      </c>
      <c r="Q104" s="18"/>
    </row>
    <row r="105" spans="1:17" x14ac:dyDescent="0.3">
      <c r="A105" s="19">
        <f t="shared" ref="A105:B105" si="71">A104+1</f>
        <v>19</v>
      </c>
      <c r="B105" s="12">
        <f t="shared" si="71"/>
        <v>2033</v>
      </c>
      <c r="C105" s="12">
        <f t="shared" si="53"/>
        <v>2</v>
      </c>
      <c r="D105" s="12">
        <f t="shared" si="55"/>
        <v>73.925692093575179</v>
      </c>
      <c r="E105" s="46">
        <f t="shared" si="47"/>
        <v>70.229407488896413</v>
      </c>
      <c r="F105" s="12">
        <f t="shared" ref="F105:F117" si="72">F104*(1+$B$16)</f>
        <v>34.603515448056477</v>
      </c>
      <c r="G105" s="46">
        <f t="shared" si="44"/>
        <v>31.14316390325083</v>
      </c>
      <c r="H105" s="46">
        <f t="shared" si="45"/>
        <v>101.37257139214725</v>
      </c>
      <c r="I105" s="12">
        <f t="shared" si="49"/>
        <v>99.37257139214725</v>
      </c>
      <c r="J105" s="12">
        <f t="shared" si="68"/>
        <v>0.35971757981842728</v>
      </c>
      <c r="K105" s="12">
        <f t="shared" si="69"/>
        <v>18.232748020576974</v>
      </c>
      <c r="L105" s="12">
        <f t="shared" si="43"/>
        <v>17.873030440758548</v>
      </c>
      <c r="Q105" s="18"/>
    </row>
    <row r="106" spans="1:17" x14ac:dyDescent="0.3">
      <c r="A106" s="19">
        <f t="shared" ref="A106:B106" si="73">A105+1</f>
        <v>20</v>
      </c>
      <c r="B106" s="12">
        <f t="shared" si="73"/>
        <v>2034</v>
      </c>
      <c r="C106" s="12">
        <f t="shared" si="53"/>
        <v>2</v>
      </c>
      <c r="D106" s="12">
        <f t="shared" si="55"/>
        <v>75.921685780101697</v>
      </c>
      <c r="E106" s="46">
        <f t="shared" si="47"/>
        <v>72.125601491096603</v>
      </c>
      <c r="F106" s="12">
        <f t="shared" si="72"/>
        <v>35.537810365154002</v>
      </c>
      <c r="G106" s="46">
        <f t="shared" si="44"/>
        <v>31.984029328638602</v>
      </c>
      <c r="H106" s="46">
        <f t="shared" si="45"/>
        <v>104.1096308197352</v>
      </c>
      <c r="I106" s="12">
        <f t="shared" si="49"/>
        <v>102.1096308197352</v>
      </c>
      <c r="J106" s="12">
        <f t="shared" si="68"/>
        <v>0.32701598165311563</v>
      </c>
      <c r="K106" s="12">
        <f t="shared" si="69"/>
        <v>17.022756561029585</v>
      </c>
      <c r="L106" s="12">
        <f t="shared" si="43"/>
        <v>16.695740579376469</v>
      </c>
      <c r="Q106" s="18"/>
    </row>
    <row r="107" spans="1:17" x14ac:dyDescent="0.3">
      <c r="A107" s="19">
        <f t="shared" ref="A107:B107" si="74">A106+1</f>
        <v>21</v>
      </c>
      <c r="B107" s="12">
        <f t="shared" si="74"/>
        <v>2035</v>
      </c>
      <c r="C107" s="12">
        <f t="shared" si="53"/>
        <v>2</v>
      </c>
      <c r="D107" s="12">
        <f t="shared" si="55"/>
        <v>77.971571296164441</v>
      </c>
      <c r="E107" s="46">
        <f t="shared" si="47"/>
        <v>74.072992731356223</v>
      </c>
      <c r="F107" s="12">
        <f t="shared" si="72"/>
        <v>36.497331245013157</v>
      </c>
      <c r="G107" s="46">
        <f t="shared" si="44"/>
        <v>32.84759812051184</v>
      </c>
      <c r="H107" s="46">
        <f t="shared" si="45"/>
        <v>106.92059085186807</v>
      </c>
      <c r="I107" s="12">
        <f t="shared" si="49"/>
        <v>104.92059085186807</v>
      </c>
      <c r="J107" s="12">
        <f t="shared" si="68"/>
        <v>0.29728725604828699</v>
      </c>
      <c r="K107" s="12">
        <f t="shared" si="69"/>
        <v>15.893064534706717</v>
      </c>
      <c r="L107" s="12">
        <f t="shared" si="43"/>
        <v>15.59577727865843</v>
      </c>
      <c r="Q107" s="18"/>
    </row>
    <row r="108" spans="1:17" x14ac:dyDescent="0.3">
      <c r="A108" s="19">
        <f t="shared" ref="A108:B108" si="75">A107+1</f>
        <v>22</v>
      </c>
      <c r="B108" s="12">
        <f t="shared" si="75"/>
        <v>2036</v>
      </c>
      <c r="C108" s="12">
        <f t="shared" si="53"/>
        <v>2</v>
      </c>
      <c r="D108" s="12">
        <f t="shared" si="55"/>
        <v>80.076803721160871</v>
      </c>
      <c r="E108" s="46">
        <f t="shared" si="47"/>
        <v>76.072963535102829</v>
      </c>
      <c r="F108" s="12">
        <f t="shared" si="72"/>
        <v>37.482759188628506</v>
      </c>
      <c r="G108" s="46">
        <f t="shared" si="44"/>
        <v>33.734483269765654</v>
      </c>
      <c r="H108" s="46">
        <f t="shared" si="45"/>
        <v>109.80744680486848</v>
      </c>
      <c r="I108" s="12">
        <f t="shared" si="49"/>
        <v>107.80744680486848</v>
      </c>
      <c r="J108" s="12">
        <f t="shared" si="68"/>
        <v>0.27026114186207906</v>
      </c>
      <c r="K108" s="12">
        <f t="shared" si="69"/>
        <v>14.838342979221629</v>
      </c>
      <c r="L108" s="12">
        <f t="shared" si="43"/>
        <v>14.56808183735955</v>
      </c>
      <c r="Q108" s="18"/>
    </row>
    <row r="109" spans="1:17" x14ac:dyDescent="0.3">
      <c r="A109" s="19">
        <f t="shared" ref="A109:B109" si="76">A108+1</f>
        <v>23</v>
      </c>
      <c r="B109" s="12">
        <f t="shared" si="76"/>
        <v>2037</v>
      </c>
      <c r="C109" s="12">
        <f t="shared" si="53"/>
        <v>2</v>
      </c>
      <c r="D109" s="12">
        <f t="shared" si="55"/>
        <v>82.23887742163221</v>
      </c>
      <c r="E109" s="46">
        <f t="shared" si="47"/>
        <v>78.126933550550589</v>
      </c>
      <c r="F109" s="12">
        <f t="shared" si="72"/>
        <v>38.494793686721472</v>
      </c>
      <c r="G109" s="46">
        <f t="shared" si="44"/>
        <v>34.645314318049323</v>
      </c>
      <c r="H109" s="46">
        <f t="shared" si="45"/>
        <v>112.77224786859992</v>
      </c>
      <c r="I109" s="12">
        <f t="shared" si="49"/>
        <v>110.77224786859992</v>
      </c>
      <c r="J109" s="12">
        <f t="shared" si="68"/>
        <v>0.24569194714734455</v>
      </c>
      <c r="K109" s="12">
        <f t="shared" si="69"/>
        <v>13.853616581509645</v>
      </c>
      <c r="L109" s="12">
        <f t="shared" si="43"/>
        <v>13.6079246343623</v>
      </c>
      <c r="Q109" s="18"/>
    </row>
    <row r="110" spans="1:17" x14ac:dyDescent="0.3">
      <c r="A110" s="19">
        <f t="shared" ref="A110:B110" si="77">A109+1</f>
        <v>24</v>
      </c>
      <c r="B110" s="12">
        <f t="shared" si="77"/>
        <v>2038</v>
      </c>
      <c r="C110" s="12">
        <f t="shared" si="53"/>
        <v>2</v>
      </c>
      <c r="D110" s="12">
        <f t="shared" si="55"/>
        <v>84.459327112016268</v>
      </c>
      <c r="E110" s="46">
        <f t="shared" si="47"/>
        <v>80.236360756415451</v>
      </c>
      <c r="F110" s="12">
        <f t="shared" si="72"/>
        <v>39.534153116262949</v>
      </c>
      <c r="G110" s="46">
        <f t="shared" si="44"/>
        <v>35.580737804636655</v>
      </c>
      <c r="H110" s="46">
        <f t="shared" si="45"/>
        <v>115.81709856105211</v>
      </c>
      <c r="I110" s="12">
        <f t="shared" si="49"/>
        <v>113.81709856105211</v>
      </c>
      <c r="J110" s="12">
        <f t="shared" si="68"/>
        <v>0.22335631558849503</v>
      </c>
      <c r="K110" s="12">
        <f t="shared" si="69"/>
        <v>12.934240208373094</v>
      </c>
      <c r="L110" s="12">
        <f t="shared" si="43"/>
        <v>12.710883892784599</v>
      </c>
      <c r="Q110" s="18"/>
    </row>
    <row r="111" spans="1:17" x14ac:dyDescent="0.3">
      <c r="A111" s="19">
        <f t="shared" ref="A111:B111" si="78">A110+1</f>
        <v>25</v>
      </c>
      <c r="B111" s="12">
        <f t="shared" si="78"/>
        <v>2039</v>
      </c>
      <c r="C111" s="12">
        <f t="shared" si="53"/>
        <v>2</v>
      </c>
      <c r="D111" s="12">
        <f t="shared" si="55"/>
        <v>86.739728944040706</v>
      </c>
      <c r="E111" s="46">
        <f t="shared" si="47"/>
        <v>82.40274249683867</v>
      </c>
      <c r="F111" s="12">
        <f t="shared" si="72"/>
        <v>40.601575250402043</v>
      </c>
      <c r="G111" s="46">
        <f t="shared" si="44"/>
        <v>36.541417725361839</v>
      </c>
      <c r="H111" s="46">
        <f t="shared" si="45"/>
        <v>118.94416022220051</v>
      </c>
      <c r="I111" s="12">
        <f t="shared" si="49"/>
        <v>116.94416022220051</v>
      </c>
      <c r="J111" s="12">
        <f t="shared" si="68"/>
        <v>0.20305119598954097</v>
      </c>
      <c r="K111" s="12">
        <f t="shared" si="69"/>
        <v>12.075876994544698</v>
      </c>
      <c r="L111" s="12">
        <f t="shared" si="43"/>
        <v>11.872825798555157</v>
      </c>
      <c r="Q111" s="18"/>
    </row>
    <row r="112" spans="1:17" x14ac:dyDescent="0.3">
      <c r="A112" s="19">
        <f t="shared" ref="A112:B112" si="79">A111+1</f>
        <v>26</v>
      </c>
      <c r="B112" s="12">
        <f t="shared" si="79"/>
        <v>2040</v>
      </c>
      <c r="C112" s="12">
        <f t="shared" si="53"/>
        <v>2</v>
      </c>
      <c r="D112" s="12">
        <f t="shared" si="55"/>
        <v>89.081701625529803</v>
      </c>
      <c r="E112" s="46">
        <f t="shared" si="47"/>
        <v>84.627616544253314</v>
      </c>
      <c r="F112" s="12">
        <f t="shared" si="72"/>
        <v>41.697817782162893</v>
      </c>
      <c r="G112" s="46">
        <f t="shared" si="44"/>
        <v>37.528036003946603</v>
      </c>
      <c r="H112" s="46">
        <f t="shared" si="45"/>
        <v>122.15565254819992</v>
      </c>
      <c r="I112" s="12">
        <f t="shared" si="49"/>
        <v>120.15565254819992</v>
      </c>
      <c r="J112" s="12">
        <f t="shared" si="68"/>
        <v>0.1845919963541281</v>
      </c>
      <c r="K112" s="12">
        <f t="shared" si="69"/>
        <v>11.27447788490673</v>
      </c>
      <c r="L112" s="12">
        <f t="shared" si="43"/>
        <v>11.089885888552603</v>
      </c>
      <c r="Q112" s="18"/>
    </row>
    <row r="113" spans="1:17" x14ac:dyDescent="0.3">
      <c r="A113" s="19">
        <f t="shared" ref="A113:B113" si="80">A112+1</f>
        <v>27</v>
      </c>
      <c r="B113" s="12">
        <f t="shared" si="80"/>
        <v>2041</v>
      </c>
      <c r="C113" s="12">
        <f t="shared" si="53"/>
        <v>2</v>
      </c>
      <c r="D113" s="12">
        <f t="shared" si="55"/>
        <v>91.486907569419103</v>
      </c>
      <c r="E113" s="46">
        <f t="shared" si="47"/>
        <v>86.912562190948137</v>
      </c>
      <c r="F113" s="12">
        <f t="shared" si="72"/>
        <v>42.823658862281285</v>
      </c>
      <c r="G113" s="46">
        <f t="shared" si="44"/>
        <v>38.541292976053157</v>
      </c>
      <c r="H113" s="46">
        <f t="shared" si="45"/>
        <v>125.45385516700129</v>
      </c>
      <c r="I113" s="12">
        <f t="shared" si="49"/>
        <v>123.45385516700129</v>
      </c>
      <c r="J113" s="12">
        <f t="shared" si="68"/>
        <v>0.16781090577648008</v>
      </c>
      <c r="K113" s="12">
        <f t="shared" si="69"/>
        <v>10.526262534362917</v>
      </c>
      <c r="L113" s="12">
        <f t="shared" si="43"/>
        <v>10.358451628586437</v>
      </c>
      <c r="Q113" s="18"/>
    </row>
    <row r="114" spans="1:17" x14ac:dyDescent="0.3">
      <c r="A114" s="19">
        <f t="shared" ref="A114:B114" si="81">A113+1</f>
        <v>28</v>
      </c>
      <c r="B114" s="12">
        <f t="shared" si="81"/>
        <v>2042</v>
      </c>
      <c r="C114" s="12">
        <f t="shared" si="53"/>
        <v>2</v>
      </c>
      <c r="D114" s="12">
        <f t="shared" si="55"/>
        <v>93.957054073793415</v>
      </c>
      <c r="E114" s="46">
        <f t="shared" si="47"/>
        <v>89.259201370103739</v>
      </c>
      <c r="F114" s="12">
        <f t="shared" si="72"/>
        <v>43.979897651562872</v>
      </c>
      <c r="G114" s="46">
        <f t="shared" si="44"/>
        <v>39.581907886406583</v>
      </c>
      <c r="H114" s="46">
        <f t="shared" si="45"/>
        <v>128.84110925651032</v>
      </c>
      <c r="I114" s="12">
        <f t="shared" si="49"/>
        <v>126.84110925651032</v>
      </c>
      <c r="J114" s="12">
        <f t="shared" si="68"/>
        <v>0.15255536888770915</v>
      </c>
      <c r="K114" s="12">
        <f t="shared" si="69"/>
        <v>9.8277014752642842</v>
      </c>
      <c r="L114" s="12">
        <f t="shared" si="43"/>
        <v>9.6751461063765749</v>
      </c>
      <c r="Q114" s="18"/>
    </row>
    <row r="115" spans="1:17" x14ac:dyDescent="0.3">
      <c r="A115" s="19">
        <f t="shared" ref="A115:B115" si="82">A114+1</f>
        <v>29</v>
      </c>
      <c r="B115" s="12">
        <f t="shared" si="82"/>
        <v>2043</v>
      </c>
      <c r="C115" s="12">
        <f t="shared" si="53"/>
        <v>2</v>
      </c>
      <c r="D115" s="12">
        <f t="shared" si="55"/>
        <v>96.493894533785834</v>
      </c>
      <c r="E115" s="46">
        <f t="shared" si="47"/>
        <v>91.669199807096533</v>
      </c>
      <c r="F115" s="12">
        <f t="shared" si="72"/>
        <v>45.167354888155067</v>
      </c>
      <c r="G115" s="46">
        <f t="shared" si="44"/>
        <v>40.650619399339561</v>
      </c>
      <c r="H115" s="46">
        <f t="shared" si="45"/>
        <v>132.31981920643608</v>
      </c>
      <c r="I115" s="12">
        <f t="shared" si="49"/>
        <v>130.31981920643608</v>
      </c>
      <c r="J115" s="12">
        <f t="shared" si="68"/>
        <v>0.13868669898882649</v>
      </c>
      <c r="K115" s="12">
        <f t="shared" si="69"/>
        <v>9.1754994682694715</v>
      </c>
      <c r="L115" s="12">
        <f t="shared" si="43"/>
        <v>9.0368127692806457</v>
      </c>
      <c r="Q115" s="18"/>
    </row>
    <row r="116" spans="1:17" x14ac:dyDescent="0.3">
      <c r="A116" s="19">
        <f t="shared" ref="A116:B116" si="83">A115+1</f>
        <v>30</v>
      </c>
      <c r="B116" s="12">
        <f t="shared" si="83"/>
        <v>2044</v>
      </c>
      <c r="C116" s="12">
        <f t="shared" si="53"/>
        <v>2</v>
      </c>
      <c r="D116" s="12">
        <f t="shared" si="55"/>
        <v>99.099229686198044</v>
      </c>
      <c r="E116" s="46">
        <f t="shared" si="47"/>
        <v>94.144268201888138</v>
      </c>
      <c r="F116" s="12">
        <f t="shared" si="72"/>
        <v>46.386873470135249</v>
      </c>
      <c r="G116" s="46">
        <f t="shared" si="44"/>
        <v>41.748186123121727</v>
      </c>
      <c r="H116" s="46">
        <f t="shared" si="45"/>
        <v>135.89245432500985</v>
      </c>
      <c r="I116" s="12">
        <f t="shared" si="49"/>
        <v>133.89245432500985</v>
      </c>
      <c r="J116" s="12">
        <f t="shared" si="68"/>
        <v>0.12607881726256953</v>
      </c>
      <c r="K116" s="12">
        <f t="shared" si="69"/>
        <v>8.5665799581024977</v>
      </c>
      <c r="L116" s="12">
        <f t="shared" si="43"/>
        <v>8.4405011408399275</v>
      </c>
      <c r="Q116" s="18"/>
    </row>
    <row r="117" spans="1:17" x14ac:dyDescent="0.3">
      <c r="A117" s="19">
        <f t="shared" ref="A117:B117" si="84">A116+1</f>
        <v>31</v>
      </c>
      <c r="B117" s="12">
        <f t="shared" si="84"/>
        <v>2045</v>
      </c>
      <c r="C117" s="12">
        <f>C116</f>
        <v>2</v>
      </c>
      <c r="D117" s="12">
        <f t="shared" si="55"/>
        <v>101.77490888772539</v>
      </c>
      <c r="E117" s="46">
        <f t="shared" si="47"/>
        <v>96.686163443339112</v>
      </c>
      <c r="F117" s="12">
        <f t="shared" si="72"/>
        <v>47.639319053828899</v>
      </c>
      <c r="G117" s="46">
        <f t="shared" si="44"/>
        <v>42.875387148446009</v>
      </c>
      <c r="H117" s="46">
        <f t="shared" si="45"/>
        <v>139.56155059178514</v>
      </c>
      <c r="I117" s="12">
        <f t="shared" si="49"/>
        <v>137.56155059178514</v>
      </c>
      <c r="J117" s="12">
        <f t="shared" si="68"/>
        <v>0.11461710660233593</v>
      </c>
      <c r="K117" s="12">
        <f t="shared" si="69"/>
        <v>7.9980705608829679</v>
      </c>
      <c r="L117" s="12">
        <f t="shared" si="43"/>
        <v>7.883453454280632</v>
      </c>
      <c r="Q117" s="18"/>
    </row>
    <row r="118" spans="1:17" x14ac:dyDescent="0.3">
      <c r="A118" s="44"/>
      <c r="B118" s="19" t="s">
        <v>19</v>
      </c>
      <c r="C118" s="19">
        <f>SUM(C87:C117)</f>
        <v>760</v>
      </c>
      <c r="D118" s="19">
        <f>SUM(D87:D117)</f>
        <v>2130.475238062746</v>
      </c>
      <c r="E118" s="47">
        <f>SUM(E87:E117)</f>
        <v>2023.9514761596085</v>
      </c>
      <c r="F118" s="47">
        <f t="shared" ref="F118" si="85">SUM(F87:F117)</f>
        <v>997.24372845490245</v>
      </c>
      <c r="G118" s="47">
        <f t="shared" ref="G118" si="86">SUM(G87:G117)</f>
        <v>897.51935560941229</v>
      </c>
      <c r="H118" s="47">
        <f>SUM(H87:H117)</f>
        <v>2921.4708317690211</v>
      </c>
      <c r="I118" s="19">
        <f>SUM(I87:I117)</f>
        <v>2161.4708317690211</v>
      </c>
      <c r="J118" s="19">
        <f>SUM(J87:J117)</f>
        <v>517.26339890028999</v>
      </c>
      <c r="K118" s="48">
        <f>SUM(K87:K117)</f>
        <v>706.86504014305956</v>
      </c>
      <c r="L118" s="20">
        <f>SUM(L87:L117)</f>
        <v>189.6016412427698</v>
      </c>
      <c r="M118" s="40" t="s">
        <v>20</v>
      </c>
      <c r="Q118" s="40" t="s">
        <v>20</v>
      </c>
    </row>
    <row r="119" spans="1:17" x14ac:dyDescent="0.3">
      <c r="A119" s="5"/>
      <c r="B119" s="5"/>
      <c r="C119" s="5"/>
      <c r="D119" s="5"/>
      <c r="E119" s="5"/>
      <c r="F119" s="5"/>
      <c r="G119" s="5"/>
      <c r="H119" s="5"/>
      <c r="I119" s="17"/>
      <c r="J119" s="17"/>
      <c r="K119" s="5"/>
      <c r="L119" s="42">
        <f>K118/J118</f>
        <v>1.3665475686968489</v>
      </c>
      <c r="M119" s="40" t="s">
        <v>9</v>
      </c>
      <c r="Q119" s="40" t="s">
        <v>9</v>
      </c>
    </row>
    <row r="120" spans="1:17" ht="22.8" x14ac:dyDescent="0.3">
      <c r="A120" s="5"/>
      <c r="B120" s="45"/>
      <c r="C120" s="5"/>
      <c r="D120" s="5"/>
      <c r="E120" s="5"/>
      <c r="F120" s="5"/>
      <c r="G120" s="5"/>
      <c r="H120" s="5"/>
      <c r="I120" s="5"/>
      <c r="J120" s="5"/>
      <c r="K120" s="5"/>
      <c r="L120" s="43">
        <f>IRR(L87:L117)</f>
        <v>3.3167086636593623E-2</v>
      </c>
      <c r="M120" s="41" t="s">
        <v>11</v>
      </c>
      <c r="Q120" s="40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5018-6B6D-4BE6-9034-7B2947F07DC5}">
  <sheetPr>
    <tabColor rgb="FFFFFF00"/>
  </sheetPr>
  <dimension ref="A2:N110"/>
  <sheetViews>
    <sheetView workbookViewId="0">
      <selection activeCell="C18" sqref="C18"/>
    </sheetView>
  </sheetViews>
  <sheetFormatPr defaultRowHeight="14.4" x14ac:dyDescent="0.3"/>
  <cols>
    <col min="1" max="1" width="52.33203125" customWidth="1"/>
    <col min="2" max="2" width="29.21875" customWidth="1"/>
    <col min="4" max="4" width="19.88671875" customWidth="1"/>
    <col min="5" max="5" width="18" customWidth="1"/>
    <col min="6" max="6" width="14.6640625" customWidth="1"/>
    <col min="7" max="7" width="17.44140625" customWidth="1"/>
    <col min="8" max="8" width="12.33203125" customWidth="1"/>
    <col min="10" max="10" width="12.109375" customWidth="1"/>
    <col min="11" max="11" width="13" customWidth="1"/>
    <col min="12" max="12" width="16.44140625" customWidth="1"/>
    <col min="13" max="13" width="16.21875" customWidth="1"/>
  </cols>
  <sheetData>
    <row r="2" spans="1:13" x14ac:dyDescent="0.3">
      <c r="B2" s="5"/>
      <c r="C2" s="5"/>
      <c r="D2" s="50" t="s">
        <v>51</v>
      </c>
      <c r="E2" s="5"/>
      <c r="F2" s="5"/>
      <c r="G2" s="5"/>
      <c r="H2" s="5"/>
      <c r="M2" s="5"/>
    </row>
    <row r="3" spans="1:13" x14ac:dyDescent="0.3">
      <c r="A3" s="7" t="s">
        <v>0</v>
      </c>
      <c r="B3" s="5"/>
      <c r="C3" s="5"/>
      <c r="D3" s="5"/>
      <c r="E3" s="5"/>
      <c r="F3" s="5"/>
      <c r="G3" s="5"/>
      <c r="J3" s="5"/>
      <c r="K3" s="5"/>
      <c r="L3" s="5"/>
      <c r="M3" s="5"/>
    </row>
    <row r="4" spans="1:13" ht="22.8" x14ac:dyDescent="0.3">
      <c r="A4" s="34" t="s">
        <v>39</v>
      </c>
      <c r="B4" s="27">
        <v>47</v>
      </c>
      <c r="C4" s="5"/>
      <c r="D4" s="5"/>
      <c r="G4" s="5"/>
      <c r="K4" s="5"/>
      <c r="L4" s="5"/>
      <c r="M4" s="5"/>
    </row>
    <row r="5" spans="1:13" ht="22.8" x14ac:dyDescent="0.3">
      <c r="A5" s="34" t="s">
        <v>40</v>
      </c>
      <c r="B5" s="27">
        <v>22</v>
      </c>
      <c r="C5" s="5"/>
      <c r="D5" s="5"/>
      <c r="E5" s="35" t="s">
        <v>3</v>
      </c>
      <c r="F5" s="62" t="s">
        <v>2</v>
      </c>
      <c r="G5" s="35" t="s">
        <v>4</v>
      </c>
      <c r="K5" s="5"/>
      <c r="L5" s="5"/>
      <c r="M5" s="5"/>
    </row>
    <row r="6" spans="1:13" ht="33.6" customHeight="1" x14ac:dyDescent="0.3">
      <c r="A6" s="34" t="s">
        <v>5</v>
      </c>
      <c r="B6" s="22">
        <v>2.7E-2</v>
      </c>
      <c r="C6" s="5"/>
      <c r="D6" s="5"/>
      <c r="E6" s="38" t="s">
        <v>6</v>
      </c>
      <c r="F6" s="12">
        <f>L44</f>
        <v>352.94306605438504</v>
      </c>
      <c r="G6" s="24" t="s">
        <v>7</v>
      </c>
      <c r="K6" s="5"/>
      <c r="L6" s="5"/>
      <c r="M6" s="5"/>
    </row>
    <row r="7" spans="1:13" ht="40.799999999999997" customHeight="1" x14ac:dyDescent="0.3">
      <c r="A7" s="34" t="s">
        <v>8</v>
      </c>
      <c r="B7" s="23" t="s">
        <v>48</v>
      </c>
      <c r="C7" s="5"/>
      <c r="D7" s="5"/>
      <c r="E7" s="38" t="s">
        <v>9</v>
      </c>
      <c r="F7" s="67">
        <f>L45</f>
        <v>1.6916324394004816</v>
      </c>
      <c r="G7" s="24" t="s">
        <v>10</v>
      </c>
      <c r="K7" s="5"/>
      <c r="L7" s="5"/>
      <c r="M7" s="5"/>
    </row>
    <row r="8" spans="1:13" ht="27.6" customHeight="1" x14ac:dyDescent="0.3">
      <c r="A8" s="34" t="s">
        <v>1</v>
      </c>
      <c r="B8" s="23" t="s">
        <v>47</v>
      </c>
      <c r="C8" s="5"/>
      <c r="D8" s="5"/>
      <c r="E8" s="37" t="s">
        <v>53</v>
      </c>
      <c r="F8" s="13">
        <f>L46</f>
        <v>5.235816440505614E-2</v>
      </c>
      <c r="G8" s="24" t="s">
        <v>12</v>
      </c>
      <c r="K8" s="14"/>
      <c r="L8" s="14"/>
      <c r="M8" s="14"/>
    </row>
    <row r="9" spans="1:13" ht="31.8" customHeight="1" x14ac:dyDescent="0.3">
      <c r="A9" s="34" t="s">
        <v>37</v>
      </c>
      <c r="B9" s="28" t="s">
        <v>57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34" t="s">
        <v>60</v>
      </c>
      <c r="B10" s="21" t="s">
        <v>41</v>
      </c>
      <c r="C10" s="5"/>
      <c r="D10" s="5"/>
      <c r="E10" s="5"/>
      <c r="F10" s="5"/>
      <c r="G10" s="5"/>
      <c r="H10" s="5"/>
      <c r="I10" s="15"/>
      <c r="J10" s="14"/>
      <c r="K10" s="14"/>
      <c r="L10" s="14"/>
      <c r="M10" s="14"/>
    </row>
    <row r="11" spans="1:1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7"/>
      <c r="L11" s="5"/>
      <c r="M11" s="16"/>
    </row>
    <row r="12" spans="1:13" ht="57" x14ac:dyDescent="0.3">
      <c r="A12" s="29" t="s">
        <v>13</v>
      </c>
      <c r="B12" s="29" t="s">
        <v>14</v>
      </c>
      <c r="C12" s="29" t="s">
        <v>15</v>
      </c>
      <c r="D12" s="29" t="s">
        <v>42</v>
      </c>
      <c r="E12" s="36" t="s">
        <v>61</v>
      </c>
      <c r="F12" s="36" t="s">
        <v>44</v>
      </c>
      <c r="G12" s="36" t="s">
        <v>62</v>
      </c>
      <c r="H12" s="36" t="s">
        <v>63</v>
      </c>
      <c r="I12" s="36" t="s">
        <v>16</v>
      </c>
      <c r="J12" s="36" t="s">
        <v>17</v>
      </c>
      <c r="K12" s="36" t="s">
        <v>18</v>
      </c>
      <c r="L12" s="36" t="s">
        <v>7</v>
      </c>
      <c r="M12" s="66"/>
    </row>
    <row r="13" spans="1:13" x14ac:dyDescent="0.3">
      <c r="A13" s="19">
        <v>1</v>
      </c>
      <c r="B13" s="12">
        <v>2015</v>
      </c>
      <c r="C13" s="12">
        <v>500</v>
      </c>
      <c r="D13" s="12">
        <v>0</v>
      </c>
      <c r="E13" s="12">
        <v>0</v>
      </c>
      <c r="F13" s="12">
        <v>0</v>
      </c>
      <c r="G13" s="12">
        <v>0</v>
      </c>
      <c r="H13" s="46">
        <f>E13+G13</f>
        <v>0</v>
      </c>
      <c r="I13" s="12">
        <f>H13-C13</f>
        <v>-500</v>
      </c>
      <c r="J13" s="12">
        <f>C13</f>
        <v>500</v>
      </c>
      <c r="K13" s="12">
        <v>0</v>
      </c>
      <c r="L13" s="12">
        <f>K13-J13</f>
        <v>-500</v>
      </c>
      <c r="M13" s="5"/>
    </row>
    <row r="14" spans="1:13" x14ac:dyDescent="0.3">
      <c r="A14" s="19">
        <f>A13+1</f>
        <v>2</v>
      </c>
      <c r="B14" s="12">
        <f>B13+1</f>
        <v>2016</v>
      </c>
      <c r="C14" s="12">
        <v>1</v>
      </c>
      <c r="D14" s="12">
        <f>B4</f>
        <v>47</v>
      </c>
      <c r="E14" s="46">
        <f>D14*0.95</f>
        <v>44.65</v>
      </c>
      <c r="F14" s="12">
        <f>B5</f>
        <v>22</v>
      </c>
      <c r="G14" s="46">
        <f t="shared" ref="G14:G43" si="0">F14*0.9</f>
        <v>19.8</v>
      </c>
      <c r="H14" s="46">
        <f>E14+G14</f>
        <v>64.45</v>
      </c>
      <c r="I14" s="12">
        <f t="shared" ref="I14:I43" si="1">H14-C14</f>
        <v>63.45</v>
      </c>
      <c r="J14" s="12">
        <f>(C14)/((1+0.1)^($A14-1))</f>
        <v>0.90909090909090906</v>
      </c>
      <c r="K14" s="12">
        <f>(I14)/((1+0.1)^($A14-1))</f>
        <v>57.68181818181818</v>
      </c>
      <c r="L14" s="12">
        <f t="shared" ref="L14:L43" si="2">K14-J14</f>
        <v>56.772727272727273</v>
      </c>
      <c r="M14" s="18"/>
    </row>
    <row r="15" spans="1:13" x14ac:dyDescent="0.3">
      <c r="A15" s="19">
        <f t="shared" ref="A15:B30" si="3">A14+1</f>
        <v>3</v>
      </c>
      <c r="B15" s="12">
        <f t="shared" si="3"/>
        <v>2017</v>
      </c>
      <c r="C15" s="12">
        <f>C14</f>
        <v>1</v>
      </c>
      <c r="D15" s="12">
        <f>D14*(1+$B$6)</f>
        <v>48.268999999999998</v>
      </c>
      <c r="E15" s="46">
        <f t="shared" ref="E15:E43" si="4">D15*0.95</f>
        <v>45.855549999999994</v>
      </c>
      <c r="F15" s="12">
        <f>F14*(1+$B$6)</f>
        <v>22.593999999999998</v>
      </c>
      <c r="G15" s="46">
        <f t="shared" si="0"/>
        <v>20.334599999999998</v>
      </c>
      <c r="H15" s="46">
        <f t="shared" ref="H15:H43" si="5">E15+G15</f>
        <v>66.190149999999988</v>
      </c>
      <c r="I15" s="12">
        <f t="shared" si="1"/>
        <v>65.190149999999988</v>
      </c>
      <c r="J15" s="12">
        <f t="shared" ref="J15:J27" si="6">(C15)/((1+0.1)^($A15-1))</f>
        <v>0.82644628099173545</v>
      </c>
      <c r="K15" s="12">
        <f t="shared" ref="K15:K27" si="7">(I15)/((1+0.1)^($A15-1))</f>
        <v>53.876157024793372</v>
      </c>
      <c r="L15" s="12">
        <f t="shared" si="2"/>
        <v>53.04971074380164</v>
      </c>
      <c r="M15" s="18"/>
    </row>
    <row r="16" spans="1:13" x14ac:dyDescent="0.3">
      <c r="A16" s="19">
        <f t="shared" si="3"/>
        <v>4</v>
      </c>
      <c r="B16" s="12">
        <f t="shared" si="3"/>
        <v>2018</v>
      </c>
      <c r="C16" s="12">
        <f t="shared" ref="C16:C42" si="8">C15</f>
        <v>1</v>
      </c>
      <c r="D16" s="12">
        <f t="shared" ref="D16:D43" si="9">D15*(1+$B$6)</f>
        <v>49.572262999999992</v>
      </c>
      <c r="E16" s="46">
        <f t="shared" si="4"/>
        <v>47.093649849999991</v>
      </c>
      <c r="F16" s="12">
        <f t="shared" ref="F16:F43" si="10">F15*(1+$B$6)</f>
        <v>23.204037999999997</v>
      </c>
      <c r="G16" s="46">
        <f t="shared" si="0"/>
        <v>20.883634199999999</v>
      </c>
      <c r="H16" s="46">
        <f t="shared" si="5"/>
        <v>67.977284049999994</v>
      </c>
      <c r="I16" s="12">
        <f t="shared" si="1"/>
        <v>66.977284049999994</v>
      </c>
      <c r="J16" s="12">
        <f t="shared" si="6"/>
        <v>0.75131480090157754</v>
      </c>
      <c r="K16" s="12">
        <f t="shared" si="7"/>
        <v>50.321024830954151</v>
      </c>
      <c r="L16" s="12">
        <f t="shared" si="2"/>
        <v>49.569710030052576</v>
      </c>
      <c r="M16" s="18"/>
    </row>
    <row r="17" spans="1:14" x14ac:dyDescent="0.3">
      <c r="A17" s="19">
        <f t="shared" si="3"/>
        <v>5</v>
      </c>
      <c r="B17" s="12">
        <f t="shared" si="3"/>
        <v>2019</v>
      </c>
      <c r="C17" s="12">
        <f t="shared" si="8"/>
        <v>1</v>
      </c>
      <c r="D17" s="12">
        <f t="shared" si="9"/>
        <v>50.910714100999989</v>
      </c>
      <c r="E17" s="46">
        <f t="shared" si="4"/>
        <v>48.365178395949989</v>
      </c>
      <c r="F17" s="12">
        <f t="shared" si="10"/>
        <v>23.830547025999994</v>
      </c>
      <c r="G17" s="46">
        <f t="shared" si="0"/>
        <v>21.447492323399995</v>
      </c>
      <c r="H17" s="46">
        <f t="shared" si="5"/>
        <v>69.812670719349981</v>
      </c>
      <c r="I17" s="12">
        <f t="shared" si="1"/>
        <v>68.812670719349981</v>
      </c>
      <c r="J17" s="12">
        <f t="shared" si="6"/>
        <v>0.68301345536507052</v>
      </c>
      <c r="K17" s="12">
        <f t="shared" si="7"/>
        <v>46.999980000922044</v>
      </c>
      <c r="L17" s="12">
        <f t="shared" si="2"/>
        <v>46.316966545556973</v>
      </c>
      <c r="M17" s="18"/>
    </row>
    <row r="18" spans="1:14" x14ac:dyDescent="0.3">
      <c r="A18" s="19">
        <f t="shared" si="3"/>
        <v>6</v>
      </c>
      <c r="B18" s="12">
        <f t="shared" si="3"/>
        <v>2020</v>
      </c>
      <c r="C18" s="12">
        <f t="shared" si="8"/>
        <v>1</v>
      </c>
      <c r="D18" s="12">
        <f t="shared" si="9"/>
        <v>52.285303381726983</v>
      </c>
      <c r="E18" s="46">
        <f t="shared" si="4"/>
        <v>49.671038212640632</v>
      </c>
      <c r="F18" s="12">
        <f t="shared" si="10"/>
        <v>24.473971795701992</v>
      </c>
      <c r="G18" s="46">
        <f t="shared" si="0"/>
        <v>22.026574616131793</v>
      </c>
      <c r="H18" s="46">
        <f t="shared" si="5"/>
        <v>71.697612828772421</v>
      </c>
      <c r="I18" s="12">
        <f t="shared" si="1"/>
        <v>70.697612828772421</v>
      </c>
      <c r="J18" s="12">
        <f t="shared" si="6"/>
        <v>0.62092132305915493</v>
      </c>
      <c r="K18" s="12">
        <f t="shared" si="7"/>
        <v>43.897655294765258</v>
      </c>
      <c r="L18" s="12">
        <f t="shared" si="2"/>
        <v>43.276733971706101</v>
      </c>
      <c r="M18" s="18"/>
    </row>
    <row r="19" spans="1:14" x14ac:dyDescent="0.3">
      <c r="A19" s="19">
        <f t="shared" si="3"/>
        <v>7</v>
      </c>
      <c r="B19" s="12">
        <f t="shared" si="3"/>
        <v>2021</v>
      </c>
      <c r="C19" s="12">
        <f t="shared" si="8"/>
        <v>1</v>
      </c>
      <c r="D19" s="12">
        <f t="shared" si="9"/>
        <v>53.697006573033605</v>
      </c>
      <c r="E19" s="46">
        <f t="shared" si="4"/>
        <v>51.01215624438192</v>
      </c>
      <c r="F19" s="12">
        <f t="shared" si="10"/>
        <v>25.134769034185943</v>
      </c>
      <c r="G19" s="46">
        <f t="shared" si="0"/>
        <v>22.621292130767351</v>
      </c>
      <c r="H19" s="46">
        <f t="shared" si="5"/>
        <v>73.633448375149271</v>
      </c>
      <c r="I19" s="12">
        <f t="shared" si="1"/>
        <v>72.633448375149271</v>
      </c>
      <c r="J19" s="12">
        <f t="shared" si="6"/>
        <v>0.56447393005377722</v>
      </c>
      <c r="K19" s="12">
        <f t="shared" si="7"/>
        <v>40.999688057678647</v>
      </c>
      <c r="L19" s="12">
        <f t="shared" si="2"/>
        <v>40.435214127624867</v>
      </c>
      <c r="M19" s="18"/>
    </row>
    <row r="20" spans="1:14" x14ac:dyDescent="0.3">
      <c r="A20" s="19">
        <f t="shared" si="3"/>
        <v>8</v>
      </c>
      <c r="B20" s="12">
        <f t="shared" si="3"/>
        <v>2022</v>
      </c>
      <c r="C20" s="12">
        <f t="shared" si="8"/>
        <v>1</v>
      </c>
      <c r="D20" s="12">
        <f t="shared" si="9"/>
        <v>55.146825750505506</v>
      </c>
      <c r="E20" s="46">
        <f t="shared" si="4"/>
        <v>52.389484462980228</v>
      </c>
      <c r="F20" s="12">
        <f t="shared" si="10"/>
        <v>25.813407798108962</v>
      </c>
      <c r="G20" s="46">
        <f t="shared" si="0"/>
        <v>23.232067018298068</v>
      </c>
      <c r="H20" s="46">
        <f t="shared" si="5"/>
        <v>75.621551481278289</v>
      </c>
      <c r="I20" s="12">
        <f t="shared" si="1"/>
        <v>74.621551481278289</v>
      </c>
      <c r="J20" s="12">
        <f t="shared" si="6"/>
        <v>0.51315811823070645</v>
      </c>
      <c r="K20" s="12">
        <f t="shared" si="7"/>
        <v>38.292654937588551</v>
      </c>
      <c r="L20" s="12">
        <f t="shared" si="2"/>
        <v>37.779496819357846</v>
      </c>
      <c r="M20" s="18"/>
    </row>
    <row r="21" spans="1:14" x14ac:dyDescent="0.3">
      <c r="A21" s="19">
        <f t="shared" si="3"/>
        <v>9</v>
      </c>
      <c r="B21" s="12">
        <f t="shared" si="3"/>
        <v>2023</v>
      </c>
      <c r="C21" s="12">
        <f t="shared" si="8"/>
        <v>1</v>
      </c>
      <c r="D21" s="12">
        <f t="shared" si="9"/>
        <v>56.635790045769149</v>
      </c>
      <c r="E21" s="46">
        <f t="shared" si="4"/>
        <v>53.80400054348069</v>
      </c>
      <c r="F21" s="12">
        <f t="shared" si="10"/>
        <v>26.510369808657902</v>
      </c>
      <c r="G21" s="46">
        <f t="shared" si="0"/>
        <v>23.859332827792112</v>
      </c>
      <c r="H21" s="46">
        <f t="shared" si="5"/>
        <v>77.663333371272799</v>
      </c>
      <c r="I21" s="12">
        <f t="shared" si="1"/>
        <v>76.663333371272799</v>
      </c>
      <c r="J21" s="12">
        <f t="shared" si="6"/>
        <v>0.46650738020973315</v>
      </c>
      <c r="K21" s="12">
        <f t="shared" si="7"/>
        <v>35.764010809177883</v>
      </c>
      <c r="L21" s="12">
        <f t="shared" si="2"/>
        <v>35.297503428968149</v>
      </c>
      <c r="M21" s="18"/>
    </row>
    <row r="22" spans="1:14" x14ac:dyDescent="0.3">
      <c r="A22" s="19">
        <f t="shared" si="3"/>
        <v>10</v>
      </c>
      <c r="B22" s="12">
        <f t="shared" si="3"/>
        <v>2024</v>
      </c>
      <c r="C22" s="12">
        <f t="shared" si="8"/>
        <v>1</v>
      </c>
      <c r="D22" s="12">
        <f t="shared" si="9"/>
        <v>58.164956377004913</v>
      </c>
      <c r="E22" s="46">
        <f t="shared" si="4"/>
        <v>55.256708558154664</v>
      </c>
      <c r="F22" s="12">
        <f t="shared" si="10"/>
        <v>27.226149793491665</v>
      </c>
      <c r="G22" s="46">
        <f t="shared" si="0"/>
        <v>24.503534814142498</v>
      </c>
      <c r="H22" s="46">
        <f t="shared" si="5"/>
        <v>79.760243372297168</v>
      </c>
      <c r="I22" s="12">
        <f t="shared" si="1"/>
        <v>78.760243372297168</v>
      </c>
      <c r="J22" s="12">
        <f t="shared" si="6"/>
        <v>0.42409761837248466</v>
      </c>
      <c r="K22" s="12">
        <f t="shared" si="7"/>
        <v>33.4020316366285</v>
      </c>
      <c r="L22" s="12">
        <f t="shared" si="2"/>
        <v>32.977934018256015</v>
      </c>
      <c r="M22" s="18"/>
    </row>
    <row r="23" spans="1:14" x14ac:dyDescent="0.3">
      <c r="A23" s="19">
        <f t="shared" si="3"/>
        <v>11</v>
      </c>
      <c r="B23" s="12">
        <f t="shared" si="3"/>
        <v>2025</v>
      </c>
      <c r="C23" s="12">
        <f t="shared" si="8"/>
        <v>1</v>
      </c>
      <c r="D23" s="12">
        <f t="shared" si="9"/>
        <v>59.735410199184038</v>
      </c>
      <c r="E23" s="46">
        <f t="shared" si="4"/>
        <v>56.748639689224831</v>
      </c>
      <c r="F23" s="12">
        <f t="shared" si="10"/>
        <v>27.961255837915939</v>
      </c>
      <c r="G23" s="46">
        <f t="shared" si="0"/>
        <v>25.165130254124346</v>
      </c>
      <c r="H23" s="46">
        <f t="shared" si="5"/>
        <v>81.91376994334918</v>
      </c>
      <c r="I23" s="12">
        <f t="shared" si="1"/>
        <v>80.91376994334918</v>
      </c>
      <c r="J23" s="12">
        <f t="shared" si="6"/>
        <v>0.38554328942953148</v>
      </c>
      <c r="K23" s="12">
        <f t="shared" si="7"/>
        <v>31.195761024103199</v>
      </c>
      <c r="L23" s="12">
        <f t="shared" si="2"/>
        <v>30.810217734673667</v>
      </c>
      <c r="M23" s="18"/>
    </row>
    <row r="24" spans="1:14" x14ac:dyDescent="0.3">
      <c r="A24" s="19">
        <f t="shared" si="3"/>
        <v>12</v>
      </c>
      <c r="B24" s="12">
        <f t="shared" si="3"/>
        <v>2026</v>
      </c>
      <c r="C24" s="12">
        <f t="shared" si="8"/>
        <v>1</v>
      </c>
      <c r="D24" s="12">
        <f t="shared" si="9"/>
        <v>61.348266274562</v>
      </c>
      <c r="E24" s="46">
        <f t="shared" si="4"/>
        <v>58.280852960833897</v>
      </c>
      <c r="F24" s="12">
        <f t="shared" si="10"/>
        <v>28.716209745539668</v>
      </c>
      <c r="G24" s="46">
        <f t="shared" si="0"/>
        <v>25.844588770985702</v>
      </c>
      <c r="H24" s="46">
        <f t="shared" si="5"/>
        <v>84.125441731819592</v>
      </c>
      <c r="I24" s="12">
        <f t="shared" si="1"/>
        <v>83.125441731819592</v>
      </c>
      <c r="J24" s="12">
        <f t="shared" si="6"/>
        <v>0.3504938994813922</v>
      </c>
      <c r="K24" s="12">
        <f t="shared" si="7"/>
        <v>29.134960218698701</v>
      </c>
      <c r="L24" s="12">
        <f t="shared" si="2"/>
        <v>28.784466319217309</v>
      </c>
      <c r="M24" s="18"/>
    </row>
    <row r="25" spans="1:14" x14ac:dyDescent="0.3">
      <c r="A25" s="19">
        <f t="shared" si="3"/>
        <v>13</v>
      </c>
      <c r="B25" s="12">
        <f t="shared" si="3"/>
        <v>2027</v>
      </c>
      <c r="C25" s="12">
        <f t="shared" si="8"/>
        <v>1</v>
      </c>
      <c r="D25" s="12">
        <f t="shared" si="9"/>
        <v>63.004669463975169</v>
      </c>
      <c r="E25" s="46">
        <f t="shared" si="4"/>
        <v>59.854435990776409</v>
      </c>
      <c r="F25" s="12">
        <f t="shared" si="10"/>
        <v>29.491547408669238</v>
      </c>
      <c r="G25" s="46">
        <f t="shared" si="0"/>
        <v>26.542392667802314</v>
      </c>
      <c r="H25" s="46">
        <f t="shared" si="5"/>
        <v>86.396828658578727</v>
      </c>
      <c r="I25" s="12">
        <f t="shared" si="1"/>
        <v>85.396828658578727</v>
      </c>
      <c r="J25" s="12">
        <f t="shared" si="6"/>
        <v>0.31863081771035656</v>
      </c>
      <c r="K25" s="12">
        <f t="shared" si="7"/>
        <v>27.210061345354152</v>
      </c>
      <c r="L25" s="12">
        <f t="shared" si="2"/>
        <v>26.891430527643795</v>
      </c>
      <c r="M25" s="18"/>
    </row>
    <row r="26" spans="1:14" x14ac:dyDescent="0.3">
      <c r="A26" s="19">
        <f t="shared" si="3"/>
        <v>14</v>
      </c>
      <c r="B26" s="12">
        <f t="shared" si="3"/>
        <v>2028</v>
      </c>
      <c r="C26" s="12">
        <f t="shared" si="8"/>
        <v>1</v>
      </c>
      <c r="D26" s="12">
        <f t="shared" si="9"/>
        <v>64.705795539502489</v>
      </c>
      <c r="E26" s="46">
        <f t="shared" si="4"/>
        <v>61.47050576252736</v>
      </c>
      <c r="F26" s="12">
        <f t="shared" si="10"/>
        <v>30.287819188703306</v>
      </c>
      <c r="G26" s="46">
        <f t="shared" si="0"/>
        <v>27.259037269832977</v>
      </c>
      <c r="H26" s="46">
        <f t="shared" si="5"/>
        <v>88.72954303236034</v>
      </c>
      <c r="I26" s="12">
        <f t="shared" si="1"/>
        <v>87.72954303236034</v>
      </c>
      <c r="J26" s="12">
        <f t="shared" si="6"/>
        <v>0.28966437973668779</v>
      </c>
      <c r="K26" s="12">
        <f t="shared" si="7"/>
        <v>25.412123667051716</v>
      </c>
      <c r="L26" s="12">
        <f t="shared" si="2"/>
        <v>25.122459287315028</v>
      </c>
      <c r="M26" s="18"/>
    </row>
    <row r="27" spans="1:14" x14ac:dyDescent="0.3">
      <c r="A27" s="19">
        <f t="shared" si="3"/>
        <v>15</v>
      </c>
      <c r="B27" s="12">
        <f t="shared" si="3"/>
        <v>2029</v>
      </c>
      <c r="C27" s="12">
        <f t="shared" si="8"/>
        <v>1</v>
      </c>
      <c r="D27" s="12">
        <f t="shared" si="9"/>
        <v>66.452852019069056</v>
      </c>
      <c r="E27" s="46">
        <f t="shared" si="4"/>
        <v>63.130209418115598</v>
      </c>
      <c r="F27" s="12">
        <f t="shared" si="10"/>
        <v>31.105590306798291</v>
      </c>
      <c r="G27" s="46">
        <f t="shared" si="0"/>
        <v>27.995031276118464</v>
      </c>
      <c r="H27" s="46">
        <f t="shared" si="5"/>
        <v>91.125240694234066</v>
      </c>
      <c r="I27" s="12">
        <f t="shared" si="1"/>
        <v>90.125240694234066</v>
      </c>
      <c r="J27" s="12">
        <f t="shared" si="6"/>
        <v>0.26333125430607973</v>
      </c>
      <c r="K27" s="12">
        <f t="shared" si="7"/>
        <v>23.732792676649996</v>
      </c>
      <c r="L27" s="12">
        <f t="shared" si="2"/>
        <v>23.469461422343915</v>
      </c>
      <c r="M27" s="18"/>
    </row>
    <row r="28" spans="1:14" x14ac:dyDescent="0.3">
      <c r="A28" s="19">
        <f t="shared" si="3"/>
        <v>16</v>
      </c>
      <c r="B28" s="12">
        <f t="shared" si="3"/>
        <v>2030</v>
      </c>
      <c r="C28" s="12">
        <f t="shared" si="8"/>
        <v>1</v>
      </c>
      <c r="D28" s="12">
        <f t="shared" si="9"/>
        <v>68.247079023583908</v>
      </c>
      <c r="E28" s="46">
        <f t="shared" si="4"/>
        <v>64.834725072404709</v>
      </c>
      <c r="F28" s="12">
        <f t="shared" si="10"/>
        <v>31.945441245081842</v>
      </c>
      <c r="G28" s="46">
        <f t="shared" si="0"/>
        <v>28.750897120573658</v>
      </c>
      <c r="H28" s="46">
        <f t="shared" si="5"/>
        <v>93.585622192978363</v>
      </c>
      <c r="I28" s="12">
        <f t="shared" si="1"/>
        <v>92.585622192978363</v>
      </c>
      <c r="J28" s="12">
        <f>(C28)/((1+0.1)^($A28-1))</f>
        <v>0.23939204936916339</v>
      </c>
      <c r="K28" s="12">
        <f>(H28)/((1+0.1)^($A28-1))</f>
        <v>22.40365388826535</v>
      </c>
      <c r="L28" s="12">
        <f t="shared" si="2"/>
        <v>22.164261838896188</v>
      </c>
      <c r="M28" s="18"/>
    </row>
    <row r="29" spans="1:14" x14ac:dyDescent="0.3">
      <c r="A29" s="19">
        <f t="shared" si="3"/>
        <v>17</v>
      </c>
      <c r="B29" s="12">
        <f t="shared" si="3"/>
        <v>2031</v>
      </c>
      <c r="C29" s="12">
        <f t="shared" si="8"/>
        <v>1</v>
      </c>
      <c r="D29" s="12">
        <f t="shared" si="9"/>
        <v>70.089750157220664</v>
      </c>
      <c r="E29" s="46">
        <f t="shared" si="4"/>
        <v>66.58526264935962</v>
      </c>
      <c r="F29" s="12">
        <f t="shared" si="10"/>
        <v>32.807968158699047</v>
      </c>
      <c r="G29" s="46">
        <f t="shared" si="0"/>
        <v>29.527171342829142</v>
      </c>
      <c r="H29" s="46">
        <f t="shared" si="5"/>
        <v>96.112433992188755</v>
      </c>
      <c r="I29" s="12">
        <f t="shared" si="1"/>
        <v>95.112433992188755</v>
      </c>
      <c r="J29" s="12">
        <f t="shared" ref="J29:J43" si="11">(C29)/((1+0.08)^($A29-1))</f>
        <v>0.29189046756100923</v>
      </c>
      <c r="K29" s="12">
        <f t="shared" ref="K29:K43" si="12">(H29)/((1+0.08)^($A29-1))</f>
        <v>28.054303296406612</v>
      </c>
      <c r="L29" s="12">
        <f t="shared" si="2"/>
        <v>27.762412828845601</v>
      </c>
      <c r="M29" s="18"/>
    </row>
    <row r="30" spans="1:14" x14ac:dyDescent="0.3">
      <c r="A30" s="19">
        <f t="shared" si="3"/>
        <v>18</v>
      </c>
      <c r="B30" s="12">
        <f t="shared" si="3"/>
        <v>2032</v>
      </c>
      <c r="C30" s="12">
        <f t="shared" si="8"/>
        <v>1</v>
      </c>
      <c r="D30" s="12">
        <f t="shared" si="9"/>
        <v>71.98217341146561</v>
      </c>
      <c r="E30" s="46">
        <f t="shared" si="4"/>
        <v>68.383064740892323</v>
      </c>
      <c r="F30" s="12">
        <f t="shared" si="10"/>
        <v>33.693783298983917</v>
      </c>
      <c r="G30" s="46">
        <f t="shared" si="0"/>
        <v>30.324404969085524</v>
      </c>
      <c r="H30" s="46">
        <f t="shared" si="5"/>
        <v>98.707469709977843</v>
      </c>
      <c r="I30" s="12">
        <f t="shared" si="1"/>
        <v>97.707469709977843</v>
      </c>
      <c r="J30" s="12">
        <f t="shared" si="11"/>
        <v>0.27026895144537894</v>
      </c>
      <c r="K30" s="12">
        <f t="shared" si="12"/>
        <v>26.677564338342211</v>
      </c>
      <c r="L30" s="12">
        <f t="shared" si="2"/>
        <v>26.407295386896834</v>
      </c>
      <c r="M30" s="18"/>
      <c r="N30" s="70"/>
    </row>
    <row r="31" spans="1:14" x14ac:dyDescent="0.3">
      <c r="A31" s="19">
        <f t="shared" ref="A31:B43" si="13">A30+1</f>
        <v>19</v>
      </c>
      <c r="B31" s="12">
        <f t="shared" si="13"/>
        <v>2033</v>
      </c>
      <c r="C31" s="12">
        <f t="shared" si="8"/>
        <v>1</v>
      </c>
      <c r="D31" s="12">
        <f t="shared" si="9"/>
        <v>73.925692093575179</v>
      </c>
      <c r="E31" s="46">
        <f t="shared" si="4"/>
        <v>70.229407488896413</v>
      </c>
      <c r="F31" s="12">
        <f t="shared" si="10"/>
        <v>34.603515448056477</v>
      </c>
      <c r="G31" s="46">
        <f t="shared" si="0"/>
        <v>31.14316390325083</v>
      </c>
      <c r="H31" s="46">
        <f t="shared" si="5"/>
        <v>101.37257139214725</v>
      </c>
      <c r="I31" s="12">
        <f t="shared" si="1"/>
        <v>100.37257139214725</v>
      </c>
      <c r="J31" s="12">
        <f t="shared" si="11"/>
        <v>0.25024902911609154</v>
      </c>
      <c r="K31" s="12">
        <f t="shared" si="12"/>
        <v>25.368387569886526</v>
      </c>
      <c r="L31" s="12">
        <f t="shared" si="2"/>
        <v>25.118138540770435</v>
      </c>
      <c r="M31" s="18"/>
    </row>
    <row r="32" spans="1:14" x14ac:dyDescent="0.3">
      <c r="A32" s="19">
        <f t="shared" si="13"/>
        <v>20</v>
      </c>
      <c r="B32" s="12">
        <f t="shared" si="13"/>
        <v>2034</v>
      </c>
      <c r="C32" s="12">
        <f t="shared" si="8"/>
        <v>1</v>
      </c>
      <c r="D32" s="12">
        <f t="shared" si="9"/>
        <v>75.921685780101697</v>
      </c>
      <c r="E32" s="46">
        <f t="shared" si="4"/>
        <v>72.125601491096603</v>
      </c>
      <c r="F32" s="12">
        <f t="shared" si="10"/>
        <v>35.537810365154002</v>
      </c>
      <c r="G32" s="46">
        <f t="shared" si="0"/>
        <v>31.984029328638602</v>
      </c>
      <c r="H32" s="46">
        <f t="shared" si="5"/>
        <v>104.1096308197352</v>
      </c>
      <c r="I32" s="12">
        <f t="shared" si="1"/>
        <v>103.1096308197352</v>
      </c>
      <c r="J32" s="12">
        <f t="shared" si="11"/>
        <v>0.23171206399638106</v>
      </c>
      <c r="K32" s="12">
        <f t="shared" si="12"/>
        <v>24.123457439142086</v>
      </c>
      <c r="L32" s="12">
        <f t="shared" si="2"/>
        <v>23.891745375145707</v>
      </c>
      <c r="M32" s="18"/>
    </row>
    <row r="33" spans="1:13" x14ac:dyDescent="0.3">
      <c r="A33" s="19">
        <f t="shared" si="13"/>
        <v>21</v>
      </c>
      <c r="B33" s="12">
        <f t="shared" si="13"/>
        <v>2035</v>
      </c>
      <c r="C33" s="12">
        <f t="shared" si="8"/>
        <v>1</v>
      </c>
      <c r="D33" s="12">
        <f t="shared" si="9"/>
        <v>77.971571296164441</v>
      </c>
      <c r="E33" s="46">
        <f t="shared" si="4"/>
        <v>74.072992731356223</v>
      </c>
      <c r="F33" s="12">
        <f t="shared" si="10"/>
        <v>36.497331245013157</v>
      </c>
      <c r="G33" s="46">
        <f t="shared" si="0"/>
        <v>32.84759812051184</v>
      </c>
      <c r="H33" s="46">
        <f t="shared" si="5"/>
        <v>106.92059085186807</v>
      </c>
      <c r="I33" s="12">
        <f t="shared" si="1"/>
        <v>105.92059085186807</v>
      </c>
      <c r="J33" s="12">
        <f t="shared" si="11"/>
        <v>0.21454820740405653</v>
      </c>
      <c r="K33" s="12">
        <f t="shared" si="12"/>
        <v>22.939621101850861</v>
      </c>
      <c r="L33" s="12">
        <f t="shared" si="2"/>
        <v>22.725072894446804</v>
      </c>
      <c r="M33" s="18"/>
    </row>
    <row r="34" spans="1:13" x14ac:dyDescent="0.3">
      <c r="A34" s="19">
        <f t="shared" si="13"/>
        <v>22</v>
      </c>
      <c r="B34" s="12">
        <f t="shared" si="13"/>
        <v>2036</v>
      </c>
      <c r="C34" s="12">
        <f t="shared" si="8"/>
        <v>1</v>
      </c>
      <c r="D34" s="12">
        <f t="shared" si="9"/>
        <v>80.076803721160871</v>
      </c>
      <c r="E34" s="46">
        <f t="shared" si="4"/>
        <v>76.072963535102829</v>
      </c>
      <c r="F34" s="12">
        <f t="shared" si="10"/>
        <v>37.482759188628506</v>
      </c>
      <c r="G34" s="46">
        <f t="shared" si="0"/>
        <v>33.734483269765654</v>
      </c>
      <c r="H34" s="46">
        <f t="shared" si="5"/>
        <v>109.80744680486848</v>
      </c>
      <c r="I34" s="12">
        <f t="shared" si="1"/>
        <v>108.80744680486848</v>
      </c>
      <c r="J34" s="12">
        <f t="shared" si="11"/>
        <v>0.19865574759634863</v>
      </c>
      <c r="K34" s="12">
        <f t="shared" si="12"/>
        <v>21.813880436667432</v>
      </c>
      <c r="L34" s="12">
        <f t="shared" si="2"/>
        <v>21.615224689071084</v>
      </c>
      <c r="M34" s="18"/>
    </row>
    <row r="35" spans="1:13" x14ac:dyDescent="0.3">
      <c r="A35" s="19">
        <f t="shared" si="13"/>
        <v>23</v>
      </c>
      <c r="B35" s="12">
        <f t="shared" si="13"/>
        <v>2037</v>
      </c>
      <c r="C35" s="12">
        <f t="shared" si="8"/>
        <v>1</v>
      </c>
      <c r="D35" s="12">
        <f t="shared" si="9"/>
        <v>82.23887742163221</v>
      </c>
      <c r="E35" s="46">
        <f t="shared" si="4"/>
        <v>78.126933550550589</v>
      </c>
      <c r="F35" s="12">
        <f t="shared" si="10"/>
        <v>38.494793686721472</v>
      </c>
      <c r="G35" s="46">
        <f t="shared" si="0"/>
        <v>34.645314318049323</v>
      </c>
      <c r="H35" s="46">
        <f t="shared" si="5"/>
        <v>112.77224786859992</v>
      </c>
      <c r="I35" s="12">
        <f t="shared" si="1"/>
        <v>111.77224786859992</v>
      </c>
      <c r="J35" s="12">
        <f t="shared" si="11"/>
        <v>0.18394050703365611</v>
      </c>
      <c r="K35" s="12">
        <f t="shared" si="12"/>
        <v>20.743384452275414</v>
      </c>
      <c r="L35" s="12">
        <f t="shared" si="2"/>
        <v>20.559443945241757</v>
      </c>
      <c r="M35" s="18"/>
    </row>
    <row r="36" spans="1:13" x14ac:dyDescent="0.3">
      <c r="A36" s="19">
        <f t="shared" si="13"/>
        <v>24</v>
      </c>
      <c r="B36" s="12">
        <f t="shared" si="13"/>
        <v>2038</v>
      </c>
      <c r="C36" s="12">
        <f t="shared" si="8"/>
        <v>1</v>
      </c>
      <c r="D36" s="12">
        <f t="shared" si="9"/>
        <v>84.459327112016268</v>
      </c>
      <c r="E36" s="46">
        <f t="shared" si="4"/>
        <v>80.236360756415451</v>
      </c>
      <c r="F36" s="12">
        <f t="shared" si="10"/>
        <v>39.534153116262949</v>
      </c>
      <c r="G36" s="46">
        <f t="shared" si="0"/>
        <v>35.580737804636655</v>
      </c>
      <c r="H36" s="46">
        <f t="shared" si="5"/>
        <v>115.81709856105211</v>
      </c>
      <c r="I36" s="12">
        <f t="shared" si="1"/>
        <v>114.81709856105211</v>
      </c>
      <c r="J36" s="12">
        <f>(C36)/((1+0.08)^($A36-1))</f>
        <v>0.17031528429042234</v>
      </c>
      <c r="K36" s="12">
        <f t="shared" si="12"/>
        <v>19.725422067117453</v>
      </c>
      <c r="L36" s="12">
        <f t="shared" si="2"/>
        <v>19.555106782827032</v>
      </c>
      <c r="M36" s="18"/>
    </row>
    <row r="37" spans="1:13" x14ac:dyDescent="0.3">
      <c r="A37" s="19">
        <f t="shared" si="13"/>
        <v>25</v>
      </c>
      <c r="B37" s="12">
        <f t="shared" si="13"/>
        <v>2039</v>
      </c>
      <c r="C37" s="12">
        <f t="shared" si="8"/>
        <v>1</v>
      </c>
      <c r="D37" s="12">
        <f t="shared" si="9"/>
        <v>86.739728944040706</v>
      </c>
      <c r="E37" s="46">
        <f t="shared" si="4"/>
        <v>82.40274249683867</v>
      </c>
      <c r="F37" s="12">
        <f t="shared" si="10"/>
        <v>40.601575250402043</v>
      </c>
      <c r="G37" s="46">
        <f t="shared" si="0"/>
        <v>36.541417725361839</v>
      </c>
      <c r="H37" s="46">
        <f t="shared" si="5"/>
        <v>118.94416022220051</v>
      </c>
      <c r="I37" s="12">
        <f t="shared" si="1"/>
        <v>117.94416022220051</v>
      </c>
      <c r="J37" s="12">
        <f t="shared" si="11"/>
        <v>0.1576993373059466</v>
      </c>
      <c r="K37" s="12">
        <f t="shared" si="12"/>
        <v>18.757415243453355</v>
      </c>
      <c r="L37" s="12">
        <f t="shared" si="2"/>
        <v>18.599715906147409</v>
      </c>
      <c r="M37" s="18"/>
    </row>
    <row r="38" spans="1:13" x14ac:dyDescent="0.3">
      <c r="A38" s="19">
        <f t="shared" si="13"/>
        <v>26</v>
      </c>
      <c r="B38" s="12">
        <f t="shared" si="13"/>
        <v>2040</v>
      </c>
      <c r="C38" s="12">
        <f t="shared" si="8"/>
        <v>1</v>
      </c>
      <c r="D38" s="12">
        <f t="shared" si="9"/>
        <v>89.081701625529803</v>
      </c>
      <c r="E38" s="46">
        <f t="shared" si="4"/>
        <v>84.627616544253314</v>
      </c>
      <c r="F38" s="12">
        <f t="shared" si="10"/>
        <v>41.697817782162893</v>
      </c>
      <c r="G38" s="46">
        <f t="shared" si="0"/>
        <v>37.528036003946603</v>
      </c>
      <c r="H38" s="46">
        <f t="shared" si="5"/>
        <v>122.15565254819992</v>
      </c>
      <c r="I38" s="12">
        <f t="shared" si="1"/>
        <v>121.15565254819992</v>
      </c>
      <c r="J38" s="12">
        <f t="shared" si="11"/>
        <v>0.1460179049129135</v>
      </c>
      <c r="K38" s="12">
        <f t="shared" si="12"/>
        <v>17.836912458357958</v>
      </c>
      <c r="L38" s="12">
        <f t="shared" si="2"/>
        <v>17.690894553445045</v>
      </c>
      <c r="M38" s="18"/>
    </row>
    <row r="39" spans="1:13" x14ac:dyDescent="0.3">
      <c r="A39" s="19">
        <f t="shared" si="13"/>
        <v>27</v>
      </c>
      <c r="B39" s="12">
        <f t="shared" si="13"/>
        <v>2041</v>
      </c>
      <c r="C39" s="12">
        <f t="shared" si="8"/>
        <v>1</v>
      </c>
      <c r="D39" s="12">
        <f t="shared" si="9"/>
        <v>91.486907569419103</v>
      </c>
      <c r="E39" s="46">
        <f t="shared" si="4"/>
        <v>86.912562190948137</v>
      </c>
      <c r="F39" s="12">
        <f t="shared" si="10"/>
        <v>42.823658862281285</v>
      </c>
      <c r="G39" s="46">
        <f t="shared" si="0"/>
        <v>38.541292976053157</v>
      </c>
      <c r="H39" s="46">
        <f t="shared" si="5"/>
        <v>125.45385516700129</v>
      </c>
      <c r="I39" s="12">
        <f t="shared" si="1"/>
        <v>124.45385516700129</v>
      </c>
      <c r="J39" s="12">
        <f t="shared" si="11"/>
        <v>0.13520176380825324</v>
      </c>
      <c r="K39" s="12">
        <f t="shared" si="12"/>
        <v>16.961582495123722</v>
      </c>
      <c r="L39" s="12">
        <f t="shared" si="2"/>
        <v>16.826380731315467</v>
      </c>
      <c r="M39" s="18"/>
    </row>
    <row r="40" spans="1:13" x14ac:dyDescent="0.3">
      <c r="A40" s="19">
        <f t="shared" si="13"/>
        <v>28</v>
      </c>
      <c r="B40" s="12">
        <f t="shared" si="13"/>
        <v>2042</v>
      </c>
      <c r="C40" s="12">
        <f t="shared" si="8"/>
        <v>1</v>
      </c>
      <c r="D40" s="12">
        <f t="shared" si="9"/>
        <v>93.957054073793415</v>
      </c>
      <c r="E40" s="46">
        <f t="shared" si="4"/>
        <v>89.259201370103739</v>
      </c>
      <c r="F40" s="12">
        <f t="shared" si="10"/>
        <v>43.979897651562872</v>
      </c>
      <c r="G40" s="46">
        <f t="shared" si="0"/>
        <v>39.581907886406583</v>
      </c>
      <c r="H40" s="46">
        <f t="shared" si="5"/>
        <v>128.84110925651032</v>
      </c>
      <c r="I40" s="12">
        <f t="shared" si="1"/>
        <v>127.84110925651032</v>
      </c>
      <c r="J40" s="12">
        <f t="shared" si="11"/>
        <v>0.12518681834097523</v>
      </c>
      <c r="K40" s="12">
        <f t="shared" si="12"/>
        <v>16.1292085393445</v>
      </c>
      <c r="L40" s="12">
        <f t="shared" si="2"/>
        <v>16.004021721003525</v>
      </c>
      <c r="M40" s="18"/>
    </row>
    <row r="41" spans="1:13" x14ac:dyDescent="0.3">
      <c r="A41" s="19">
        <f t="shared" si="13"/>
        <v>29</v>
      </c>
      <c r="B41" s="12">
        <f t="shared" si="13"/>
        <v>2043</v>
      </c>
      <c r="C41" s="12">
        <f t="shared" si="8"/>
        <v>1</v>
      </c>
      <c r="D41" s="12">
        <f t="shared" si="9"/>
        <v>96.493894533785834</v>
      </c>
      <c r="E41" s="46">
        <f t="shared" si="4"/>
        <v>91.669199807096533</v>
      </c>
      <c r="F41" s="12">
        <f t="shared" si="10"/>
        <v>45.167354888155067</v>
      </c>
      <c r="G41" s="46">
        <f t="shared" si="0"/>
        <v>40.650619399339561</v>
      </c>
      <c r="H41" s="46">
        <f t="shared" si="5"/>
        <v>132.31981920643608</v>
      </c>
      <c r="I41" s="12">
        <f t="shared" si="1"/>
        <v>131.31981920643608</v>
      </c>
      <c r="J41" s="12">
        <f t="shared" si="11"/>
        <v>0.11591372068608817</v>
      </c>
      <c r="K41" s="12">
        <f t="shared" si="12"/>
        <v>15.337682564728517</v>
      </c>
      <c r="L41" s="12">
        <f t="shared" si="2"/>
        <v>15.22176884404243</v>
      </c>
      <c r="M41" s="18"/>
    </row>
    <row r="42" spans="1:13" x14ac:dyDescent="0.3">
      <c r="A42" s="19">
        <f t="shared" si="13"/>
        <v>30</v>
      </c>
      <c r="B42" s="12">
        <f t="shared" si="13"/>
        <v>2044</v>
      </c>
      <c r="C42" s="12">
        <f t="shared" si="8"/>
        <v>1</v>
      </c>
      <c r="D42" s="12">
        <f t="shared" si="9"/>
        <v>99.099229686198044</v>
      </c>
      <c r="E42" s="46">
        <f t="shared" si="4"/>
        <v>94.144268201888138</v>
      </c>
      <c r="F42" s="12">
        <f t="shared" si="10"/>
        <v>46.386873470135249</v>
      </c>
      <c r="G42" s="46">
        <f t="shared" si="0"/>
        <v>41.748186123121727</v>
      </c>
      <c r="H42" s="46">
        <f t="shared" si="5"/>
        <v>135.89245432500985</v>
      </c>
      <c r="I42" s="12">
        <f t="shared" si="1"/>
        <v>134.89245432500985</v>
      </c>
      <c r="J42" s="12">
        <f t="shared" si="11"/>
        <v>0.10732751915378534</v>
      </c>
      <c r="K42" s="12">
        <f t="shared" si="12"/>
        <v>14.584999994422393</v>
      </c>
      <c r="L42" s="12">
        <f t="shared" si="2"/>
        <v>14.477672475268609</v>
      </c>
      <c r="M42" s="18"/>
    </row>
    <row r="43" spans="1:13" x14ac:dyDescent="0.3">
      <c r="A43" s="19">
        <f t="shared" si="13"/>
        <v>31</v>
      </c>
      <c r="B43" s="12">
        <f t="shared" si="13"/>
        <v>2045</v>
      </c>
      <c r="C43" s="12">
        <f>C42</f>
        <v>1</v>
      </c>
      <c r="D43" s="12">
        <f t="shared" si="9"/>
        <v>101.77490888772539</v>
      </c>
      <c r="E43" s="46">
        <f t="shared" si="4"/>
        <v>96.686163443339112</v>
      </c>
      <c r="F43" s="12">
        <f t="shared" si="10"/>
        <v>47.639319053828899</v>
      </c>
      <c r="G43" s="46">
        <f t="shared" si="0"/>
        <v>42.875387148446009</v>
      </c>
      <c r="H43" s="46">
        <f t="shared" si="5"/>
        <v>139.56155059178514</v>
      </c>
      <c r="I43" s="12">
        <f t="shared" si="1"/>
        <v>138.56155059178514</v>
      </c>
      <c r="J43" s="12">
        <f t="shared" si="11"/>
        <v>9.9377332549801231E-2</v>
      </c>
      <c r="K43" s="12">
        <f t="shared" si="12"/>
        <v>13.869254624325739</v>
      </c>
      <c r="L43" s="44">
        <f t="shared" si="2"/>
        <v>13.769877291775938</v>
      </c>
      <c r="M43" s="18"/>
    </row>
    <row r="44" spans="1:13" x14ac:dyDescent="0.3">
      <c r="A44" s="12"/>
      <c r="B44" s="19" t="s">
        <v>19</v>
      </c>
      <c r="C44" s="19">
        <f t="shared" ref="C44:K44" si="14">SUM(C13:C43)</f>
        <v>530</v>
      </c>
      <c r="D44" s="19">
        <f>SUM(D13:D43)</f>
        <v>2130.475238062746</v>
      </c>
      <c r="E44" s="47">
        <f>SUM(E13:E43)</f>
        <v>2023.9514761596085</v>
      </c>
      <c r="F44" s="47">
        <f>SUM(F13:F43)</f>
        <v>997.24372845490245</v>
      </c>
      <c r="G44" s="47">
        <f t="shared" ref="G44" si="15">SUM(G13:G43)</f>
        <v>897.51935560941229</v>
      </c>
      <c r="H44" s="47">
        <f>SUM(H13:H43)</f>
        <v>2921.4708317690211</v>
      </c>
      <c r="I44" s="19">
        <f t="shared" si="14"/>
        <v>2391.4708317690211</v>
      </c>
      <c r="J44" s="19">
        <f t="shared" si="14"/>
        <v>510.30438416150946</v>
      </c>
      <c r="K44" s="19">
        <f t="shared" si="14"/>
        <v>863.24745021589467</v>
      </c>
      <c r="L44" s="20">
        <f>SUM(L13:L43)</f>
        <v>352.94306605438504</v>
      </c>
      <c r="M44" s="40" t="s">
        <v>20</v>
      </c>
    </row>
    <row r="45" spans="1:13" x14ac:dyDescent="0.3">
      <c r="A45" s="5"/>
      <c r="B45" s="5"/>
      <c r="C45" s="5"/>
      <c r="D45" s="5"/>
      <c r="E45" s="5"/>
      <c r="F45" s="5"/>
      <c r="G45" s="5"/>
      <c r="H45" s="5"/>
      <c r="I45" s="17"/>
      <c r="J45" s="17"/>
      <c r="K45" s="5"/>
      <c r="L45" s="42">
        <f>K44/J44</f>
        <v>1.6916324394004816</v>
      </c>
      <c r="M45" s="40" t="s">
        <v>9</v>
      </c>
    </row>
    <row r="46" spans="1:13" ht="34.200000000000003" x14ac:dyDescent="0.3">
      <c r="A46" s="5"/>
      <c r="B46" s="45"/>
      <c r="C46" s="5"/>
      <c r="D46" s="5"/>
      <c r="E46" s="5"/>
      <c r="F46" s="5"/>
      <c r="G46" s="5"/>
      <c r="H46" s="5"/>
      <c r="I46" s="5"/>
      <c r="J46" s="5"/>
      <c r="K46" s="5"/>
      <c r="L46" s="43">
        <f>IRR(L13:L43)</f>
        <v>5.235816440505614E-2</v>
      </c>
      <c r="M46" s="41" t="s">
        <v>11</v>
      </c>
    </row>
    <row r="61" spans="1:4" x14ac:dyDescent="0.3">
      <c r="D61" s="50" t="s">
        <v>52</v>
      </c>
    </row>
    <row r="64" spans="1:4" x14ac:dyDescent="0.3">
      <c r="A64" s="7" t="s">
        <v>0</v>
      </c>
      <c r="B64" s="5"/>
    </row>
    <row r="65" spans="1:12" ht="22.8" x14ac:dyDescent="0.3">
      <c r="A65" s="34" t="s">
        <v>39</v>
      </c>
      <c r="B65" s="27">
        <v>47</v>
      </c>
      <c r="F65" s="5"/>
    </row>
    <row r="66" spans="1:12" ht="22.8" x14ac:dyDescent="0.3">
      <c r="A66" s="34" t="s">
        <v>40</v>
      </c>
      <c r="B66" s="27">
        <v>22</v>
      </c>
      <c r="D66" s="64" t="s">
        <v>3</v>
      </c>
      <c r="E66" s="62" t="s">
        <v>2</v>
      </c>
      <c r="F66" s="35" t="s">
        <v>4</v>
      </c>
    </row>
    <row r="67" spans="1:12" ht="24" x14ac:dyDescent="0.3">
      <c r="A67" s="34" t="s">
        <v>5</v>
      </c>
      <c r="B67" s="22">
        <v>2.7E-2</v>
      </c>
      <c r="D67" s="37" t="s">
        <v>6</v>
      </c>
      <c r="E67" s="12">
        <f>L108</f>
        <v>198.23334069291482</v>
      </c>
      <c r="F67" s="24" t="s">
        <v>7</v>
      </c>
    </row>
    <row r="68" spans="1:12" ht="35.4" x14ac:dyDescent="0.3">
      <c r="A68" s="34" t="s">
        <v>8</v>
      </c>
      <c r="B68" s="23" t="s">
        <v>48</v>
      </c>
      <c r="D68" s="37" t="s">
        <v>9</v>
      </c>
      <c r="E68" s="67">
        <f>L109</f>
        <v>1.3897384706993572</v>
      </c>
      <c r="F68" s="24" t="s">
        <v>10</v>
      </c>
    </row>
    <row r="69" spans="1:12" ht="24" x14ac:dyDescent="0.3">
      <c r="A69" s="34" t="s">
        <v>1</v>
      </c>
      <c r="B69" s="23" t="s">
        <v>47</v>
      </c>
      <c r="D69" s="37" t="s">
        <v>53</v>
      </c>
      <c r="E69" s="13">
        <f>L110</f>
        <v>3.468994923777835E-2</v>
      </c>
      <c r="F69" s="24" t="s">
        <v>12</v>
      </c>
    </row>
    <row r="70" spans="1:12" ht="22.8" x14ac:dyDescent="0.3">
      <c r="A70" s="34" t="s">
        <v>37</v>
      </c>
      <c r="B70" s="28" t="s">
        <v>58</v>
      </c>
    </row>
    <row r="71" spans="1:12" x14ac:dyDescent="0.3">
      <c r="A71" s="34" t="s">
        <v>60</v>
      </c>
      <c r="B71" s="21" t="s">
        <v>41</v>
      </c>
    </row>
    <row r="76" spans="1:12" ht="45.6" x14ac:dyDescent="0.3">
      <c r="A76" s="29" t="s">
        <v>13</v>
      </c>
      <c r="B76" s="29" t="s">
        <v>14</v>
      </c>
      <c r="C76" s="29" t="s">
        <v>15</v>
      </c>
      <c r="D76" s="29" t="s">
        <v>42</v>
      </c>
      <c r="E76" s="36" t="s">
        <v>43</v>
      </c>
      <c r="F76" s="36" t="s">
        <v>44</v>
      </c>
      <c r="G76" s="36" t="s">
        <v>45</v>
      </c>
      <c r="H76" s="36" t="s">
        <v>46</v>
      </c>
      <c r="I76" s="36" t="s">
        <v>16</v>
      </c>
      <c r="J76" s="36" t="s">
        <v>17</v>
      </c>
      <c r="K76" s="36" t="s">
        <v>18</v>
      </c>
      <c r="L76" s="36" t="s">
        <v>7</v>
      </c>
    </row>
    <row r="77" spans="1:12" x14ac:dyDescent="0.3">
      <c r="A77" s="19">
        <v>1</v>
      </c>
      <c r="B77" s="12">
        <v>2015</v>
      </c>
      <c r="C77" s="12">
        <v>500</v>
      </c>
      <c r="D77" s="12">
        <v>0</v>
      </c>
      <c r="E77" s="12">
        <v>0</v>
      </c>
      <c r="F77" s="12">
        <v>0</v>
      </c>
      <c r="G77" s="12">
        <v>0</v>
      </c>
      <c r="H77" s="46">
        <f>E77+G77</f>
        <v>0</v>
      </c>
      <c r="I77" s="12">
        <f>H77-C77</f>
        <v>-500</v>
      </c>
      <c r="J77" s="12">
        <v>500</v>
      </c>
      <c r="K77" s="12">
        <v>0</v>
      </c>
      <c r="L77" s="12">
        <f t="shared" ref="L77:L107" si="16">K77-J77</f>
        <v>-500</v>
      </c>
    </row>
    <row r="78" spans="1:12" x14ac:dyDescent="0.3">
      <c r="A78" s="19">
        <f>A77+1</f>
        <v>2</v>
      </c>
      <c r="B78" s="12">
        <f>B77+1</f>
        <v>2016</v>
      </c>
      <c r="C78" s="12">
        <v>1</v>
      </c>
      <c r="D78" s="12">
        <f>B65</f>
        <v>47</v>
      </c>
      <c r="E78" s="46">
        <f>D78*0.95</f>
        <v>44.65</v>
      </c>
      <c r="F78" s="12">
        <f>B66</f>
        <v>22</v>
      </c>
      <c r="G78" s="46">
        <f t="shared" ref="G78:G107" si="17">F78*0.9</f>
        <v>19.8</v>
      </c>
      <c r="H78" s="46">
        <f t="shared" ref="H78:H107" si="18">E78+G78</f>
        <v>64.45</v>
      </c>
      <c r="I78" s="12">
        <f>H78-C78</f>
        <v>63.45</v>
      </c>
      <c r="J78" s="12">
        <f>(C78)/((1+0.12)^($A78-1))</f>
        <v>0.89285714285714279</v>
      </c>
      <c r="K78" s="12">
        <f>(H78)/((1+0.12)^($A78-1))</f>
        <v>57.544642857142854</v>
      </c>
      <c r="L78" s="12">
        <f t="shared" si="16"/>
        <v>56.651785714285708</v>
      </c>
    </row>
    <row r="79" spans="1:12" x14ac:dyDescent="0.3">
      <c r="A79" s="19">
        <f t="shared" ref="A79:B94" si="19">A78+1</f>
        <v>3</v>
      </c>
      <c r="B79" s="12">
        <f t="shared" si="19"/>
        <v>2017</v>
      </c>
      <c r="C79" s="12">
        <f>C78</f>
        <v>1</v>
      </c>
      <c r="D79" s="12">
        <f>D78*(1+$B$67)</f>
        <v>48.268999999999998</v>
      </c>
      <c r="E79" s="46">
        <f t="shared" ref="E79:E107" si="20">D79*0.95</f>
        <v>45.855549999999994</v>
      </c>
      <c r="F79" s="12">
        <f>F78*(1+$B$67)</f>
        <v>22.593999999999998</v>
      </c>
      <c r="G79" s="46">
        <f t="shared" si="17"/>
        <v>20.334599999999998</v>
      </c>
      <c r="H79" s="46">
        <f t="shared" si="18"/>
        <v>66.190149999999988</v>
      </c>
      <c r="I79" s="12">
        <f t="shared" ref="I79:I107" si="21">H79-C79</f>
        <v>65.190149999999988</v>
      </c>
      <c r="J79" s="12">
        <f t="shared" ref="J79:J91" si="22">(C79)/((1+0.12)^($A79-1))</f>
        <v>0.79719387755102034</v>
      </c>
      <c r="K79" s="12">
        <f t="shared" ref="K79:K92" si="23">(H79)/((1+0.12)^($A79-1))</f>
        <v>52.766382334183653</v>
      </c>
      <c r="L79" s="12">
        <f t="shared" si="16"/>
        <v>51.969188456632637</v>
      </c>
    </row>
    <row r="80" spans="1:12" x14ac:dyDescent="0.3">
      <c r="A80" s="19">
        <f t="shared" si="19"/>
        <v>4</v>
      </c>
      <c r="B80" s="12">
        <f t="shared" si="19"/>
        <v>2018</v>
      </c>
      <c r="C80" s="12">
        <f t="shared" ref="C80:C106" si="24">C79</f>
        <v>1</v>
      </c>
      <c r="D80" s="12">
        <f t="shared" ref="D80:D107" si="25">D79*(1+$B$67)</f>
        <v>49.572262999999992</v>
      </c>
      <c r="E80" s="46">
        <f t="shared" si="20"/>
        <v>47.093649849999991</v>
      </c>
      <c r="F80" s="12">
        <f t="shared" ref="F80:F107" si="26">F79*(1+$B$67)</f>
        <v>23.204037999999997</v>
      </c>
      <c r="G80" s="46">
        <f t="shared" si="17"/>
        <v>20.883634199999999</v>
      </c>
      <c r="H80" s="46">
        <f t="shared" si="18"/>
        <v>67.977284049999994</v>
      </c>
      <c r="I80" s="12">
        <f t="shared" si="21"/>
        <v>66.977284049999994</v>
      </c>
      <c r="J80" s="12">
        <f t="shared" si="22"/>
        <v>0.71178024781341087</v>
      </c>
      <c r="K80" s="12">
        <f t="shared" si="23"/>
        <v>48.384888086791619</v>
      </c>
      <c r="L80" s="12">
        <f t="shared" si="16"/>
        <v>47.673107838978211</v>
      </c>
    </row>
    <row r="81" spans="1:12" x14ac:dyDescent="0.3">
      <c r="A81" s="19">
        <f t="shared" si="19"/>
        <v>5</v>
      </c>
      <c r="B81" s="12">
        <f t="shared" si="19"/>
        <v>2019</v>
      </c>
      <c r="C81" s="12">
        <f t="shared" si="24"/>
        <v>1</v>
      </c>
      <c r="D81" s="12">
        <f t="shared" si="25"/>
        <v>50.910714100999989</v>
      </c>
      <c r="E81" s="46">
        <f t="shared" si="20"/>
        <v>48.365178395949989</v>
      </c>
      <c r="F81" s="12">
        <f t="shared" si="26"/>
        <v>23.830547025999994</v>
      </c>
      <c r="G81" s="46">
        <f t="shared" si="17"/>
        <v>21.447492323399995</v>
      </c>
      <c r="H81" s="46">
        <f t="shared" si="18"/>
        <v>69.812670719349981</v>
      </c>
      <c r="I81" s="12">
        <f t="shared" si="21"/>
        <v>68.812670719349981</v>
      </c>
      <c r="J81" s="12">
        <f t="shared" si="22"/>
        <v>0.63551807840483121</v>
      </c>
      <c r="K81" s="12">
        <f t="shared" si="23"/>
        <v>44.367214343870522</v>
      </c>
      <c r="L81" s="12">
        <f t="shared" si="16"/>
        <v>43.731696265465693</v>
      </c>
    </row>
    <row r="82" spans="1:12" x14ac:dyDescent="0.3">
      <c r="A82" s="19">
        <f t="shared" si="19"/>
        <v>6</v>
      </c>
      <c r="B82" s="12">
        <f t="shared" si="19"/>
        <v>2020</v>
      </c>
      <c r="C82" s="12">
        <f t="shared" si="24"/>
        <v>1</v>
      </c>
      <c r="D82" s="12">
        <f t="shared" si="25"/>
        <v>52.285303381726983</v>
      </c>
      <c r="E82" s="46">
        <f t="shared" si="20"/>
        <v>49.671038212640632</v>
      </c>
      <c r="F82" s="12">
        <f t="shared" si="26"/>
        <v>24.473971795701992</v>
      </c>
      <c r="G82" s="46">
        <f t="shared" si="17"/>
        <v>22.026574616131793</v>
      </c>
      <c r="H82" s="46">
        <f t="shared" si="18"/>
        <v>71.697612828772421</v>
      </c>
      <c r="I82" s="12">
        <f t="shared" si="21"/>
        <v>70.697612828772421</v>
      </c>
      <c r="J82" s="12">
        <f t="shared" si="22"/>
        <v>0.56742685571859919</v>
      </c>
      <c r="K82" s="12">
        <f t="shared" si="23"/>
        <v>40.683151009959836</v>
      </c>
      <c r="L82" s="12">
        <f t="shared" si="16"/>
        <v>40.115724154241235</v>
      </c>
    </row>
    <row r="83" spans="1:12" x14ac:dyDescent="0.3">
      <c r="A83" s="19">
        <f t="shared" si="19"/>
        <v>7</v>
      </c>
      <c r="B83" s="12">
        <f t="shared" si="19"/>
        <v>2021</v>
      </c>
      <c r="C83" s="12">
        <f t="shared" si="24"/>
        <v>1</v>
      </c>
      <c r="D83" s="12">
        <f t="shared" si="25"/>
        <v>53.697006573033605</v>
      </c>
      <c r="E83" s="46">
        <f t="shared" si="20"/>
        <v>51.01215624438192</v>
      </c>
      <c r="F83" s="12">
        <f t="shared" si="26"/>
        <v>25.134769034185943</v>
      </c>
      <c r="G83" s="46">
        <f t="shared" si="17"/>
        <v>22.621292130767351</v>
      </c>
      <c r="H83" s="46">
        <f t="shared" si="18"/>
        <v>73.633448375149271</v>
      </c>
      <c r="I83" s="12">
        <f t="shared" si="21"/>
        <v>72.633448375149271</v>
      </c>
      <c r="J83" s="12">
        <f t="shared" si="22"/>
        <v>0.50663112117732068</v>
      </c>
      <c r="K83" s="12">
        <f t="shared" si="23"/>
        <v>37.304996506454238</v>
      </c>
      <c r="L83" s="12">
        <f t="shared" si="16"/>
        <v>36.798365385276917</v>
      </c>
    </row>
    <row r="84" spans="1:12" x14ac:dyDescent="0.3">
      <c r="A84" s="19">
        <f t="shared" si="19"/>
        <v>8</v>
      </c>
      <c r="B84" s="12">
        <f t="shared" si="19"/>
        <v>2022</v>
      </c>
      <c r="C84" s="12">
        <f t="shared" si="24"/>
        <v>1</v>
      </c>
      <c r="D84" s="12">
        <f t="shared" si="25"/>
        <v>55.146825750505506</v>
      </c>
      <c r="E84" s="46">
        <f t="shared" si="20"/>
        <v>52.389484462980228</v>
      </c>
      <c r="F84" s="12">
        <f t="shared" si="26"/>
        <v>25.813407798108962</v>
      </c>
      <c r="G84" s="46">
        <f t="shared" si="17"/>
        <v>23.232067018298068</v>
      </c>
      <c r="H84" s="46">
        <f t="shared" si="18"/>
        <v>75.621551481278289</v>
      </c>
      <c r="I84" s="12">
        <f t="shared" si="21"/>
        <v>74.621551481278289</v>
      </c>
      <c r="J84" s="12">
        <f t="shared" si="22"/>
        <v>0.45234921533689343</v>
      </c>
      <c r="K84" s="12">
        <f t="shared" si="23"/>
        <v>34.207349475114725</v>
      </c>
      <c r="L84" s="12">
        <f t="shared" si="16"/>
        <v>33.75500025977783</v>
      </c>
    </row>
    <row r="85" spans="1:12" x14ac:dyDescent="0.3">
      <c r="A85" s="19">
        <f t="shared" si="19"/>
        <v>9</v>
      </c>
      <c r="B85" s="12">
        <f t="shared" si="19"/>
        <v>2023</v>
      </c>
      <c r="C85" s="12">
        <f t="shared" si="24"/>
        <v>1</v>
      </c>
      <c r="D85" s="12">
        <f t="shared" si="25"/>
        <v>56.635790045769149</v>
      </c>
      <c r="E85" s="46">
        <f t="shared" si="20"/>
        <v>53.80400054348069</v>
      </c>
      <c r="F85" s="12">
        <f t="shared" si="26"/>
        <v>26.510369808657902</v>
      </c>
      <c r="G85" s="46">
        <f t="shared" si="17"/>
        <v>23.859332827792112</v>
      </c>
      <c r="H85" s="46">
        <f t="shared" si="18"/>
        <v>77.663333371272799</v>
      </c>
      <c r="I85" s="12">
        <f t="shared" si="21"/>
        <v>76.663333371272799</v>
      </c>
      <c r="J85" s="12">
        <f t="shared" si="22"/>
        <v>0.4038832279793691</v>
      </c>
      <c r="K85" s="12">
        <f t="shared" si="23"/>
        <v>31.366917777627517</v>
      </c>
      <c r="L85" s="12">
        <f t="shared" si="16"/>
        <v>30.96303454964815</v>
      </c>
    </row>
    <row r="86" spans="1:12" x14ac:dyDescent="0.3">
      <c r="A86" s="19">
        <f t="shared" si="19"/>
        <v>10</v>
      </c>
      <c r="B86" s="12">
        <f t="shared" si="19"/>
        <v>2024</v>
      </c>
      <c r="C86" s="12">
        <f t="shared" si="24"/>
        <v>1</v>
      </c>
      <c r="D86" s="12">
        <f t="shared" si="25"/>
        <v>58.164956377004913</v>
      </c>
      <c r="E86" s="46">
        <f t="shared" si="20"/>
        <v>55.256708558154664</v>
      </c>
      <c r="F86" s="12">
        <f t="shared" si="26"/>
        <v>27.226149793491665</v>
      </c>
      <c r="G86" s="46">
        <f t="shared" si="17"/>
        <v>24.503534814142498</v>
      </c>
      <c r="H86" s="46">
        <f t="shared" si="18"/>
        <v>79.760243372297168</v>
      </c>
      <c r="I86" s="12">
        <f t="shared" si="21"/>
        <v>78.760243372297168</v>
      </c>
      <c r="J86" s="12">
        <f t="shared" si="22"/>
        <v>0.36061002498157957</v>
      </c>
      <c r="K86" s="12">
        <f t="shared" si="23"/>
        <v>28.762343355020949</v>
      </c>
      <c r="L86" s="12">
        <f t="shared" si="16"/>
        <v>28.40173333003937</v>
      </c>
    </row>
    <row r="87" spans="1:12" x14ac:dyDescent="0.3">
      <c r="A87" s="19">
        <f t="shared" si="19"/>
        <v>11</v>
      </c>
      <c r="B87" s="12">
        <f t="shared" si="19"/>
        <v>2025</v>
      </c>
      <c r="C87" s="12">
        <f t="shared" si="24"/>
        <v>1</v>
      </c>
      <c r="D87" s="12">
        <f t="shared" si="25"/>
        <v>59.735410199184038</v>
      </c>
      <c r="E87" s="46">
        <f t="shared" si="20"/>
        <v>56.748639689224831</v>
      </c>
      <c r="F87" s="12">
        <f t="shared" si="26"/>
        <v>27.961255837915939</v>
      </c>
      <c r="G87" s="46">
        <f t="shared" si="17"/>
        <v>25.165130254124346</v>
      </c>
      <c r="H87" s="46">
        <f t="shared" si="18"/>
        <v>81.91376994334918</v>
      </c>
      <c r="I87" s="12">
        <f t="shared" si="21"/>
        <v>80.91376994334918</v>
      </c>
      <c r="J87" s="12">
        <f t="shared" si="22"/>
        <v>0.32197323659069599</v>
      </c>
      <c r="K87" s="12">
        <f t="shared" si="23"/>
        <v>26.374041630005809</v>
      </c>
      <c r="L87" s="12">
        <f t="shared" si="16"/>
        <v>26.052068393415112</v>
      </c>
    </row>
    <row r="88" spans="1:12" x14ac:dyDescent="0.3">
      <c r="A88" s="19">
        <f t="shared" si="19"/>
        <v>12</v>
      </c>
      <c r="B88" s="12">
        <f t="shared" si="19"/>
        <v>2026</v>
      </c>
      <c r="C88" s="12">
        <f t="shared" si="24"/>
        <v>1</v>
      </c>
      <c r="D88" s="12">
        <f t="shared" si="25"/>
        <v>61.348266274562</v>
      </c>
      <c r="E88" s="46">
        <f t="shared" si="20"/>
        <v>58.280852960833897</v>
      </c>
      <c r="F88" s="12">
        <f t="shared" si="26"/>
        <v>28.716209745539668</v>
      </c>
      <c r="G88" s="46">
        <f t="shared" si="17"/>
        <v>25.844588770985702</v>
      </c>
      <c r="H88" s="46">
        <f t="shared" si="18"/>
        <v>84.125441731819592</v>
      </c>
      <c r="I88" s="12">
        <f t="shared" si="21"/>
        <v>83.125441731819592</v>
      </c>
      <c r="J88" s="12">
        <f t="shared" si="22"/>
        <v>0.28747610409883567</v>
      </c>
      <c r="K88" s="12">
        <f t="shared" si="23"/>
        <v>24.184054244657105</v>
      </c>
      <c r="L88" s="12">
        <f>K88-J88</f>
        <v>23.896578140558269</v>
      </c>
    </row>
    <row r="89" spans="1:12" x14ac:dyDescent="0.3">
      <c r="A89" s="19">
        <f t="shared" si="19"/>
        <v>13</v>
      </c>
      <c r="B89" s="12">
        <f t="shared" si="19"/>
        <v>2027</v>
      </c>
      <c r="C89" s="12">
        <f t="shared" si="24"/>
        <v>1</v>
      </c>
      <c r="D89" s="12">
        <f t="shared" si="25"/>
        <v>63.004669463975169</v>
      </c>
      <c r="E89" s="46">
        <f t="shared" si="20"/>
        <v>59.854435990776409</v>
      </c>
      <c r="F89" s="12">
        <f t="shared" si="26"/>
        <v>29.491547408669238</v>
      </c>
      <c r="G89" s="46">
        <f t="shared" si="17"/>
        <v>26.542392667802314</v>
      </c>
      <c r="H89" s="46">
        <f t="shared" si="18"/>
        <v>86.396828658578727</v>
      </c>
      <c r="I89" s="12">
        <f t="shared" si="21"/>
        <v>85.396828658578727</v>
      </c>
      <c r="J89" s="12">
        <f t="shared" si="22"/>
        <v>0.25667509294538904</v>
      </c>
      <c r="K89" s="12">
        <f t="shared" si="23"/>
        <v>22.175914026127543</v>
      </c>
      <c r="L89" s="12">
        <f t="shared" si="16"/>
        <v>21.919238933182154</v>
      </c>
    </row>
    <row r="90" spans="1:12" x14ac:dyDescent="0.3">
      <c r="A90" s="19">
        <f t="shared" si="19"/>
        <v>14</v>
      </c>
      <c r="B90" s="12">
        <f t="shared" si="19"/>
        <v>2028</v>
      </c>
      <c r="C90" s="12">
        <f t="shared" si="24"/>
        <v>1</v>
      </c>
      <c r="D90" s="12">
        <f t="shared" si="25"/>
        <v>64.705795539502489</v>
      </c>
      <c r="E90" s="46">
        <f t="shared" si="20"/>
        <v>61.47050576252736</v>
      </c>
      <c r="F90" s="12">
        <f t="shared" si="26"/>
        <v>30.287819188703306</v>
      </c>
      <c r="G90" s="46">
        <f t="shared" si="17"/>
        <v>27.259037269832977</v>
      </c>
      <c r="H90" s="46">
        <f t="shared" si="18"/>
        <v>88.72954303236034</v>
      </c>
      <c r="I90" s="12">
        <f t="shared" si="21"/>
        <v>87.72954303236034</v>
      </c>
      <c r="J90" s="12">
        <f t="shared" si="22"/>
        <v>0.22917419012981158</v>
      </c>
      <c r="K90" s="12">
        <f t="shared" si="23"/>
        <v>20.334521165029447</v>
      </c>
      <c r="L90" s="12">
        <f t="shared" si="16"/>
        <v>20.105346974899636</v>
      </c>
    </row>
    <row r="91" spans="1:12" x14ac:dyDescent="0.3">
      <c r="A91" s="19">
        <f t="shared" si="19"/>
        <v>15</v>
      </c>
      <c r="B91" s="12">
        <f t="shared" si="19"/>
        <v>2029</v>
      </c>
      <c r="C91" s="12">
        <f t="shared" si="24"/>
        <v>1</v>
      </c>
      <c r="D91" s="12">
        <f t="shared" si="25"/>
        <v>66.452852019069056</v>
      </c>
      <c r="E91" s="46">
        <f t="shared" si="20"/>
        <v>63.130209418115598</v>
      </c>
      <c r="F91" s="12">
        <f t="shared" si="26"/>
        <v>31.105590306798291</v>
      </c>
      <c r="G91" s="46">
        <f t="shared" si="17"/>
        <v>27.995031276118464</v>
      </c>
      <c r="H91" s="46">
        <f t="shared" si="18"/>
        <v>91.125240694234066</v>
      </c>
      <c r="I91" s="12">
        <f t="shared" si="21"/>
        <v>90.125240694234066</v>
      </c>
      <c r="J91" s="12">
        <f t="shared" si="22"/>
        <v>0.20461981261590317</v>
      </c>
      <c r="K91" s="12">
        <f t="shared" si="23"/>
        <v>18.646029675433251</v>
      </c>
      <c r="L91" s="12">
        <f t="shared" si="16"/>
        <v>18.441409862817348</v>
      </c>
    </row>
    <row r="92" spans="1:12" x14ac:dyDescent="0.3">
      <c r="A92" s="19">
        <f t="shared" si="19"/>
        <v>16</v>
      </c>
      <c r="B92" s="12">
        <f t="shared" si="19"/>
        <v>2030</v>
      </c>
      <c r="C92" s="12">
        <f t="shared" si="24"/>
        <v>1</v>
      </c>
      <c r="D92" s="12">
        <f t="shared" si="25"/>
        <v>68.247079023583908</v>
      </c>
      <c r="E92" s="46">
        <f t="shared" si="20"/>
        <v>64.834725072404709</v>
      </c>
      <c r="F92" s="12">
        <f t="shared" si="26"/>
        <v>31.945441245081842</v>
      </c>
      <c r="G92" s="46">
        <f t="shared" si="17"/>
        <v>28.750897120573658</v>
      </c>
      <c r="H92" s="46">
        <f t="shared" si="18"/>
        <v>93.585622192978363</v>
      </c>
      <c r="I92" s="12">
        <f t="shared" si="21"/>
        <v>92.585622192978363</v>
      </c>
      <c r="J92" s="12">
        <f>(C92)/((1+0.12)^($A92-1))</f>
        <v>0.18269626126419927</v>
      </c>
      <c r="K92" s="12">
        <f t="shared" si="23"/>
        <v>17.097743282741021</v>
      </c>
      <c r="L92" s="12">
        <f t="shared" si="16"/>
        <v>16.915047021476823</v>
      </c>
    </row>
    <row r="93" spans="1:12" x14ac:dyDescent="0.3">
      <c r="A93" s="19">
        <f t="shared" si="19"/>
        <v>17</v>
      </c>
      <c r="B93" s="12">
        <f t="shared" si="19"/>
        <v>2031</v>
      </c>
      <c r="C93" s="12">
        <f t="shared" si="24"/>
        <v>1</v>
      </c>
      <c r="D93" s="12">
        <f t="shared" si="25"/>
        <v>70.089750157220664</v>
      </c>
      <c r="E93" s="46">
        <f t="shared" si="20"/>
        <v>66.58526264935962</v>
      </c>
      <c r="F93" s="12">
        <f t="shared" si="26"/>
        <v>32.807968158699047</v>
      </c>
      <c r="G93" s="46">
        <f t="shared" si="17"/>
        <v>29.527171342829142</v>
      </c>
      <c r="H93" s="46">
        <f t="shared" si="18"/>
        <v>96.112433992188755</v>
      </c>
      <c r="I93" s="12">
        <f t="shared" si="21"/>
        <v>95.112433992188755</v>
      </c>
      <c r="J93" s="12">
        <f t="shared" ref="J93:J107" si="27">(C93)/((1+0.1)^($A93-1))</f>
        <v>0.21762913579014853</v>
      </c>
      <c r="K93" s="12">
        <f t="shared" ref="K93:K107" si="28">(H93)/((1+0.1)^($A93-1))</f>
        <v>20.916865948407736</v>
      </c>
      <c r="L93" s="12">
        <f t="shared" si="16"/>
        <v>20.699236812617588</v>
      </c>
    </row>
    <row r="94" spans="1:12" x14ac:dyDescent="0.3">
      <c r="A94" s="19">
        <f t="shared" si="19"/>
        <v>18</v>
      </c>
      <c r="B94" s="12">
        <f t="shared" si="19"/>
        <v>2032</v>
      </c>
      <c r="C94" s="12">
        <f t="shared" si="24"/>
        <v>1</v>
      </c>
      <c r="D94" s="12">
        <f t="shared" si="25"/>
        <v>71.98217341146561</v>
      </c>
      <c r="E94" s="46">
        <f t="shared" si="20"/>
        <v>68.383064740892323</v>
      </c>
      <c r="F94" s="12">
        <f t="shared" si="26"/>
        <v>33.693783298983917</v>
      </c>
      <c r="G94" s="46">
        <f t="shared" si="17"/>
        <v>30.324404969085524</v>
      </c>
      <c r="H94" s="46">
        <f t="shared" si="18"/>
        <v>98.707469709977843</v>
      </c>
      <c r="I94" s="12">
        <f t="shared" si="21"/>
        <v>97.707469709977843</v>
      </c>
      <c r="J94" s="12">
        <f t="shared" si="27"/>
        <v>0.19784466890013502</v>
      </c>
      <c r="K94" s="12">
        <f t="shared" si="28"/>
        <v>19.528746662740673</v>
      </c>
      <c r="L94" s="12">
        <f t="shared" si="16"/>
        <v>19.330901993840538</v>
      </c>
    </row>
    <row r="95" spans="1:12" x14ac:dyDescent="0.3">
      <c r="A95" s="19">
        <f t="shared" ref="A95:B107" si="29">A94+1</f>
        <v>19</v>
      </c>
      <c r="B95" s="12">
        <f t="shared" si="29"/>
        <v>2033</v>
      </c>
      <c r="C95" s="12">
        <f t="shared" si="24"/>
        <v>1</v>
      </c>
      <c r="D95" s="12">
        <f t="shared" si="25"/>
        <v>73.925692093575179</v>
      </c>
      <c r="E95" s="46">
        <f t="shared" si="20"/>
        <v>70.229407488896413</v>
      </c>
      <c r="F95" s="12">
        <f t="shared" si="26"/>
        <v>34.603515448056477</v>
      </c>
      <c r="G95" s="46">
        <f t="shared" si="17"/>
        <v>31.14316390325083</v>
      </c>
      <c r="H95" s="46">
        <f t="shared" si="18"/>
        <v>101.37257139214725</v>
      </c>
      <c r="I95" s="12">
        <f t="shared" si="21"/>
        <v>100.37257139214725</v>
      </c>
      <c r="J95" s="12">
        <f t="shared" si="27"/>
        <v>0.17985878990921364</v>
      </c>
      <c r="K95" s="12">
        <f t="shared" si="28"/>
        <v>18.232748020576974</v>
      </c>
      <c r="L95" s="12">
        <f t="shared" si="16"/>
        <v>18.052889230667759</v>
      </c>
    </row>
    <row r="96" spans="1:12" x14ac:dyDescent="0.3">
      <c r="A96" s="19">
        <f t="shared" si="29"/>
        <v>20</v>
      </c>
      <c r="B96" s="12">
        <f t="shared" si="29"/>
        <v>2034</v>
      </c>
      <c r="C96" s="12">
        <f t="shared" si="24"/>
        <v>1</v>
      </c>
      <c r="D96" s="12">
        <f t="shared" si="25"/>
        <v>75.921685780101697</v>
      </c>
      <c r="E96" s="46">
        <f t="shared" si="20"/>
        <v>72.125601491096603</v>
      </c>
      <c r="F96" s="12">
        <f t="shared" si="26"/>
        <v>35.537810365154002</v>
      </c>
      <c r="G96" s="46">
        <f t="shared" si="17"/>
        <v>31.984029328638602</v>
      </c>
      <c r="H96" s="46">
        <f t="shared" si="18"/>
        <v>104.1096308197352</v>
      </c>
      <c r="I96" s="12">
        <f t="shared" si="21"/>
        <v>103.1096308197352</v>
      </c>
      <c r="J96" s="12">
        <f t="shared" si="27"/>
        <v>0.16350799082655781</v>
      </c>
      <c r="K96" s="12">
        <f t="shared" si="28"/>
        <v>17.022756561029585</v>
      </c>
      <c r="L96" s="12">
        <f t="shared" si="16"/>
        <v>16.859248570203025</v>
      </c>
    </row>
    <row r="97" spans="1:13" x14ac:dyDescent="0.3">
      <c r="A97" s="19">
        <f t="shared" si="29"/>
        <v>21</v>
      </c>
      <c r="B97" s="12">
        <f t="shared" si="29"/>
        <v>2035</v>
      </c>
      <c r="C97" s="12">
        <f t="shared" si="24"/>
        <v>1</v>
      </c>
      <c r="D97" s="12">
        <f t="shared" si="25"/>
        <v>77.971571296164441</v>
      </c>
      <c r="E97" s="46">
        <f t="shared" si="20"/>
        <v>74.072992731356223</v>
      </c>
      <c r="F97" s="12">
        <f t="shared" si="26"/>
        <v>36.497331245013157</v>
      </c>
      <c r="G97" s="46">
        <f t="shared" si="17"/>
        <v>32.84759812051184</v>
      </c>
      <c r="H97" s="46">
        <f t="shared" si="18"/>
        <v>106.92059085186807</v>
      </c>
      <c r="I97" s="12">
        <f t="shared" si="21"/>
        <v>105.92059085186807</v>
      </c>
      <c r="J97" s="12">
        <f t="shared" si="27"/>
        <v>0.14864362802414349</v>
      </c>
      <c r="K97" s="12">
        <f t="shared" si="28"/>
        <v>15.893064534706717</v>
      </c>
      <c r="L97" s="12">
        <f t="shared" si="16"/>
        <v>15.744420906682574</v>
      </c>
    </row>
    <row r="98" spans="1:13" x14ac:dyDescent="0.3">
      <c r="A98" s="19">
        <f t="shared" si="29"/>
        <v>22</v>
      </c>
      <c r="B98" s="12">
        <f t="shared" si="29"/>
        <v>2036</v>
      </c>
      <c r="C98" s="12">
        <f t="shared" si="24"/>
        <v>1</v>
      </c>
      <c r="D98" s="12">
        <f t="shared" si="25"/>
        <v>80.076803721160871</v>
      </c>
      <c r="E98" s="46">
        <f t="shared" si="20"/>
        <v>76.072963535102829</v>
      </c>
      <c r="F98" s="12">
        <f t="shared" si="26"/>
        <v>37.482759188628506</v>
      </c>
      <c r="G98" s="46">
        <f t="shared" si="17"/>
        <v>33.734483269765654</v>
      </c>
      <c r="H98" s="46">
        <f t="shared" si="18"/>
        <v>109.80744680486848</v>
      </c>
      <c r="I98" s="12">
        <f t="shared" si="21"/>
        <v>108.80744680486848</v>
      </c>
      <c r="J98" s="12">
        <f t="shared" si="27"/>
        <v>0.13513057093103953</v>
      </c>
      <c r="K98" s="12">
        <f t="shared" si="28"/>
        <v>14.838342979221629</v>
      </c>
      <c r="L98" s="12">
        <f t="shared" si="16"/>
        <v>14.70321240829059</v>
      </c>
    </row>
    <row r="99" spans="1:13" x14ac:dyDescent="0.3">
      <c r="A99" s="19">
        <f t="shared" si="29"/>
        <v>23</v>
      </c>
      <c r="B99" s="12">
        <f t="shared" si="29"/>
        <v>2037</v>
      </c>
      <c r="C99" s="12">
        <f t="shared" si="24"/>
        <v>1</v>
      </c>
      <c r="D99" s="12">
        <f t="shared" si="25"/>
        <v>82.23887742163221</v>
      </c>
      <c r="E99" s="46">
        <f t="shared" si="20"/>
        <v>78.126933550550589</v>
      </c>
      <c r="F99" s="12">
        <f t="shared" si="26"/>
        <v>38.494793686721472</v>
      </c>
      <c r="G99" s="46">
        <f t="shared" si="17"/>
        <v>34.645314318049323</v>
      </c>
      <c r="H99" s="46">
        <f t="shared" si="18"/>
        <v>112.77224786859992</v>
      </c>
      <c r="I99" s="12">
        <f t="shared" si="21"/>
        <v>111.77224786859992</v>
      </c>
      <c r="J99" s="12">
        <f t="shared" si="27"/>
        <v>0.12284597357367227</v>
      </c>
      <c r="K99" s="12">
        <f t="shared" si="28"/>
        <v>13.853616581509645</v>
      </c>
      <c r="L99" s="12">
        <f t="shared" si="16"/>
        <v>13.730770607935971</v>
      </c>
    </row>
    <row r="100" spans="1:13" x14ac:dyDescent="0.3">
      <c r="A100" s="19">
        <f t="shared" si="29"/>
        <v>24</v>
      </c>
      <c r="B100" s="12">
        <f t="shared" si="29"/>
        <v>2038</v>
      </c>
      <c r="C100" s="12">
        <f t="shared" si="24"/>
        <v>1</v>
      </c>
      <c r="D100" s="12">
        <f t="shared" si="25"/>
        <v>84.459327112016268</v>
      </c>
      <c r="E100" s="46">
        <f t="shared" si="20"/>
        <v>80.236360756415451</v>
      </c>
      <c r="F100" s="12">
        <f t="shared" si="26"/>
        <v>39.534153116262949</v>
      </c>
      <c r="G100" s="46">
        <f t="shared" si="17"/>
        <v>35.580737804636655</v>
      </c>
      <c r="H100" s="46">
        <f t="shared" si="18"/>
        <v>115.81709856105211</v>
      </c>
      <c r="I100" s="12">
        <f t="shared" si="21"/>
        <v>114.81709856105211</v>
      </c>
      <c r="J100" s="12">
        <f t="shared" si="27"/>
        <v>0.11167815779424752</v>
      </c>
      <c r="K100" s="12">
        <f t="shared" si="28"/>
        <v>12.934240208373094</v>
      </c>
      <c r="L100" s="12">
        <f t="shared" si="16"/>
        <v>12.822562050578846</v>
      </c>
    </row>
    <row r="101" spans="1:13" x14ac:dyDescent="0.3">
      <c r="A101" s="19">
        <f t="shared" si="29"/>
        <v>25</v>
      </c>
      <c r="B101" s="12">
        <f t="shared" si="29"/>
        <v>2039</v>
      </c>
      <c r="C101" s="12">
        <f t="shared" si="24"/>
        <v>1</v>
      </c>
      <c r="D101" s="12">
        <f t="shared" si="25"/>
        <v>86.739728944040706</v>
      </c>
      <c r="E101" s="46">
        <f t="shared" si="20"/>
        <v>82.40274249683867</v>
      </c>
      <c r="F101" s="12">
        <f t="shared" si="26"/>
        <v>40.601575250402043</v>
      </c>
      <c r="G101" s="46">
        <f t="shared" si="17"/>
        <v>36.541417725361839</v>
      </c>
      <c r="H101" s="46">
        <f t="shared" si="18"/>
        <v>118.94416022220051</v>
      </c>
      <c r="I101" s="12">
        <f t="shared" si="21"/>
        <v>117.94416022220051</v>
      </c>
      <c r="J101" s="12">
        <f t="shared" si="27"/>
        <v>0.10152559799477048</v>
      </c>
      <c r="K101" s="12">
        <f t="shared" si="28"/>
        <v>12.075876994544698</v>
      </c>
      <c r="L101" s="12">
        <f t="shared" si="16"/>
        <v>11.974351396549928</v>
      </c>
    </row>
    <row r="102" spans="1:13" x14ac:dyDescent="0.3">
      <c r="A102" s="19">
        <f t="shared" si="29"/>
        <v>26</v>
      </c>
      <c r="B102" s="12">
        <f t="shared" si="29"/>
        <v>2040</v>
      </c>
      <c r="C102" s="12">
        <f t="shared" si="24"/>
        <v>1</v>
      </c>
      <c r="D102" s="12">
        <f t="shared" si="25"/>
        <v>89.081701625529803</v>
      </c>
      <c r="E102" s="46">
        <f t="shared" si="20"/>
        <v>84.627616544253314</v>
      </c>
      <c r="F102" s="12">
        <f t="shared" si="26"/>
        <v>41.697817782162893</v>
      </c>
      <c r="G102" s="46">
        <f t="shared" si="17"/>
        <v>37.528036003946603</v>
      </c>
      <c r="H102" s="46">
        <f t="shared" si="18"/>
        <v>122.15565254819992</v>
      </c>
      <c r="I102" s="12">
        <f t="shared" si="21"/>
        <v>121.15565254819992</v>
      </c>
      <c r="J102" s="12">
        <f t="shared" si="27"/>
        <v>9.2295998177064048E-2</v>
      </c>
      <c r="K102" s="12">
        <f t="shared" si="28"/>
        <v>11.27447788490673</v>
      </c>
      <c r="L102" s="12">
        <f t="shared" si="16"/>
        <v>11.182181886729666</v>
      </c>
    </row>
    <row r="103" spans="1:13" x14ac:dyDescent="0.3">
      <c r="A103" s="19">
        <f t="shared" si="29"/>
        <v>27</v>
      </c>
      <c r="B103" s="12">
        <f t="shared" si="29"/>
        <v>2041</v>
      </c>
      <c r="C103" s="12">
        <f t="shared" si="24"/>
        <v>1</v>
      </c>
      <c r="D103" s="12">
        <f t="shared" si="25"/>
        <v>91.486907569419103</v>
      </c>
      <c r="E103" s="46">
        <f t="shared" si="20"/>
        <v>86.912562190948137</v>
      </c>
      <c r="F103" s="12">
        <f t="shared" si="26"/>
        <v>42.823658862281285</v>
      </c>
      <c r="G103" s="46">
        <f t="shared" si="17"/>
        <v>38.541292976053157</v>
      </c>
      <c r="H103" s="46">
        <f t="shared" si="18"/>
        <v>125.45385516700129</v>
      </c>
      <c r="I103" s="12">
        <f t="shared" si="21"/>
        <v>124.45385516700129</v>
      </c>
      <c r="J103" s="12">
        <f t="shared" si="27"/>
        <v>8.3905452888240042E-2</v>
      </c>
      <c r="K103" s="12">
        <f t="shared" si="28"/>
        <v>10.526262534362917</v>
      </c>
      <c r="L103" s="12">
        <f t="shared" si="16"/>
        <v>10.442357081474677</v>
      </c>
    </row>
    <row r="104" spans="1:13" x14ac:dyDescent="0.3">
      <c r="A104" s="19">
        <f t="shared" si="29"/>
        <v>28</v>
      </c>
      <c r="B104" s="12">
        <f t="shared" si="29"/>
        <v>2042</v>
      </c>
      <c r="C104" s="12">
        <f t="shared" si="24"/>
        <v>1</v>
      </c>
      <c r="D104" s="12">
        <f t="shared" si="25"/>
        <v>93.957054073793415</v>
      </c>
      <c r="E104" s="46">
        <f t="shared" si="20"/>
        <v>89.259201370103739</v>
      </c>
      <c r="F104" s="12">
        <f t="shared" si="26"/>
        <v>43.979897651562872</v>
      </c>
      <c r="G104" s="46">
        <f t="shared" si="17"/>
        <v>39.581907886406583</v>
      </c>
      <c r="H104" s="46">
        <f t="shared" si="18"/>
        <v>128.84110925651032</v>
      </c>
      <c r="I104" s="12">
        <f t="shared" si="21"/>
        <v>127.84110925651032</v>
      </c>
      <c r="J104" s="12">
        <f t="shared" si="27"/>
        <v>7.6277684443854576E-2</v>
      </c>
      <c r="K104" s="12">
        <f t="shared" si="28"/>
        <v>9.8277014752642842</v>
      </c>
      <c r="L104" s="12">
        <f t="shared" si="16"/>
        <v>9.7514237908204304</v>
      </c>
    </row>
    <row r="105" spans="1:13" x14ac:dyDescent="0.3">
      <c r="A105" s="19">
        <f t="shared" si="29"/>
        <v>29</v>
      </c>
      <c r="B105" s="12">
        <f t="shared" si="29"/>
        <v>2043</v>
      </c>
      <c r="C105" s="12">
        <f t="shared" si="24"/>
        <v>1</v>
      </c>
      <c r="D105" s="12">
        <f t="shared" si="25"/>
        <v>96.493894533785834</v>
      </c>
      <c r="E105" s="46">
        <f t="shared" si="20"/>
        <v>91.669199807096533</v>
      </c>
      <c r="F105" s="12">
        <f t="shared" si="26"/>
        <v>45.167354888155067</v>
      </c>
      <c r="G105" s="46">
        <f t="shared" si="17"/>
        <v>40.650619399339561</v>
      </c>
      <c r="H105" s="46">
        <f t="shared" si="18"/>
        <v>132.31981920643608</v>
      </c>
      <c r="I105" s="12">
        <f t="shared" si="21"/>
        <v>131.31981920643608</v>
      </c>
      <c r="J105" s="12">
        <f t="shared" si="27"/>
        <v>6.9343349494413245E-2</v>
      </c>
      <c r="K105" s="12">
        <f t="shared" si="28"/>
        <v>9.1754994682694715</v>
      </c>
      <c r="L105" s="12">
        <f t="shared" si="16"/>
        <v>9.1061561187750577</v>
      </c>
    </row>
    <row r="106" spans="1:13" x14ac:dyDescent="0.3">
      <c r="A106" s="19">
        <f t="shared" si="29"/>
        <v>30</v>
      </c>
      <c r="B106" s="12">
        <f t="shared" si="29"/>
        <v>2044</v>
      </c>
      <c r="C106" s="12">
        <f t="shared" si="24"/>
        <v>1</v>
      </c>
      <c r="D106" s="12">
        <f t="shared" si="25"/>
        <v>99.099229686198044</v>
      </c>
      <c r="E106" s="46">
        <f t="shared" si="20"/>
        <v>94.144268201888138</v>
      </c>
      <c r="F106" s="12">
        <f t="shared" si="26"/>
        <v>46.386873470135249</v>
      </c>
      <c r="G106" s="46">
        <f t="shared" si="17"/>
        <v>41.748186123121727</v>
      </c>
      <c r="H106" s="46">
        <f t="shared" si="18"/>
        <v>135.89245432500985</v>
      </c>
      <c r="I106" s="12">
        <f t="shared" si="21"/>
        <v>134.89245432500985</v>
      </c>
      <c r="J106" s="12">
        <f t="shared" si="27"/>
        <v>6.3039408631284766E-2</v>
      </c>
      <c r="K106" s="12">
        <f t="shared" si="28"/>
        <v>8.5665799581024977</v>
      </c>
      <c r="L106" s="12">
        <f t="shared" si="16"/>
        <v>8.5035405494712126</v>
      </c>
    </row>
    <row r="107" spans="1:13" x14ac:dyDescent="0.3">
      <c r="A107" s="19">
        <f t="shared" si="29"/>
        <v>31</v>
      </c>
      <c r="B107" s="12">
        <f t="shared" si="29"/>
        <v>2045</v>
      </c>
      <c r="C107" s="12">
        <f>C106</f>
        <v>1</v>
      </c>
      <c r="D107" s="12">
        <f t="shared" si="25"/>
        <v>101.77490888772539</v>
      </c>
      <c r="E107" s="46">
        <f t="shared" si="20"/>
        <v>96.686163443339112</v>
      </c>
      <c r="F107" s="12">
        <f t="shared" si="26"/>
        <v>47.639319053828899</v>
      </c>
      <c r="G107" s="46">
        <f t="shared" si="17"/>
        <v>42.875387148446009</v>
      </c>
      <c r="H107" s="46">
        <f t="shared" si="18"/>
        <v>139.56155059178514</v>
      </c>
      <c r="I107" s="12">
        <f t="shared" si="21"/>
        <v>138.56155059178514</v>
      </c>
      <c r="J107" s="12">
        <f t="shared" si="27"/>
        <v>5.7308553301167964E-2</v>
      </c>
      <c r="K107" s="12">
        <f t="shared" si="28"/>
        <v>7.9980705608829679</v>
      </c>
      <c r="L107" s="12">
        <f t="shared" si="16"/>
        <v>7.9407620075817995</v>
      </c>
    </row>
    <row r="108" spans="1:13" x14ac:dyDescent="0.3">
      <c r="A108" s="44"/>
      <c r="B108" s="19" t="s">
        <v>19</v>
      </c>
      <c r="C108" s="19">
        <f>SUM(C77:C107)</f>
        <v>530</v>
      </c>
      <c r="D108" s="19">
        <f>SUM(D77:D107)</f>
        <v>2130.475238062746</v>
      </c>
      <c r="E108" s="47">
        <f>SUM(E77:E107)</f>
        <v>2023.9514761596085</v>
      </c>
      <c r="F108" s="47">
        <f t="shared" ref="F108:G108" si="30">SUM(F77:F107)</f>
        <v>997.24372845490245</v>
      </c>
      <c r="G108" s="47">
        <f t="shared" si="30"/>
        <v>897.51935560941229</v>
      </c>
      <c r="H108" s="47">
        <f>SUM(H77:H107)</f>
        <v>2921.4708317690211</v>
      </c>
      <c r="I108" s="19">
        <f>SUM(I77:I107)</f>
        <v>2391.4708317690211</v>
      </c>
      <c r="J108" s="19">
        <f>SUM(J77:J107)</f>
        <v>508.63169945014499</v>
      </c>
      <c r="K108" s="48">
        <f>SUM(K77:K107)</f>
        <v>706.86504014305956</v>
      </c>
      <c r="L108" s="20">
        <f>SUM(L77:L107)</f>
        <v>198.23334069291482</v>
      </c>
      <c r="M108" s="40" t="s">
        <v>20</v>
      </c>
    </row>
    <row r="109" spans="1:13" x14ac:dyDescent="0.3">
      <c r="A109" s="5"/>
      <c r="B109" s="5"/>
      <c r="C109" s="5"/>
      <c r="D109" s="5"/>
      <c r="E109" s="5"/>
      <c r="F109" s="5"/>
      <c r="G109" s="5"/>
      <c r="H109" s="5"/>
      <c r="I109" s="17"/>
      <c r="J109" s="17"/>
      <c r="K109" s="5"/>
      <c r="L109" s="42">
        <f>K108/J108</f>
        <v>1.3897384706993572</v>
      </c>
      <c r="M109" s="40" t="s">
        <v>9</v>
      </c>
    </row>
    <row r="110" spans="1:13" x14ac:dyDescent="0.3">
      <c r="A110" s="5"/>
      <c r="B110" s="45"/>
      <c r="C110" s="5"/>
      <c r="D110" s="5"/>
      <c r="E110" s="5"/>
      <c r="F110" s="5"/>
      <c r="G110" s="5"/>
      <c r="H110" s="5"/>
      <c r="I110" s="5"/>
      <c r="J110" s="5"/>
      <c r="K110" s="5"/>
      <c r="L110" s="43">
        <f>IRR(L77:L107)</f>
        <v>3.468994923777835E-2</v>
      </c>
      <c r="M110" s="40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B43F-493C-438C-B7CD-DFF378C5E95B}">
  <sheetPr>
    <tabColor rgb="FFFFFF00"/>
  </sheetPr>
  <dimension ref="A1:M109"/>
  <sheetViews>
    <sheetView workbookViewId="0">
      <selection activeCell="B9" sqref="B9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  <col min="13" max="13" width="13.664062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58.2" x14ac:dyDescent="0.3">
      <c r="A5" s="34" t="s">
        <v>66</v>
      </c>
      <c r="B5" s="10">
        <v>1.4999999999999999E-2</v>
      </c>
      <c r="C5" s="30" t="s">
        <v>68</v>
      </c>
      <c r="D5" s="5"/>
      <c r="E5" s="38" t="s">
        <v>59</v>
      </c>
      <c r="F5" s="12">
        <f>L43</f>
        <v>32.726661019236445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33</v>
      </c>
      <c r="C6" s="5"/>
      <c r="D6" s="5"/>
      <c r="E6" s="38" t="s">
        <v>9</v>
      </c>
      <c r="F6" s="67">
        <f>L44</f>
        <v>1.0454152967017003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53</v>
      </c>
      <c r="F7" s="13">
        <f>L45</f>
        <v>4.0685820001042927E-3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700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-700</v>
      </c>
      <c r="J12" s="12">
        <v>700</v>
      </c>
      <c r="K12" s="12">
        <v>0</v>
      </c>
      <c r="L12" s="12">
        <v>-700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0">F13*0.9</f>
        <v>19.8</v>
      </c>
      <c r="H13" s="46">
        <f t="shared" ref="H13:H42" si="1">E13+G13</f>
        <v>64.45</v>
      </c>
      <c r="I13" s="12">
        <f t="shared" ref="I13:I42" si="2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ref="L13:L42" si="3">K13-J13</f>
        <v>54.954545454545453</v>
      </c>
      <c r="M13" s="18"/>
    </row>
    <row r="14" spans="1:13" x14ac:dyDescent="0.3">
      <c r="A14" s="19">
        <f t="shared" ref="A14:B29" si="4">A13+1</f>
        <v>3</v>
      </c>
      <c r="B14" s="12">
        <f t="shared" si="4"/>
        <v>2017</v>
      </c>
      <c r="C14" s="12">
        <f>C13</f>
        <v>2</v>
      </c>
      <c r="D14" s="12">
        <f>D13*(1+$B$5)</f>
        <v>47.704999999999998</v>
      </c>
      <c r="E14" s="46">
        <f t="shared" ref="E14:E42" si="5">D14*0.95</f>
        <v>45.319749999999999</v>
      </c>
      <c r="F14" s="12">
        <f>F13*(1+$B$5)</f>
        <v>22.33</v>
      </c>
      <c r="G14" s="46">
        <f t="shared" si="0"/>
        <v>20.096999999999998</v>
      </c>
      <c r="H14" s="46">
        <f t="shared" si="1"/>
        <v>65.416749999999993</v>
      </c>
      <c r="I14" s="12">
        <f t="shared" si="2"/>
        <v>63.416749999999993</v>
      </c>
      <c r="J14" s="12">
        <f t="shared" ref="J14:J26" si="6">(C14)/((1+0.1)^($A14-1))</f>
        <v>1.6528925619834709</v>
      </c>
      <c r="K14" s="12">
        <f t="shared" ref="K14:K26" si="7">(I14)/((1+0.1)^($A14-1))</f>
        <v>52.410537190082628</v>
      </c>
      <c r="L14" s="12">
        <f t="shared" si="3"/>
        <v>50.757644628099158</v>
      </c>
      <c r="M14" s="18"/>
    </row>
    <row r="15" spans="1:13" x14ac:dyDescent="0.3">
      <c r="A15" s="19">
        <f t="shared" si="4"/>
        <v>4</v>
      </c>
      <c r="B15" s="12">
        <f t="shared" si="4"/>
        <v>2018</v>
      </c>
      <c r="C15" s="12">
        <f t="shared" ref="C15:C41" si="8">C14</f>
        <v>2</v>
      </c>
      <c r="D15" s="12">
        <f t="shared" ref="D15:D42" si="9">D14*(1+$B$5)</f>
        <v>48.420574999999992</v>
      </c>
      <c r="E15" s="46">
        <f t="shared" si="5"/>
        <v>45.999546249999987</v>
      </c>
      <c r="F15" s="12">
        <f t="shared" ref="F15:F42" si="10">F14*(1+$B$5)</f>
        <v>22.664949999999997</v>
      </c>
      <c r="G15" s="46">
        <f t="shared" si="0"/>
        <v>20.398454999999998</v>
      </c>
      <c r="H15" s="46">
        <f t="shared" si="1"/>
        <v>66.398001249999993</v>
      </c>
      <c r="I15" s="12">
        <f t="shared" si="2"/>
        <v>64.398001249999993</v>
      </c>
      <c r="J15" s="12">
        <f t="shared" si="6"/>
        <v>1.5026296018031551</v>
      </c>
      <c r="K15" s="12">
        <f t="shared" si="7"/>
        <v>48.383171487603285</v>
      </c>
      <c r="L15" s="12">
        <f t="shared" si="3"/>
        <v>46.880541885800127</v>
      </c>
      <c r="M15" s="18"/>
    </row>
    <row r="16" spans="1:13" x14ac:dyDescent="0.3">
      <c r="A16" s="19">
        <f t="shared" si="4"/>
        <v>5</v>
      </c>
      <c r="B16" s="12">
        <f t="shared" si="4"/>
        <v>2019</v>
      </c>
      <c r="C16" s="12">
        <f t="shared" si="8"/>
        <v>2</v>
      </c>
      <c r="D16" s="12">
        <f t="shared" si="9"/>
        <v>49.146883624999987</v>
      </c>
      <c r="E16" s="46">
        <f t="shared" si="5"/>
        <v>46.689539443749986</v>
      </c>
      <c r="F16" s="12">
        <f t="shared" si="10"/>
        <v>23.004924249999995</v>
      </c>
      <c r="G16" s="46">
        <f t="shared" si="0"/>
        <v>20.704431824999997</v>
      </c>
      <c r="H16" s="46">
        <f t="shared" si="1"/>
        <v>67.393971268749979</v>
      </c>
      <c r="I16" s="12">
        <f t="shared" si="2"/>
        <v>65.393971268749979</v>
      </c>
      <c r="J16" s="12">
        <f t="shared" si="6"/>
        <v>1.366026910730141</v>
      </c>
      <c r="K16" s="12">
        <f t="shared" si="7"/>
        <v>44.664962276313069</v>
      </c>
      <c r="L16" s="12">
        <f t="shared" si="3"/>
        <v>43.298935365582928</v>
      </c>
      <c r="M16" s="18"/>
    </row>
    <row r="17" spans="1:13" x14ac:dyDescent="0.3">
      <c r="A17" s="19">
        <f t="shared" si="4"/>
        <v>6</v>
      </c>
      <c r="B17" s="12">
        <f t="shared" si="4"/>
        <v>2020</v>
      </c>
      <c r="C17" s="12">
        <f t="shared" si="8"/>
        <v>2</v>
      </c>
      <c r="D17" s="12">
        <f t="shared" si="9"/>
        <v>49.884086879374983</v>
      </c>
      <c r="E17" s="46">
        <f t="shared" si="5"/>
        <v>47.38988253540623</v>
      </c>
      <c r="F17" s="12">
        <f t="shared" si="10"/>
        <v>23.349998113749994</v>
      </c>
      <c r="G17" s="46">
        <f t="shared" si="0"/>
        <v>21.014998302374995</v>
      </c>
      <c r="H17" s="46">
        <f t="shared" si="1"/>
        <v>68.404880837781221</v>
      </c>
      <c r="I17" s="12">
        <f t="shared" si="2"/>
        <v>66.404880837781221</v>
      </c>
      <c r="J17" s="12">
        <f t="shared" si="6"/>
        <v>1.2418426461183099</v>
      </c>
      <c r="K17" s="12">
        <f t="shared" si="7"/>
        <v>41.232206467380642</v>
      </c>
      <c r="L17" s="12">
        <f t="shared" si="3"/>
        <v>39.990363821262335</v>
      </c>
      <c r="M17" s="18"/>
    </row>
    <row r="18" spans="1:13" x14ac:dyDescent="0.3">
      <c r="A18" s="19">
        <f t="shared" si="4"/>
        <v>7</v>
      </c>
      <c r="B18" s="12">
        <f t="shared" si="4"/>
        <v>2021</v>
      </c>
      <c r="C18" s="12">
        <f t="shared" si="8"/>
        <v>2</v>
      </c>
      <c r="D18" s="12">
        <f t="shared" si="9"/>
        <v>50.6323481825656</v>
      </c>
      <c r="E18" s="46">
        <f t="shared" si="5"/>
        <v>48.10073077343732</v>
      </c>
      <c r="F18" s="12">
        <f t="shared" si="10"/>
        <v>23.700248085456241</v>
      </c>
      <c r="G18" s="46">
        <f t="shared" si="0"/>
        <v>21.330223276910619</v>
      </c>
      <c r="H18" s="46">
        <f t="shared" si="1"/>
        <v>69.430954050347935</v>
      </c>
      <c r="I18" s="12">
        <f t="shared" si="2"/>
        <v>67.430954050347935</v>
      </c>
      <c r="J18" s="12">
        <f t="shared" si="6"/>
        <v>1.1289478601075544</v>
      </c>
      <c r="K18" s="12">
        <f t="shared" si="7"/>
        <v>38.063015640075562</v>
      </c>
      <c r="L18" s="12">
        <f t="shared" si="3"/>
        <v>36.934067779968011</v>
      </c>
      <c r="M18" s="18"/>
    </row>
    <row r="19" spans="1:13" x14ac:dyDescent="0.3">
      <c r="A19" s="19">
        <f t="shared" si="4"/>
        <v>8</v>
      </c>
      <c r="B19" s="12">
        <f t="shared" si="4"/>
        <v>2022</v>
      </c>
      <c r="C19" s="12">
        <f t="shared" si="8"/>
        <v>2</v>
      </c>
      <c r="D19" s="12">
        <f t="shared" si="9"/>
        <v>51.391833405304077</v>
      </c>
      <c r="E19" s="46">
        <f t="shared" si="5"/>
        <v>48.822241735038872</v>
      </c>
      <c r="F19" s="12">
        <f t="shared" si="10"/>
        <v>24.055751806738083</v>
      </c>
      <c r="G19" s="46">
        <f t="shared" si="0"/>
        <v>21.650176626064276</v>
      </c>
      <c r="H19" s="46">
        <f t="shared" si="1"/>
        <v>70.472418361103152</v>
      </c>
      <c r="I19" s="12">
        <f t="shared" si="2"/>
        <v>68.472418361103152</v>
      </c>
      <c r="J19" s="12">
        <f t="shared" si="6"/>
        <v>1.0263162364614129</v>
      </c>
      <c r="K19" s="12">
        <f t="shared" si="7"/>
        <v>35.137177356889367</v>
      </c>
      <c r="L19" s="12">
        <f t="shared" si="3"/>
        <v>34.110861120427955</v>
      </c>
      <c r="M19" s="18"/>
    </row>
    <row r="20" spans="1:13" x14ac:dyDescent="0.3">
      <c r="A20" s="19">
        <f t="shared" si="4"/>
        <v>9</v>
      </c>
      <c r="B20" s="12">
        <f t="shared" si="4"/>
        <v>2023</v>
      </c>
      <c r="C20" s="12">
        <f t="shared" si="8"/>
        <v>2</v>
      </c>
      <c r="D20" s="12">
        <f t="shared" si="9"/>
        <v>52.16271090638363</v>
      </c>
      <c r="E20" s="46">
        <f t="shared" si="5"/>
        <v>49.554575361064444</v>
      </c>
      <c r="F20" s="12">
        <f t="shared" si="10"/>
        <v>24.416588083839152</v>
      </c>
      <c r="G20" s="46">
        <f t="shared" si="0"/>
        <v>21.974929275455239</v>
      </c>
      <c r="H20" s="46">
        <f t="shared" si="1"/>
        <v>71.529504636519675</v>
      </c>
      <c r="I20" s="12">
        <f t="shared" si="2"/>
        <v>69.529504636519675</v>
      </c>
      <c r="J20" s="12">
        <f t="shared" si="6"/>
        <v>0.93301476041946629</v>
      </c>
      <c r="K20" s="12">
        <f t="shared" si="7"/>
        <v>32.436027055263288</v>
      </c>
      <c r="L20" s="12">
        <f t="shared" si="3"/>
        <v>31.50301229484382</v>
      </c>
      <c r="M20" s="18"/>
    </row>
    <row r="21" spans="1:13" x14ac:dyDescent="0.3">
      <c r="A21" s="19">
        <f t="shared" si="4"/>
        <v>10</v>
      </c>
      <c r="B21" s="12">
        <f t="shared" si="4"/>
        <v>2024</v>
      </c>
      <c r="C21" s="12">
        <f t="shared" si="8"/>
        <v>2</v>
      </c>
      <c r="D21" s="12">
        <f t="shared" si="9"/>
        <v>52.94515156997938</v>
      </c>
      <c r="E21" s="46">
        <f t="shared" si="5"/>
        <v>50.297893991480407</v>
      </c>
      <c r="F21" s="12">
        <f t="shared" si="10"/>
        <v>24.782836905096737</v>
      </c>
      <c r="G21" s="46">
        <f t="shared" si="0"/>
        <v>22.304553214587063</v>
      </c>
      <c r="H21" s="46">
        <f t="shared" si="1"/>
        <v>72.602447206067467</v>
      </c>
      <c r="I21" s="12">
        <f t="shared" si="2"/>
        <v>70.602447206067467</v>
      </c>
      <c r="J21" s="12">
        <f t="shared" si="6"/>
        <v>0.84819523674496933</v>
      </c>
      <c r="K21" s="12">
        <f t="shared" si="7"/>
        <v>29.942329711362298</v>
      </c>
      <c r="L21" s="12">
        <f t="shared" si="3"/>
        <v>29.094134474617327</v>
      </c>
      <c r="M21" s="18"/>
    </row>
    <row r="22" spans="1:13" x14ac:dyDescent="0.3">
      <c r="A22" s="19">
        <f t="shared" si="4"/>
        <v>11</v>
      </c>
      <c r="B22" s="12">
        <f t="shared" si="4"/>
        <v>2025</v>
      </c>
      <c r="C22" s="12">
        <f t="shared" si="8"/>
        <v>2</v>
      </c>
      <c r="D22" s="12">
        <f t="shared" si="9"/>
        <v>53.739328843529066</v>
      </c>
      <c r="E22" s="46">
        <f t="shared" si="5"/>
        <v>51.05236240135261</v>
      </c>
      <c r="F22" s="12">
        <f t="shared" si="10"/>
        <v>25.154579458673187</v>
      </c>
      <c r="G22" s="46">
        <f t="shared" si="0"/>
        <v>22.639121512805868</v>
      </c>
      <c r="H22" s="46">
        <f t="shared" si="1"/>
        <v>73.691483914158482</v>
      </c>
      <c r="I22" s="12">
        <f t="shared" si="2"/>
        <v>71.691483914158482</v>
      </c>
      <c r="J22" s="12">
        <f t="shared" si="6"/>
        <v>0.77108657885906295</v>
      </c>
      <c r="K22" s="12">
        <f t="shared" si="7"/>
        <v>27.640170532349003</v>
      </c>
      <c r="L22" s="12">
        <f t="shared" si="3"/>
        <v>26.869083953489941</v>
      </c>
      <c r="M22" s="18"/>
    </row>
    <row r="23" spans="1:13" x14ac:dyDescent="0.3">
      <c r="A23" s="19">
        <f t="shared" si="4"/>
        <v>12</v>
      </c>
      <c r="B23" s="12">
        <f t="shared" si="4"/>
        <v>2026</v>
      </c>
      <c r="C23" s="12">
        <f t="shared" si="8"/>
        <v>2</v>
      </c>
      <c r="D23" s="12">
        <f t="shared" si="9"/>
        <v>54.545418776181997</v>
      </c>
      <c r="E23" s="46">
        <f t="shared" si="5"/>
        <v>51.818147837372898</v>
      </c>
      <c r="F23" s="12">
        <f t="shared" si="10"/>
        <v>25.531898150553282</v>
      </c>
      <c r="G23" s="46">
        <f t="shared" si="0"/>
        <v>22.978708335497956</v>
      </c>
      <c r="H23" s="46">
        <f t="shared" si="1"/>
        <v>74.796856172870861</v>
      </c>
      <c r="I23" s="12">
        <f t="shared" si="2"/>
        <v>72.796856172870861</v>
      </c>
      <c r="J23" s="12">
        <f t="shared" si="6"/>
        <v>0.7009877989627844</v>
      </c>
      <c r="K23" s="12">
        <f t="shared" si="7"/>
        <v>25.514853990015563</v>
      </c>
      <c r="L23" s="12">
        <f t="shared" si="3"/>
        <v>24.813866191052778</v>
      </c>
      <c r="M23" s="18"/>
    </row>
    <row r="24" spans="1:13" x14ac:dyDescent="0.3">
      <c r="A24" s="19">
        <f t="shared" si="4"/>
        <v>13</v>
      </c>
      <c r="B24" s="12">
        <f t="shared" si="4"/>
        <v>2027</v>
      </c>
      <c r="C24" s="12">
        <f t="shared" si="8"/>
        <v>2</v>
      </c>
      <c r="D24" s="12">
        <f t="shared" si="9"/>
        <v>55.363600057824719</v>
      </c>
      <c r="E24" s="46">
        <f t="shared" si="5"/>
        <v>52.595420054933484</v>
      </c>
      <c r="F24" s="12">
        <f t="shared" si="10"/>
        <v>25.91487662281158</v>
      </c>
      <c r="G24" s="46">
        <f t="shared" si="0"/>
        <v>23.323388960530423</v>
      </c>
      <c r="H24" s="46">
        <f t="shared" si="1"/>
        <v>75.918809015463907</v>
      </c>
      <c r="I24" s="12">
        <f t="shared" si="2"/>
        <v>73.918809015463907</v>
      </c>
      <c r="J24" s="12">
        <f t="shared" si="6"/>
        <v>0.63726163542071312</v>
      </c>
      <c r="K24" s="12">
        <f t="shared" si="7"/>
        <v>23.55281056077294</v>
      </c>
      <c r="L24" s="12">
        <f t="shared" si="3"/>
        <v>22.915548925352226</v>
      </c>
      <c r="M24" s="18"/>
    </row>
    <row r="25" spans="1:13" x14ac:dyDescent="0.3">
      <c r="A25" s="19">
        <f t="shared" si="4"/>
        <v>14</v>
      </c>
      <c r="B25" s="12">
        <f t="shared" si="4"/>
        <v>2028</v>
      </c>
      <c r="C25" s="12">
        <f t="shared" si="8"/>
        <v>2</v>
      </c>
      <c r="D25" s="12">
        <f t="shared" si="9"/>
        <v>56.194054058692082</v>
      </c>
      <c r="E25" s="46">
        <f t="shared" si="5"/>
        <v>53.384351355757474</v>
      </c>
      <c r="F25" s="12">
        <f t="shared" si="10"/>
        <v>26.303599772153749</v>
      </c>
      <c r="G25" s="46">
        <f t="shared" si="0"/>
        <v>23.673239794938375</v>
      </c>
      <c r="H25" s="46">
        <f t="shared" si="1"/>
        <v>77.057591150695856</v>
      </c>
      <c r="I25" s="12">
        <f t="shared" si="2"/>
        <v>75.057591150695856</v>
      </c>
      <c r="J25" s="12">
        <f t="shared" si="6"/>
        <v>0.57932875947337559</v>
      </c>
      <c r="K25" s="12">
        <f t="shared" si="7"/>
        <v>21.74151058519622</v>
      </c>
      <c r="L25" s="12">
        <f t="shared" si="3"/>
        <v>21.162181825722843</v>
      </c>
      <c r="M25" s="18"/>
    </row>
    <row r="26" spans="1:13" x14ac:dyDescent="0.3">
      <c r="A26" s="19">
        <f t="shared" si="4"/>
        <v>15</v>
      </c>
      <c r="B26" s="12">
        <f t="shared" si="4"/>
        <v>2029</v>
      </c>
      <c r="C26" s="12">
        <f t="shared" si="8"/>
        <v>2</v>
      </c>
      <c r="D26" s="12">
        <f t="shared" si="9"/>
        <v>57.036964869572458</v>
      </c>
      <c r="E26" s="46">
        <f t="shared" si="5"/>
        <v>54.18511662609383</v>
      </c>
      <c r="F26" s="12">
        <f t="shared" si="10"/>
        <v>26.698153768736052</v>
      </c>
      <c r="G26" s="46">
        <f t="shared" si="0"/>
        <v>24.028338391862448</v>
      </c>
      <c r="H26" s="46">
        <f t="shared" si="1"/>
        <v>78.213455017956278</v>
      </c>
      <c r="I26" s="12">
        <f t="shared" si="2"/>
        <v>76.213455017956278</v>
      </c>
      <c r="J26" s="12">
        <f t="shared" si="6"/>
        <v>0.52666250861215946</v>
      </c>
      <c r="K26" s="12">
        <f t="shared" si="7"/>
        <v>20.069384704878413</v>
      </c>
      <c r="L26" s="12">
        <f t="shared" si="3"/>
        <v>19.542722196266254</v>
      </c>
      <c r="M26" s="18"/>
    </row>
    <row r="27" spans="1:13" x14ac:dyDescent="0.3">
      <c r="A27" s="19">
        <f t="shared" si="4"/>
        <v>16</v>
      </c>
      <c r="B27" s="12">
        <f t="shared" si="4"/>
        <v>2030</v>
      </c>
      <c r="C27" s="12">
        <f t="shared" si="8"/>
        <v>2</v>
      </c>
      <c r="D27" s="12">
        <f t="shared" si="9"/>
        <v>57.89251934261604</v>
      </c>
      <c r="E27" s="46">
        <f t="shared" si="5"/>
        <v>54.997893375485233</v>
      </c>
      <c r="F27" s="12">
        <f t="shared" si="10"/>
        <v>27.098626075267092</v>
      </c>
      <c r="G27" s="46">
        <f t="shared" si="0"/>
        <v>24.388763467740382</v>
      </c>
      <c r="H27" s="46">
        <f t="shared" si="1"/>
        <v>79.386656843225609</v>
      </c>
      <c r="I27" s="12">
        <f t="shared" si="2"/>
        <v>77.386656843225609</v>
      </c>
      <c r="J27" s="12">
        <f>(C27)/((1+0.1)^($A27-1))</f>
        <v>0.47878409873832678</v>
      </c>
      <c r="K27" s="12">
        <f>(H27)/((1+0.1)^($A27-1))</f>
        <v>19.004534474266297</v>
      </c>
      <c r="L27" s="12">
        <f t="shared" si="3"/>
        <v>18.52575037552797</v>
      </c>
      <c r="M27" s="18"/>
    </row>
    <row r="28" spans="1:13" x14ac:dyDescent="0.3">
      <c r="A28" s="19">
        <f t="shared" si="4"/>
        <v>17</v>
      </c>
      <c r="B28" s="12">
        <f t="shared" si="4"/>
        <v>2031</v>
      </c>
      <c r="C28" s="12">
        <f t="shared" si="8"/>
        <v>2</v>
      </c>
      <c r="D28" s="12">
        <f t="shared" si="9"/>
        <v>58.760907132755278</v>
      </c>
      <c r="E28" s="46">
        <f t="shared" si="5"/>
        <v>55.822861776117513</v>
      </c>
      <c r="F28" s="12">
        <f t="shared" si="10"/>
        <v>27.505105466396095</v>
      </c>
      <c r="G28" s="46">
        <f t="shared" si="0"/>
        <v>24.754594919756485</v>
      </c>
      <c r="H28" s="46">
        <f t="shared" si="1"/>
        <v>80.577456695873991</v>
      </c>
      <c r="I28" s="12">
        <f t="shared" si="2"/>
        <v>78.577456695873991</v>
      </c>
      <c r="J28" s="12">
        <f t="shared" ref="J28:J42" si="11">(C28)/((1+0.08)^($A28-1))</f>
        <v>0.58378093512201845</v>
      </c>
      <c r="K28" s="12">
        <f t="shared" ref="K28:K42" si="12">(H28)/((1+0.08)^($A28-1))</f>
        <v>23.519791509835635</v>
      </c>
      <c r="L28" s="12">
        <f t="shared" si="3"/>
        <v>22.936010574713617</v>
      </c>
      <c r="M28" s="18"/>
    </row>
    <row r="29" spans="1:13" x14ac:dyDescent="0.3">
      <c r="A29" s="19">
        <f t="shared" si="4"/>
        <v>18</v>
      </c>
      <c r="B29" s="12">
        <f t="shared" si="4"/>
        <v>2032</v>
      </c>
      <c r="C29" s="12">
        <f t="shared" si="8"/>
        <v>2</v>
      </c>
      <c r="D29" s="12">
        <f t="shared" si="9"/>
        <v>59.642320739746602</v>
      </c>
      <c r="E29" s="46">
        <f t="shared" si="5"/>
        <v>56.660204702759266</v>
      </c>
      <c r="F29" s="12">
        <f t="shared" si="10"/>
        <v>27.917682048392034</v>
      </c>
      <c r="G29" s="46">
        <f t="shared" si="0"/>
        <v>25.12591384355283</v>
      </c>
      <c r="H29" s="46">
        <f t="shared" si="1"/>
        <v>81.786118546312096</v>
      </c>
      <c r="I29" s="12">
        <f t="shared" si="2"/>
        <v>79.786118546312096</v>
      </c>
      <c r="J29" s="12">
        <f t="shared" si="11"/>
        <v>0.54053790289075787</v>
      </c>
      <c r="K29" s="12">
        <f t="shared" si="12"/>
        <v>22.104248502299228</v>
      </c>
      <c r="L29" s="12">
        <f t="shared" si="3"/>
        <v>21.56371059940847</v>
      </c>
      <c r="M29" s="18"/>
    </row>
    <row r="30" spans="1:13" x14ac:dyDescent="0.3">
      <c r="A30" s="19">
        <f t="shared" ref="A30:B42" si="13">A29+1</f>
        <v>19</v>
      </c>
      <c r="B30" s="12">
        <f t="shared" si="13"/>
        <v>2033</v>
      </c>
      <c r="C30" s="12">
        <f t="shared" si="8"/>
        <v>2</v>
      </c>
      <c r="D30" s="12">
        <f t="shared" si="9"/>
        <v>60.536955550842798</v>
      </c>
      <c r="E30" s="46">
        <f t="shared" si="5"/>
        <v>57.510107773300653</v>
      </c>
      <c r="F30" s="12">
        <f t="shared" si="10"/>
        <v>28.336447279117913</v>
      </c>
      <c r="G30" s="46">
        <f t="shared" si="0"/>
        <v>25.502802551206123</v>
      </c>
      <c r="H30" s="46">
        <f t="shared" si="1"/>
        <v>83.012910324506777</v>
      </c>
      <c r="I30" s="12">
        <f t="shared" si="2"/>
        <v>81.012910324506777</v>
      </c>
      <c r="J30" s="12">
        <f t="shared" si="11"/>
        <v>0.50049805823218307</v>
      </c>
      <c r="K30" s="12">
        <f t="shared" si="12"/>
        <v>20.773900212808993</v>
      </c>
      <c r="L30" s="12">
        <f t="shared" si="3"/>
        <v>20.273402154576811</v>
      </c>
      <c r="M30" s="18"/>
    </row>
    <row r="31" spans="1:13" x14ac:dyDescent="0.3">
      <c r="A31" s="19">
        <f t="shared" si="13"/>
        <v>20</v>
      </c>
      <c r="B31" s="12">
        <f t="shared" si="13"/>
        <v>2034</v>
      </c>
      <c r="C31" s="12">
        <f t="shared" si="8"/>
        <v>2</v>
      </c>
      <c r="D31" s="12">
        <f t="shared" si="9"/>
        <v>61.445009884105431</v>
      </c>
      <c r="E31" s="46">
        <f t="shared" si="5"/>
        <v>58.37275938990016</v>
      </c>
      <c r="F31" s="12">
        <f t="shared" si="10"/>
        <v>28.761493988304679</v>
      </c>
      <c r="G31" s="46">
        <f t="shared" si="0"/>
        <v>25.885344589474212</v>
      </c>
      <c r="H31" s="46">
        <f t="shared" si="1"/>
        <v>84.258103979374368</v>
      </c>
      <c r="I31" s="12">
        <f t="shared" si="2"/>
        <v>82.258103979374368</v>
      </c>
      <c r="J31" s="12">
        <f t="shared" si="11"/>
        <v>0.46342412799276211</v>
      </c>
      <c r="K31" s="12">
        <f t="shared" si="12"/>
        <v>19.523619181482523</v>
      </c>
      <c r="L31" s="12">
        <f t="shared" si="3"/>
        <v>19.06019505348976</v>
      </c>
      <c r="M31" s="18"/>
    </row>
    <row r="32" spans="1:13" x14ac:dyDescent="0.3">
      <c r="A32" s="19">
        <f t="shared" si="13"/>
        <v>21</v>
      </c>
      <c r="B32" s="12">
        <f t="shared" si="13"/>
        <v>2035</v>
      </c>
      <c r="C32" s="12">
        <f t="shared" si="8"/>
        <v>2</v>
      </c>
      <c r="D32" s="12">
        <f t="shared" si="9"/>
        <v>62.366685032367009</v>
      </c>
      <c r="E32" s="46">
        <f t="shared" si="5"/>
        <v>59.248350780748659</v>
      </c>
      <c r="F32" s="12">
        <f t="shared" si="10"/>
        <v>29.192916398129245</v>
      </c>
      <c r="G32" s="46">
        <f t="shared" si="0"/>
        <v>26.27362475831632</v>
      </c>
      <c r="H32" s="46">
        <f t="shared" si="1"/>
        <v>85.521975539064982</v>
      </c>
      <c r="I32" s="12">
        <f t="shared" si="2"/>
        <v>83.521975539064982</v>
      </c>
      <c r="J32" s="12">
        <f t="shared" si="11"/>
        <v>0.42909641480811306</v>
      </c>
      <c r="K32" s="12">
        <f t="shared" si="12"/>
        <v>18.348586545559964</v>
      </c>
      <c r="L32" s="12">
        <f t="shared" si="3"/>
        <v>17.91949013075185</v>
      </c>
      <c r="M32" s="18"/>
    </row>
    <row r="33" spans="1:13" x14ac:dyDescent="0.3">
      <c r="A33" s="19">
        <f t="shared" si="13"/>
        <v>22</v>
      </c>
      <c r="B33" s="12">
        <f t="shared" si="13"/>
        <v>2036</v>
      </c>
      <c r="C33" s="12">
        <f t="shared" si="8"/>
        <v>2</v>
      </c>
      <c r="D33" s="12">
        <f t="shared" si="9"/>
        <v>63.302185307852511</v>
      </c>
      <c r="E33" s="46">
        <f t="shared" si="5"/>
        <v>60.137076042459881</v>
      </c>
      <c r="F33" s="12">
        <f t="shared" si="10"/>
        <v>29.630810144101183</v>
      </c>
      <c r="G33" s="46">
        <f t="shared" si="0"/>
        <v>26.667729129691065</v>
      </c>
      <c r="H33" s="46">
        <f t="shared" si="1"/>
        <v>86.804805172150949</v>
      </c>
      <c r="I33" s="12">
        <f t="shared" si="2"/>
        <v>84.804805172150949</v>
      </c>
      <c r="J33" s="12">
        <f t="shared" si="11"/>
        <v>0.39731149519269726</v>
      </c>
      <c r="K33" s="12">
        <f t="shared" si="12"/>
        <v>17.244273466429039</v>
      </c>
      <c r="L33" s="12">
        <f t="shared" si="3"/>
        <v>16.846961971236343</v>
      </c>
      <c r="M33" s="18"/>
    </row>
    <row r="34" spans="1:13" x14ac:dyDescent="0.3">
      <c r="A34" s="19">
        <f t="shared" si="13"/>
        <v>23</v>
      </c>
      <c r="B34" s="12">
        <f t="shared" si="13"/>
        <v>2037</v>
      </c>
      <c r="C34" s="12">
        <f t="shared" si="8"/>
        <v>2</v>
      </c>
      <c r="D34" s="12">
        <f t="shared" si="9"/>
        <v>64.251718087470294</v>
      </c>
      <c r="E34" s="46">
        <f t="shared" si="5"/>
        <v>61.039132183096775</v>
      </c>
      <c r="F34" s="12">
        <f t="shared" si="10"/>
        <v>30.075272296262696</v>
      </c>
      <c r="G34" s="46">
        <f t="shared" si="0"/>
        <v>27.067745066636427</v>
      </c>
      <c r="H34" s="46">
        <f t="shared" si="1"/>
        <v>88.106877249733202</v>
      </c>
      <c r="I34" s="12">
        <f t="shared" si="2"/>
        <v>86.106877249733202</v>
      </c>
      <c r="J34" s="12">
        <f t="shared" si="11"/>
        <v>0.36788101406731222</v>
      </c>
      <c r="K34" s="12">
        <f t="shared" si="12"/>
        <v>16.206423674468027</v>
      </c>
      <c r="L34" s="12">
        <f t="shared" si="3"/>
        <v>15.838542660400716</v>
      </c>
      <c r="M34" s="18"/>
    </row>
    <row r="35" spans="1:13" x14ac:dyDescent="0.3">
      <c r="A35" s="19">
        <f t="shared" si="13"/>
        <v>24</v>
      </c>
      <c r="B35" s="12">
        <f t="shared" si="13"/>
        <v>2038</v>
      </c>
      <c r="C35" s="12">
        <f t="shared" si="8"/>
        <v>2</v>
      </c>
      <c r="D35" s="12">
        <f t="shared" si="9"/>
        <v>65.215493858782338</v>
      </c>
      <c r="E35" s="46">
        <f t="shared" si="5"/>
        <v>61.954719165843215</v>
      </c>
      <c r="F35" s="12">
        <f t="shared" si="10"/>
        <v>30.526401380706634</v>
      </c>
      <c r="G35" s="46">
        <f t="shared" si="0"/>
        <v>27.47376124263597</v>
      </c>
      <c r="H35" s="46">
        <f t="shared" si="1"/>
        <v>89.428480408479189</v>
      </c>
      <c r="I35" s="12">
        <f t="shared" si="2"/>
        <v>87.428480408479189</v>
      </c>
      <c r="J35" s="12">
        <f t="shared" si="11"/>
        <v>0.34063056858084467</v>
      </c>
      <c r="K35" s="12">
        <f t="shared" si="12"/>
        <v>15.231037064430597</v>
      </c>
      <c r="L35" s="12">
        <f t="shared" si="3"/>
        <v>14.890406495849751</v>
      </c>
      <c r="M35" s="18"/>
    </row>
    <row r="36" spans="1:13" x14ac:dyDescent="0.3">
      <c r="A36" s="19">
        <f t="shared" si="13"/>
        <v>25</v>
      </c>
      <c r="B36" s="12">
        <f t="shared" si="13"/>
        <v>2039</v>
      </c>
      <c r="C36" s="12">
        <f t="shared" si="8"/>
        <v>2</v>
      </c>
      <c r="D36" s="12">
        <f t="shared" si="9"/>
        <v>66.193726266664072</v>
      </c>
      <c r="E36" s="46">
        <f t="shared" si="5"/>
        <v>62.884039953330863</v>
      </c>
      <c r="F36" s="12">
        <f t="shared" si="10"/>
        <v>30.98429740141723</v>
      </c>
      <c r="G36" s="46">
        <f t="shared" si="0"/>
        <v>27.885867661275508</v>
      </c>
      <c r="H36" s="46">
        <f t="shared" si="1"/>
        <v>90.769907614606367</v>
      </c>
      <c r="I36" s="12">
        <f t="shared" si="2"/>
        <v>88.769907614606367</v>
      </c>
      <c r="J36" s="12">
        <f t="shared" si="11"/>
        <v>0.31539867461189319</v>
      </c>
      <c r="K36" s="12">
        <f t="shared" si="12"/>
        <v>14.314354278145421</v>
      </c>
      <c r="L36" s="12">
        <f t="shared" si="3"/>
        <v>13.998955603533528</v>
      </c>
      <c r="M36" s="18"/>
    </row>
    <row r="37" spans="1:13" x14ac:dyDescent="0.3">
      <c r="A37" s="19">
        <f t="shared" si="13"/>
        <v>26</v>
      </c>
      <c r="B37" s="12">
        <f t="shared" si="13"/>
        <v>2040</v>
      </c>
      <c r="C37" s="12">
        <f t="shared" si="8"/>
        <v>2</v>
      </c>
      <c r="D37" s="12">
        <f t="shared" si="9"/>
        <v>67.186632160664033</v>
      </c>
      <c r="E37" s="46">
        <f t="shared" si="5"/>
        <v>63.827300552630831</v>
      </c>
      <c r="F37" s="12">
        <f t="shared" si="10"/>
        <v>31.449061862438484</v>
      </c>
      <c r="G37" s="46">
        <f t="shared" si="0"/>
        <v>28.304155676194636</v>
      </c>
      <c r="H37" s="46">
        <f t="shared" si="1"/>
        <v>92.131456228825471</v>
      </c>
      <c r="I37" s="12">
        <f t="shared" si="2"/>
        <v>90.131456228825471</v>
      </c>
      <c r="J37" s="12">
        <f t="shared" si="11"/>
        <v>0.292035809825827</v>
      </c>
      <c r="K37" s="12">
        <f t="shared" si="12"/>
        <v>13.452842215108889</v>
      </c>
      <c r="L37" s="12">
        <f t="shared" si="3"/>
        <v>13.160806405283063</v>
      </c>
      <c r="M37" s="18"/>
    </row>
    <row r="38" spans="1:13" x14ac:dyDescent="0.3">
      <c r="A38" s="19">
        <f t="shared" si="13"/>
        <v>27</v>
      </c>
      <c r="B38" s="12">
        <f t="shared" si="13"/>
        <v>2041</v>
      </c>
      <c r="C38" s="12">
        <f t="shared" si="8"/>
        <v>2</v>
      </c>
      <c r="D38" s="12">
        <f t="shared" si="9"/>
        <v>68.194431643073983</v>
      </c>
      <c r="E38" s="46">
        <f t="shared" si="5"/>
        <v>64.784710060920276</v>
      </c>
      <c r="F38" s="12">
        <f t="shared" si="10"/>
        <v>31.920797790375058</v>
      </c>
      <c r="G38" s="46">
        <f t="shared" si="0"/>
        <v>28.728718011337552</v>
      </c>
      <c r="H38" s="46">
        <f t="shared" si="1"/>
        <v>93.513428072257824</v>
      </c>
      <c r="I38" s="12">
        <f t="shared" si="2"/>
        <v>91.513428072257824</v>
      </c>
      <c r="J38" s="12">
        <f t="shared" si="11"/>
        <v>0.27040352761650649</v>
      </c>
      <c r="K38" s="12">
        <f t="shared" si="12"/>
        <v>12.643180415125482</v>
      </c>
      <c r="L38" s="12">
        <f t="shared" si="3"/>
        <v>12.372776887508975</v>
      </c>
      <c r="M38" s="18"/>
    </row>
    <row r="39" spans="1:13" x14ac:dyDescent="0.3">
      <c r="A39" s="19">
        <f t="shared" si="13"/>
        <v>28</v>
      </c>
      <c r="B39" s="12">
        <f t="shared" si="13"/>
        <v>2042</v>
      </c>
      <c r="C39" s="12">
        <f t="shared" si="8"/>
        <v>2</v>
      </c>
      <c r="D39" s="12">
        <f t="shared" si="9"/>
        <v>69.217348117720093</v>
      </c>
      <c r="E39" s="46">
        <f t="shared" si="5"/>
        <v>65.756480711834087</v>
      </c>
      <c r="F39" s="12">
        <f t="shared" si="10"/>
        <v>32.399609757230678</v>
      </c>
      <c r="G39" s="46">
        <f t="shared" si="0"/>
        <v>29.15964878150761</v>
      </c>
      <c r="H39" s="46">
        <f t="shared" si="1"/>
        <v>94.9161294933417</v>
      </c>
      <c r="I39" s="12">
        <f t="shared" si="2"/>
        <v>92.9161294933417</v>
      </c>
      <c r="J39" s="12">
        <f t="shared" si="11"/>
        <v>0.25037363668195045</v>
      </c>
      <c r="K39" s="12">
        <f t="shared" si="12"/>
        <v>11.882248260511449</v>
      </c>
      <c r="L39" s="12">
        <f t="shared" si="3"/>
        <v>11.6318746238295</v>
      </c>
      <c r="M39" s="18"/>
    </row>
    <row r="40" spans="1:13" x14ac:dyDescent="0.3">
      <c r="A40" s="19">
        <f t="shared" si="13"/>
        <v>29</v>
      </c>
      <c r="B40" s="12">
        <f t="shared" si="13"/>
        <v>2043</v>
      </c>
      <c r="C40" s="12">
        <f t="shared" si="8"/>
        <v>2</v>
      </c>
      <c r="D40" s="12">
        <f t="shared" si="9"/>
        <v>70.255608339485889</v>
      </c>
      <c r="E40" s="46">
        <f t="shared" si="5"/>
        <v>66.742827922511594</v>
      </c>
      <c r="F40" s="12">
        <f t="shared" si="10"/>
        <v>32.885603903589136</v>
      </c>
      <c r="G40" s="46">
        <f t="shared" si="0"/>
        <v>29.597043513230222</v>
      </c>
      <c r="H40" s="46">
        <f t="shared" si="1"/>
        <v>96.339871435741813</v>
      </c>
      <c r="I40" s="12">
        <f t="shared" si="2"/>
        <v>94.339871435741813</v>
      </c>
      <c r="J40" s="12">
        <f t="shared" si="11"/>
        <v>0.23182744137217634</v>
      </c>
      <c r="K40" s="12">
        <f t="shared" si="12"/>
        <v>11.167112948536221</v>
      </c>
      <c r="L40" s="12">
        <f t="shared" si="3"/>
        <v>10.935285507164044</v>
      </c>
      <c r="M40" s="18"/>
    </row>
    <row r="41" spans="1:13" x14ac:dyDescent="0.3">
      <c r="A41" s="19">
        <f t="shared" si="13"/>
        <v>30</v>
      </c>
      <c r="B41" s="12">
        <f t="shared" si="13"/>
        <v>2044</v>
      </c>
      <c r="C41" s="12">
        <f t="shared" si="8"/>
        <v>2</v>
      </c>
      <c r="D41" s="12">
        <f t="shared" si="9"/>
        <v>71.309442464578169</v>
      </c>
      <c r="E41" s="46">
        <f t="shared" si="5"/>
        <v>67.743970341349254</v>
      </c>
      <c r="F41" s="12">
        <f t="shared" si="10"/>
        <v>33.378887962142969</v>
      </c>
      <c r="G41" s="46">
        <f t="shared" si="0"/>
        <v>30.040999165928671</v>
      </c>
      <c r="H41" s="46">
        <f t="shared" si="1"/>
        <v>97.784969507277921</v>
      </c>
      <c r="I41" s="12">
        <f t="shared" si="2"/>
        <v>95.784969507277921</v>
      </c>
      <c r="J41" s="12">
        <f t="shared" si="11"/>
        <v>0.21465503830757068</v>
      </c>
      <c r="K41" s="12">
        <f t="shared" si="12"/>
        <v>10.495018187744686</v>
      </c>
      <c r="L41" s="12">
        <f t="shared" si="3"/>
        <v>10.280363149437115</v>
      </c>
      <c r="M41" s="18"/>
    </row>
    <row r="42" spans="1:13" x14ac:dyDescent="0.3">
      <c r="A42" s="19">
        <f t="shared" si="13"/>
        <v>31</v>
      </c>
      <c r="B42" s="12">
        <f t="shared" si="13"/>
        <v>2045</v>
      </c>
      <c r="C42" s="12">
        <f>C41</f>
        <v>2</v>
      </c>
      <c r="D42" s="12">
        <f t="shared" si="9"/>
        <v>72.379084101546837</v>
      </c>
      <c r="E42" s="46">
        <f t="shared" si="5"/>
        <v>68.760129896469493</v>
      </c>
      <c r="F42" s="12">
        <f t="shared" si="10"/>
        <v>33.87957128157511</v>
      </c>
      <c r="G42" s="46">
        <f t="shared" si="0"/>
        <v>30.491614153417601</v>
      </c>
      <c r="H42" s="46">
        <f t="shared" si="1"/>
        <v>99.251744049887094</v>
      </c>
      <c r="I42" s="12">
        <f t="shared" si="2"/>
        <v>97.251744049887094</v>
      </c>
      <c r="J42" s="12">
        <f t="shared" si="11"/>
        <v>0.19875466509960246</v>
      </c>
      <c r="K42" s="12">
        <f t="shared" si="12"/>
        <v>9.8633735745933855</v>
      </c>
      <c r="L42" s="12">
        <f t="shared" si="3"/>
        <v>9.6646189094937824</v>
      </c>
      <c r="M42" s="18"/>
    </row>
    <row r="43" spans="1:13" x14ac:dyDescent="0.3">
      <c r="A43" s="12"/>
      <c r="B43" s="19" t="s">
        <v>19</v>
      </c>
      <c r="C43" s="19">
        <f t="shared" ref="C43:L43" si="14">SUM(C12:C42)</f>
        <v>760</v>
      </c>
      <c r="D43" s="19">
        <f>SUM(D12:D42)</f>
        <v>1764.3180242046792</v>
      </c>
      <c r="E43" s="47">
        <f>SUM(E12:E42)</f>
        <v>1676.1021229944454</v>
      </c>
      <c r="F43" s="47">
        <f t="shared" ref="F43:G43" si="15">SUM(F12:F42)</f>
        <v>825.85099005325424</v>
      </c>
      <c r="G43" s="47">
        <f t="shared" si="15"/>
        <v>743.2658910479289</v>
      </c>
      <c r="H43" s="47">
        <f>SUM(H12:H42)</f>
        <v>2419.3680140423739</v>
      </c>
      <c r="I43" s="19">
        <f t="shared" si="14"/>
        <v>1659.3680140423742</v>
      </c>
      <c r="J43" s="19">
        <f t="shared" si="14"/>
        <v>720.60876832301892</v>
      </c>
      <c r="K43" s="19">
        <f t="shared" si="14"/>
        <v>753.33542934225557</v>
      </c>
      <c r="L43" s="20">
        <f t="shared" si="14"/>
        <v>32.726661019236445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1.0454152967017003</v>
      </c>
      <c r="M44" s="40" t="s">
        <v>9</v>
      </c>
    </row>
    <row r="45" spans="1:13" ht="42" customHeight="1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4.0685820001042927E-3</v>
      </c>
      <c r="M45" s="41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58.2" x14ac:dyDescent="0.3">
      <c r="A66" s="34" t="s">
        <v>67</v>
      </c>
      <c r="B66" s="10">
        <v>1.4999999999999999E-2</v>
      </c>
      <c r="C66" s="30" t="s">
        <v>68</v>
      </c>
      <c r="D66" s="37" t="s">
        <v>59</v>
      </c>
      <c r="E66" s="25">
        <f>L107</f>
        <v>-84.640380392394036</v>
      </c>
      <c r="F66" s="24" t="s">
        <v>7</v>
      </c>
    </row>
    <row r="67" spans="1:12" ht="46.8" x14ac:dyDescent="0.3">
      <c r="A67" s="34" t="s">
        <v>8</v>
      </c>
      <c r="B67" s="23" t="s">
        <v>33</v>
      </c>
      <c r="D67" s="37" t="s">
        <v>9</v>
      </c>
      <c r="E67" s="51">
        <f>L108</f>
        <v>0.88199540012474498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53</v>
      </c>
      <c r="E68" s="26">
        <f>L109</f>
        <v>-1.2217661607895836E-2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700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-700</v>
      </c>
      <c r="J76" s="12">
        <v>700</v>
      </c>
      <c r="K76" s="12">
        <v>0</v>
      </c>
      <c r="L76" s="12">
        <f t="shared" ref="L76:L106" si="16">K76-J76</f>
        <v>-700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7">F77*0.9</f>
        <v>19.8</v>
      </c>
      <c r="H77" s="46">
        <f t="shared" ref="H77:H106" si="18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si="16"/>
        <v>55.758928571428569</v>
      </c>
    </row>
    <row r="78" spans="1:12" x14ac:dyDescent="0.3">
      <c r="A78" s="19">
        <f t="shared" ref="A78:B93" si="19">A77+1</f>
        <v>3</v>
      </c>
      <c r="B78" s="12">
        <f t="shared" si="19"/>
        <v>2017</v>
      </c>
      <c r="C78" s="12">
        <f>C77</f>
        <v>2</v>
      </c>
      <c r="D78" s="12">
        <f>D77*(1+$B$66)</f>
        <v>47.704999999999998</v>
      </c>
      <c r="E78" s="46">
        <f t="shared" ref="E78:E106" si="20">D78*0.95</f>
        <v>45.319749999999999</v>
      </c>
      <c r="F78" s="12">
        <f>F77*(1+$B$66)</f>
        <v>22.33</v>
      </c>
      <c r="G78" s="46">
        <f t="shared" si="17"/>
        <v>20.096999999999998</v>
      </c>
      <c r="H78" s="46">
        <f t="shared" si="18"/>
        <v>65.416749999999993</v>
      </c>
      <c r="I78" s="12">
        <f t="shared" ref="I78:I106" si="21">H78-C78</f>
        <v>63.416749999999993</v>
      </c>
      <c r="J78" s="12">
        <f t="shared" ref="J78:J90" si="22">(C78)/((1+0.12)^($A78-1))</f>
        <v>1.5943877551020407</v>
      </c>
      <c r="K78" s="12">
        <f t="shared" ref="K78:K91" si="23">(H78)/((1+0.12)^($A78-1))</f>
        <v>52.149832589285701</v>
      </c>
      <c r="L78" s="12">
        <f t="shared" si="16"/>
        <v>50.55544483418366</v>
      </c>
    </row>
    <row r="79" spans="1:12" x14ac:dyDescent="0.3">
      <c r="A79" s="19">
        <f t="shared" si="19"/>
        <v>4</v>
      </c>
      <c r="B79" s="12">
        <f t="shared" si="19"/>
        <v>2018</v>
      </c>
      <c r="C79" s="12">
        <f t="shared" ref="C79:C105" si="24">C78</f>
        <v>2</v>
      </c>
      <c r="D79" s="12">
        <f t="shared" ref="D79:D106" si="25">D78*(1+$B$66)</f>
        <v>48.420574999999992</v>
      </c>
      <c r="E79" s="46">
        <f t="shared" si="20"/>
        <v>45.999546249999987</v>
      </c>
      <c r="F79" s="12">
        <f t="shared" ref="F79:F106" si="26">F78*(1+$B$66)</f>
        <v>22.664949999999997</v>
      </c>
      <c r="G79" s="46">
        <f t="shared" si="17"/>
        <v>20.398454999999998</v>
      </c>
      <c r="H79" s="46">
        <f t="shared" si="18"/>
        <v>66.398001249999993</v>
      </c>
      <c r="I79" s="12">
        <f t="shared" si="21"/>
        <v>64.398001249999993</v>
      </c>
      <c r="J79" s="12">
        <f t="shared" si="22"/>
        <v>1.4235604956268217</v>
      </c>
      <c r="K79" s="12">
        <f t="shared" si="23"/>
        <v>47.260785784040159</v>
      </c>
      <c r="L79" s="12">
        <f t="shared" si="16"/>
        <v>45.837225288413336</v>
      </c>
    </row>
    <row r="80" spans="1:12" x14ac:dyDescent="0.3">
      <c r="A80" s="19">
        <f t="shared" si="19"/>
        <v>5</v>
      </c>
      <c r="B80" s="12">
        <f t="shared" si="19"/>
        <v>2019</v>
      </c>
      <c r="C80" s="12">
        <f t="shared" si="24"/>
        <v>2</v>
      </c>
      <c r="D80" s="12">
        <f t="shared" si="25"/>
        <v>49.146883624999987</v>
      </c>
      <c r="E80" s="46">
        <f t="shared" si="20"/>
        <v>46.689539443749986</v>
      </c>
      <c r="F80" s="12">
        <f t="shared" si="26"/>
        <v>23.004924249999995</v>
      </c>
      <c r="G80" s="46">
        <f t="shared" si="17"/>
        <v>20.704431824999997</v>
      </c>
      <c r="H80" s="46">
        <f t="shared" si="18"/>
        <v>67.393971268749979</v>
      </c>
      <c r="I80" s="12">
        <f t="shared" si="21"/>
        <v>65.393971268749979</v>
      </c>
      <c r="J80" s="12">
        <f t="shared" si="22"/>
        <v>1.2710361568096624</v>
      </c>
      <c r="K80" s="12">
        <f t="shared" si="23"/>
        <v>42.830087116786387</v>
      </c>
      <c r="L80" s="12">
        <f t="shared" si="16"/>
        <v>41.559050959976723</v>
      </c>
    </row>
    <row r="81" spans="1:12" x14ac:dyDescent="0.3">
      <c r="A81" s="19">
        <f t="shared" si="19"/>
        <v>6</v>
      </c>
      <c r="B81" s="12">
        <f t="shared" si="19"/>
        <v>2020</v>
      </c>
      <c r="C81" s="12">
        <f t="shared" si="24"/>
        <v>2</v>
      </c>
      <c r="D81" s="12">
        <f t="shared" si="25"/>
        <v>49.884086879374983</v>
      </c>
      <c r="E81" s="46">
        <f t="shared" si="20"/>
        <v>47.38988253540623</v>
      </c>
      <c r="F81" s="12">
        <f t="shared" si="26"/>
        <v>23.349998113749994</v>
      </c>
      <c r="G81" s="46">
        <f t="shared" si="17"/>
        <v>21.014998302374995</v>
      </c>
      <c r="H81" s="46">
        <f t="shared" si="18"/>
        <v>68.404880837781221</v>
      </c>
      <c r="I81" s="12">
        <f t="shared" si="21"/>
        <v>66.404880837781221</v>
      </c>
      <c r="J81" s="12">
        <f t="shared" si="22"/>
        <v>1.1348537114371984</v>
      </c>
      <c r="K81" s="12">
        <f t="shared" si="23"/>
        <v>38.814766449587658</v>
      </c>
      <c r="L81" s="12">
        <f t="shared" si="16"/>
        <v>37.679912738150463</v>
      </c>
    </row>
    <row r="82" spans="1:12" x14ac:dyDescent="0.3">
      <c r="A82" s="19">
        <f t="shared" si="19"/>
        <v>7</v>
      </c>
      <c r="B82" s="12">
        <f t="shared" si="19"/>
        <v>2021</v>
      </c>
      <c r="C82" s="12">
        <f t="shared" si="24"/>
        <v>2</v>
      </c>
      <c r="D82" s="12">
        <f t="shared" si="25"/>
        <v>50.6323481825656</v>
      </c>
      <c r="E82" s="46">
        <f t="shared" si="20"/>
        <v>48.10073077343732</v>
      </c>
      <c r="F82" s="12">
        <f t="shared" si="26"/>
        <v>23.700248085456241</v>
      </c>
      <c r="G82" s="46">
        <f t="shared" si="17"/>
        <v>21.330223276910619</v>
      </c>
      <c r="H82" s="46">
        <f t="shared" si="18"/>
        <v>69.430954050347935</v>
      </c>
      <c r="I82" s="12">
        <f t="shared" si="21"/>
        <v>67.430954050347935</v>
      </c>
      <c r="J82" s="12">
        <f t="shared" si="22"/>
        <v>1.0132622423546414</v>
      </c>
      <c r="K82" s="12">
        <f t="shared" si="23"/>
        <v>35.175882094938807</v>
      </c>
      <c r="L82" s="12">
        <f t="shared" si="16"/>
        <v>34.162619852584164</v>
      </c>
    </row>
    <row r="83" spans="1:12" x14ac:dyDescent="0.3">
      <c r="A83" s="19">
        <f t="shared" si="19"/>
        <v>8</v>
      </c>
      <c r="B83" s="12">
        <f t="shared" si="19"/>
        <v>2022</v>
      </c>
      <c r="C83" s="12">
        <f t="shared" si="24"/>
        <v>2</v>
      </c>
      <c r="D83" s="12">
        <f t="shared" si="25"/>
        <v>51.391833405304077</v>
      </c>
      <c r="E83" s="46">
        <f t="shared" si="20"/>
        <v>48.822241735038872</v>
      </c>
      <c r="F83" s="12">
        <f t="shared" si="26"/>
        <v>24.055751806738083</v>
      </c>
      <c r="G83" s="46">
        <f t="shared" si="17"/>
        <v>21.650176626064276</v>
      </c>
      <c r="H83" s="46">
        <f t="shared" si="18"/>
        <v>70.472418361103152</v>
      </c>
      <c r="I83" s="12">
        <f t="shared" si="21"/>
        <v>68.472418361103152</v>
      </c>
      <c r="J83" s="12">
        <f t="shared" si="22"/>
        <v>0.90469843067378686</v>
      </c>
      <c r="K83" s="12">
        <f t="shared" si="23"/>
        <v>31.878143148538292</v>
      </c>
      <c r="L83" s="12">
        <f t="shared" si="16"/>
        <v>30.973444717864506</v>
      </c>
    </row>
    <row r="84" spans="1:12" x14ac:dyDescent="0.3">
      <c r="A84" s="19">
        <f t="shared" si="19"/>
        <v>9</v>
      </c>
      <c r="B84" s="12">
        <f t="shared" si="19"/>
        <v>2023</v>
      </c>
      <c r="C84" s="12">
        <f t="shared" si="24"/>
        <v>2</v>
      </c>
      <c r="D84" s="12">
        <f t="shared" si="25"/>
        <v>52.16271090638363</v>
      </c>
      <c r="E84" s="46">
        <f t="shared" si="20"/>
        <v>49.554575361064444</v>
      </c>
      <c r="F84" s="12">
        <f t="shared" si="26"/>
        <v>24.416588083839152</v>
      </c>
      <c r="G84" s="46">
        <f t="shared" si="17"/>
        <v>21.974929275455239</v>
      </c>
      <c r="H84" s="46">
        <f t="shared" si="18"/>
        <v>71.529504636519675</v>
      </c>
      <c r="I84" s="12">
        <f t="shared" si="21"/>
        <v>69.529504636519675</v>
      </c>
      <c r="J84" s="12">
        <f t="shared" si="22"/>
        <v>0.80776645595873819</v>
      </c>
      <c r="K84" s="12">
        <f t="shared" si="23"/>
        <v>28.889567228362818</v>
      </c>
      <c r="L84" s="12">
        <f t="shared" si="16"/>
        <v>28.08180077240408</v>
      </c>
    </row>
    <row r="85" spans="1:12" x14ac:dyDescent="0.3">
      <c r="A85" s="19">
        <f t="shared" si="19"/>
        <v>10</v>
      </c>
      <c r="B85" s="12">
        <f t="shared" si="19"/>
        <v>2024</v>
      </c>
      <c r="C85" s="12">
        <f t="shared" si="24"/>
        <v>2</v>
      </c>
      <c r="D85" s="12">
        <f t="shared" si="25"/>
        <v>52.94515156997938</v>
      </c>
      <c r="E85" s="46">
        <f t="shared" si="20"/>
        <v>50.297893991480407</v>
      </c>
      <c r="F85" s="12">
        <f t="shared" si="26"/>
        <v>24.782836905096737</v>
      </c>
      <c r="G85" s="46">
        <f t="shared" si="17"/>
        <v>22.304553214587063</v>
      </c>
      <c r="H85" s="46">
        <f t="shared" si="18"/>
        <v>72.602447206067467</v>
      </c>
      <c r="I85" s="12">
        <f t="shared" si="21"/>
        <v>70.602447206067467</v>
      </c>
      <c r="J85" s="12">
        <f t="shared" si="22"/>
        <v>0.72122004996315914</v>
      </c>
      <c r="K85" s="12">
        <f t="shared" si="23"/>
        <v>26.181170300703801</v>
      </c>
      <c r="L85" s="12">
        <f t="shared" si="16"/>
        <v>25.459950250740643</v>
      </c>
    </row>
    <row r="86" spans="1:12" x14ac:dyDescent="0.3">
      <c r="A86" s="19">
        <f t="shared" si="19"/>
        <v>11</v>
      </c>
      <c r="B86" s="12">
        <f t="shared" si="19"/>
        <v>2025</v>
      </c>
      <c r="C86" s="12">
        <f t="shared" si="24"/>
        <v>2</v>
      </c>
      <c r="D86" s="12">
        <f t="shared" si="25"/>
        <v>53.739328843529066</v>
      </c>
      <c r="E86" s="46">
        <f t="shared" si="20"/>
        <v>51.05236240135261</v>
      </c>
      <c r="F86" s="12">
        <f t="shared" si="26"/>
        <v>25.154579458673187</v>
      </c>
      <c r="G86" s="46">
        <f t="shared" si="17"/>
        <v>22.639121512805868</v>
      </c>
      <c r="H86" s="46">
        <f t="shared" si="18"/>
        <v>73.691483914158482</v>
      </c>
      <c r="I86" s="12">
        <f t="shared" si="21"/>
        <v>71.691483914158482</v>
      </c>
      <c r="J86" s="12">
        <f t="shared" si="22"/>
        <v>0.64394647318139198</v>
      </c>
      <c r="K86" s="12">
        <f t="shared" si="23"/>
        <v>23.726685585012817</v>
      </c>
      <c r="L86" s="12">
        <f t="shared" si="16"/>
        <v>23.082739111831426</v>
      </c>
    </row>
    <row r="87" spans="1:12" x14ac:dyDescent="0.3">
      <c r="A87" s="19">
        <f t="shared" si="19"/>
        <v>12</v>
      </c>
      <c r="B87" s="12">
        <f t="shared" si="19"/>
        <v>2026</v>
      </c>
      <c r="C87" s="12">
        <f t="shared" si="24"/>
        <v>2</v>
      </c>
      <c r="D87" s="12">
        <f t="shared" si="25"/>
        <v>54.545418776181997</v>
      </c>
      <c r="E87" s="46">
        <f t="shared" si="20"/>
        <v>51.818147837372898</v>
      </c>
      <c r="F87" s="12">
        <f t="shared" si="26"/>
        <v>25.531898150553282</v>
      </c>
      <c r="G87" s="46">
        <f t="shared" si="17"/>
        <v>22.978708335497956</v>
      </c>
      <c r="H87" s="46">
        <f t="shared" si="18"/>
        <v>74.796856172870861</v>
      </c>
      <c r="I87" s="12">
        <f t="shared" si="21"/>
        <v>72.796856172870861</v>
      </c>
      <c r="J87" s="12">
        <f t="shared" si="22"/>
        <v>0.57495220819767134</v>
      </c>
      <c r="K87" s="12">
        <f t="shared" si="23"/>
        <v>21.502308811417862</v>
      </c>
      <c r="L87" s="12">
        <f>K87-J87</f>
        <v>20.92735660322019</v>
      </c>
    </row>
    <row r="88" spans="1:12" x14ac:dyDescent="0.3">
      <c r="A88" s="19">
        <f t="shared" si="19"/>
        <v>13</v>
      </c>
      <c r="B88" s="12">
        <f t="shared" si="19"/>
        <v>2027</v>
      </c>
      <c r="C88" s="12">
        <f t="shared" si="24"/>
        <v>2</v>
      </c>
      <c r="D88" s="12">
        <f t="shared" si="25"/>
        <v>55.363600057824719</v>
      </c>
      <c r="E88" s="46">
        <f t="shared" si="20"/>
        <v>52.595420054933484</v>
      </c>
      <c r="F88" s="12">
        <f t="shared" si="26"/>
        <v>25.91487662281158</v>
      </c>
      <c r="G88" s="46">
        <f t="shared" si="17"/>
        <v>23.323388960530423</v>
      </c>
      <c r="H88" s="46">
        <f t="shared" si="18"/>
        <v>75.918809015463907</v>
      </c>
      <c r="I88" s="12">
        <f t="shared" si="21"/>
        <v>73.918809015463907</v>
      </c>
      <c r="J88" s="12">
        <f t="shared" si="22"/>
        <v>0.51335018589077808</v>
      </c>
      <c r="K88" s="12">
        <f t="shared" si="23"/>
        <v>19.486467360347437</v>
      </c>
      <c r="L88" s="12">
        <f t="shared" si="16"/>
        <v>18.973117174456657</v>
      </c>
    </row>
    <row r="89" spans="1:12" x14ac:dyDescent="0.3">
      <c r="A89" s="19">
        <f t="shared" si="19"/>
        <v>14</v>
      </c>
      <c r="B89" s="12">
        <f t="shared" si="19"/>
        <v>2028</v>
      </c>
      <c r="C89" s="12">
        <f t="shared" si="24"/>
        <v>2</v>
      </c>
      <c r="D89" s="12">
        <f t="shared" si="25"/>
        <v>56.194054058692082</v>
      </c>
      <c r="E89" s="46">
        <f t="shared" si="20"/>
        <v>53.384351355757474</v>
      </c>
      <c r="F89" s="12">
        <f t="shared" si="26"/>
        <v>26.303599772153749</v>
      </c>
      <c r="G89" s="46">
        <f t="shared" si="17"/>
        <v>23.673239794938375</v>
      </c>
      <c r="H89" s="46">
        <f t="shared" si="18"/>
        <v>77.057591150695856</v>
      </c>
      <c r="I89" s="12">
        <f t="shared" si="21"/>
        <v>75.057591150695856</v>
      </c>
      <c r="J89" s="12">
        <f t="shared" si="22"/>
        <v>0.45834838025962316</v>
      </c>
      <c r="K89" s="12">
        <f t="shared" si="23"/>
        <v>17.659611045314858</v>
      </c>
      <c r="L89" s="12">
        <f t="shared" si="16"/>
        <v>17.201262665055236</v>
      </c>
    </row>
    <row r="90" spans="1:12" x14ac:dyDescent="0.3">
      <c r="A90" s="19">
        <f t="shared" si="19"/>
        <v>15</v>
      </c>
      <c r="B90" s="12">
        <f t="shared" si="19"/>
        <v>2029</v>
      </c>
      <c r="C90" s="12">
        <f t="shared" si="24"/>
        <v>2</v>
      </c>
      <c r="D90" s="12">
        <f t="shared" si="25"/>
        <v>57.036964869572458</v>
      </c>
      <c r="E90" s="46">
        <f t="shared" si="20"/>
        <v>54.18511662609383</v>
      </c>
      <c r="F90" s="12">
        <f t="shared" si="26"/>
        <v>26.698153768736052</v>
      </c>
      <c r="G90" s="46">
        <f t="shared" si="17"/>
        <v>24.028338391862448</v>
      </c>
      <c r="H90" s="46">
        <f t="shared" si="18"/>
        <v>78.213455017956278</v>
      </c>
      <c r="I90" s="12">
        <f t="shared" si="21"/>
        <v>76.213455017956278</v>
      </c>
      <c r="J90" s="12">
        <f t="shared" si="22"/>
        <v>0.40923962523180635</v>
      </c>
      <c r="K90" s="12">
        <f t="shared" si="23"/>
        <v>16.004022509816586</v>
      </c>
      <c r="L90" s="12">
        <f t="shared" si="16"/>
        <v>15.594782884584779</v>
      </c>
    </row>
    <row r="91" spans="1:12" x14ac:dyDescent="0.3">
      <c r="A91" s="19">
        <f t="shared" si="19"/>
        <v>16</v>
      </c>
      <c r="B91" s="12">
        <f t="shared" si="19"/>
        <v>2030</v>
      </c>
      <c r="C91" s="12">
        <f t="shared" si="24"/>
        <v>2</v>
      </c>
      <c r="D91" s="12">
        <f t="shared" si="25"/>
        <v>57.89251934261604</v>
      </c>
      <c r="E91" s="46">
        <f t="shared" si="20"/>
        <v>54.997893375485233</v>
      </c>
      <c r="F91" s="12">
        <f t="shared" si="26"/>
        <v>27.098626075267092</v>
      </c>
      <c r="G91" s="46">
        <f t="shared" si="17"/>
        <v>24.388763467740382</v>
      </c>
      <c r="H91" s="46">
        <f t="shared" si="18"/>
        <v>79.386656843225609</v>
      </c>
      <c r="I91" s="12">
        <f t="shared" si="21"/>
        <v>77.386656843225609</v>
      </c>
      <c r="J91" s="12">
        <f>(C91)/((1+0.12)^($A91-1))</f>
        <v>0.36539252252839854</v>
      </c>
      <c r="K91" s="12">
        <f t="shared" si="23"/>
        <v>14.503645399521279</v>
      </c>
      <c r="L91" s="12">
        <f t="shared" si="16"/>
        <v>14.13825287699288</v>
      </c>
    </row>
    <row r="92" spans="1:12" x14ac:dyDescent="0.3">
      <c r="A92" s="19">
        <f t="shared" si="19"/>
        <v>17</v>
      </c>
      <c r="B92" s="12">
        <f t="shared" si="19"/>
        <v>2031</v>
      </c>
      <c r="C92" s="12">
        <f t="shared" si="24"/>
        <v>2</v>
      </c>
      <c r="D92" s="12">
        <f t="shared" si="25"/>
        <v>58.760907132755278</v>
      </c>
      <c r="E92" s="46">
        <f t="shared" si="20"/>
        <v>55.822861776117513</v>
      </c>
      <c r="F92" s="12">
        <f t="shared" si="26"/>
        <v>27.505105466396095</v>
      </c>
      <c r="G92" s="46">
        <f t="shared" si="17"/>
        <v>24.754594919756485</v>
      </c>
      <c r="H92" s="46">
        <f t="shared" si="18"/>
        <v>80.577456695873991</v>
      </c>
      <c r="I92" s="12">
        <f t="shared" si="21"/>
        <v>78.577456695873991</v>
      </c>
      <c r="J92" s="12">
        <f t="shared" ref="J92:J106" si="27">(C92)/((1+0.1)^($A92-1))</f>
        <v>0.43525827158029706</v>
      </c>
      <c r="K92" s="12">
        <f t="shared" ref="K92:K106" si="28">(H92)/((1+0.1)^($A92-1))</f>
        <v>17.536002264891174</v>
      </c>
      <c r="L92" s="12">
        <f t="shared" si="16"/>
        <v>17.100743993310878</v>
      </c>
    </row>
    <row r="93" spans="1:12" x14ac:dyDescent="0.3">
      <c r="A93" s="19">
        <f t="shared" si="19"/>
        <v>18</v>
      </c>
      <c r="B93" s="12">
        <f t="shared" si="19"/>
        <v>2032</v>
      </c>
      <c r="C93" s="12">
        <f t="shared" si="24"/>
        <v>2</v>
      </c>
      <c r="D93" s="12">
        <f t="shared" si="25"/>
        <v>59.642320739746602</v>
      </c>
      <c r="E93" s="46">
        <f t="shared" si="20"/>
        <v>56.660204702759266</v>
      </c>
      <c r="F93" s="12">
        <f t="shared" si="26"/>
        <v>27.917682048392034</v>
      </c>
      <c r="G93" s="46">
        <f t="shared" si="17"/>
        <v>25.12591384355283</v>
      </c>
      <c r="H93" s="46">
        <f t="shared" si="18"/>
        <v>81.786118546312096</v>
      </c>
      <c r="I93" s="12">
        <f t="shared" si="21"/>
        <v>79.786118546312096</v>
      </c>
      <c r="J93" s="12">
        <f t="shared" si="27"/>
        <v>0.39568933780027005</v>
      </c>
      <c r="K93" s="12">
        <f t="shared" si="28"/>
        <v>16.18094754442231</v>
      </c>
      <c r="L93" s="12">
        <f t="shared" si="16"/>
        <v>15.785258206622039</v>
      </c>
    </row>
    <row r="94" spans="1:12" x14ac:dyDescent="0.3">
      <c r="A94" s="19">
        <f t="shared" ref="A94:B106" si="29">A93+1</f>
        <v>19</v>
      </c>
      <c r="B94" s="12">
        <f t="shared" si="29"/>
        <v>2033</v>
      </c>
      <c r="C94" s="12">
        <f t="shared" si="24"/>
        <v>2</v>
      </c>
      <c r="D94" s="12">
        <f t="shared" si="25"/>
        <v>60.536955550842798</v>
      </c>
      <c r="E94" s="46">
        <f t="shared" si="20"/>
        <v>57.510107773300653</v>
      </c>
      <c r="F94" s="12">
        <f t="shared" si="26"/>
        <v>28.336447279117913</v>
      </c>
      <c r="G94" s="46">
        <f t="shared" si="17"/>
        <v>25.502802551206123</v>
      </c>
      <c r="H94" s="46">
        <f t="shared" si="18"/>
        <v>83.012910324506777</v>
      </c>
      <c r="I94" s="12">
        <f t="shared" si="21"/>
        <v>81.012910324506777</v>
      </c>
      <c r="J94" s="12">
        <f t="shared" si="27"/>
        <v>0.35971757981842728</v>
      </c>
      <c r="K94" s="12">
        <f t="shared" si="28"/>
        <v>14.930601597807858</v>
      </c>
      <c r="L94" s="12">
        <f t="shared" si="16"/>
        <v>14.57088401798943</v>
      </c>
    </row>
    <row r="95" spans="1:12" x14ac:dyDescent="0.3">
      <c r="A95" s="19">
        <f t="shared" si="29"/>
        <v>20</v>
      </c>
      <c r="B95" s="12">
        <f t="shared" si="29"/>
        <v>2034</v>
      </c>
      <c r="C95" s="12">
        <f t="shared" si="24"/>
        <v>2</v>
      </c>
      <c r="D95" s="12">
        <f t="shared" si="25"/>
        <v>61.445009884105431</v>
      </c>
      <c r="E95" s="46">
        <f t="shared" si="20"/>
        <v>58.37275938990016</v>
      </c>
      <c r="F95" s="12">
        <f t="shared" si="26"/>
        <v>28.761493988304679</v>
      </c>
      <c r="G95" s="46">
        <f t="shared" si="17"/>
        <v>25.885344589474212</v>
      </c>
      <c r="H95" s="46">
        <f t="shared" si="18"/>
        <v>84.258103979374368</v>
      </c>
      <c r="I95" s="12">
        <f t="shared" si="21"/>
        <v>82.258103979374368</v>
      </c>
      <c r="J95" s="12">
        <f t="shared" si="27"/>
        <v>0.32701598165311563</v>
      </c>
      <c r="K95" s="12">
        <f t="shared" si="28"/>
        <v>13.7768732925227</v>
      </c>
      <c r="L95" s="12">
        <f t="shared" si="16"/>
        <v>13.449857310869584</v>
      </c>
    </row>
    <row r="96" spans="1:12" x14ac:dyDescent="0.3">
      <c r="A96" s="19">
        <f t="shared" si="29"/>
        <v>21</v>
      </c>
      <c r="B96" s="12">
        <f t="shared" si="29"/>
        <v>2035</v>
      </c>
      <c r="C96" s="12">
        <f t="shared" si="24"/>
        <v>2</v>
      </c>
      <c r="D96" s="12">
        <f t="shared" si="25"/>
        <v>62.366685032367009</v>
      </c>
      <c r="E96" s="46">
        <f t="shared" si="20"/>
        <v>59.248350780748659</v>
      </c>
      <c r="F96" s="12">
        <f t="shared" si="26"/>
        <v>29.192916398129245</v>
      </c>
      <c r="G96" s="46">
        <f t="shared" si="17"/>
        <v>26.27362475831632</v>
      </c>
      <c r="H96" s="46">
        <f t="shared" si="18"/>
        <v>85.521975539064982</v>
      </c>
      <c r="I96" s="12">
        <f t="shared" si="21"/>
        <v>83.521975539064982</v>
      </c>
      <c r="J96" s="12">
        <f t="shared" si="27"/>
        <v>0.29728725604828699</v>
      </c>
      <c r="K96" s="12">
        <f t="shared" si="28"/>
        <v>12.712296719918672</v>
      </c>
      <c r="L96" s="12">
        <f t="shared" si="16"/>
        <v>12.415009463870385</v>
      </c>
    </row>
    <row r="97" spans="1:13" x14ac:dyDescent="0.3">
      <c r="A97" s="19">
        <f t="shared" si="29"/>
        <v>22</v>
      </c>
      <c r="B97" s="12">
        <f t="shared" si="29"/>
        <v>2036</v>
      </c>
      <c r="C97" s="12">
        <f t="shared" si="24"/>
        <v>2</v>
      </c>
      <c r="D97" s="12">
        <f t="shared" si="25"/>
        <v>63.302185307852511</v>
      </c>
      <c r="E97" s="46">
        <f t="shared" si="20"/>
        <v>60.137076042459881</v>
      </c>
      <c r="F97" s="12">
        <f t="shared" si="26"/>
        <v>29.630810144101183</v>
      </c>
      <c r="G97" s="46">
        <f t="shared" si="17"/>
        <v>26.667729129691065</v>
      </c>
      <c r="H97" s="46">
        <f t="shared" si="18"/>
        <v>86.804805172150949</v>
      </c>
      <c r="I97" s="12">
        <f t="shared" si="21"/>
        <v>84.804805172150949</v>
      </c>
      <c r="J97" s="12">
        <f t="shared" si="27"/>
        <v>0.27026114186207906</v>
      </c>
      <c r="K97" s="12">
        <f t="shared" si="28"/>
        <v>11.729982882470409</v>
      </c>
      <c r="L97" s="12">
        <f t="shared" si="16"/>
        <v>11.45972174060833</v>
      </c>
    </row>
    <row r="98" spans="1:13" x14ac:dyDescent="0.3">
      <c r="A98" s="19">
        <f t="shared" si="29"/>
        <v>23</v>
      </c>
      <c r="B98" s="12">
        <f t="shared" si="29"/>
        <v>2037</v>
      </c>
      <c r="C98" s="12">
        <f t="shared" si="24"/>
        <v>2</v>
      </c>
      <c r="D98" s="12">
        <f t="shared" si="25"/>
        <v>64.251718087470294</v>
      </c>
      <c r="E98" s="46">
        <f t="shared" si="20"/>
        <v>61.039132183096775</v>
      </c>
      <c r="F98" s="12">
        <f t="shared" si="26"/>
        <v>30.075272296262696</v>
      </c>
      <c r="G98" s="46">
        <f t="shared" si="17"/>
        <v>27.067745066636427</v>
      </c>
      <c r="H98" s="46">
        <f t="shared" si="18"/>
        <v>88.106877249733202</v>
      </c>
      <c r="I98" s="12">
        <f t="shared" si="21"/>
        <v>86.106877249733202</v>
      </c>
      <c r="J98" s="12">
        <f t="shared" si="27"/>
        <v>0.24569194714734455</v>
      </c>
      <c r="K98" s="12">
        <f t="shared" si="28"/>
        <v>10.823575114279512</v>
      </c>
      <c r="L98" s="12">
        <f t="shared" si="16"/>
        <v>10.577883167132168</v>
      </c>
    </row>
    <row r="99" spans="1:13" x14ac:dyDescent="0.3">
      <c r="A99" s="19">
        <f t="shared" si="29"/>
        <v>24</v>
      </c>
      <c r="B99" s="12">
        <f t="shared" si="29"/>
        <v>2038</v>
      </c>
      <c r="C99" s="12">
        <f t="shared" si="24"/>
        <v>2</v>
      </c>
      <c r="D99" s="12">
        <f t="shared" si="25"/>
        <v>65.215493858782338</v>
      </c>
      <c r="E99" s="46">
        <f t="shared" si="20"/>
        <v>61.954719165843215</v>
      </c>
      <c r="F99" s="12">
        <f t="shared" si="26"/>
        <v>30.526401380706634</v>
      </c>
      <c r="G99" s="46">
        <f t="shared" si="17"/>
        <v>27.47376124263597</v>
      </c>
      <c r="H99" s="46">
        <f t="shared" si="18"/>
        <v>89.428480408479189</v>
      </c>
      <c r="I99" s="12">
        <f t="shared" si="21"/>
        <v>87.428480408479189</v>
      </c>
      <c r="J99" s="12">
        <f t="shared" si="27"/>
        <v>0.22335631558849503</v>
      </c>
      <c r="K99" s="12">
        <f t="shared" si="28"/>
        <v>9.9872079463579109</v>
      </c>
      <c r="L99" s="12">
        <f t="shared" si="16"/>
        <v>9.7638516307694161</v>
      </c>
    </row>
    <row r="100" spans="1:13" x14ac:dyDescent="0.3">
      <c r="A100" s="19">
        <f t="shared" si="29"/>
        <v>25</v>
      </c>
      <c r="B100" s="12">
        <f t="shared" si="29"/>
        <v>2039</v>
      </c>
      <c r="C100" s="12">
        <f t="shared" si="24"/>
        <v>2</v>
      </c>
      <c r="D100" s="12">
        <f t="shared" si="25"/>
        <v>66.193726266664072</v>
      </c>
      <c r="E100" s="46">
        <f t="shared" si="20"/>
        <v>62.884039953330863</v>
      </c>
      <c r="F100" s="12">
        <f t="shared" si="26"/>
        <v>30.98429740141723</v>
      </c>
      <c r="G100" s="46">
        <f t="shared" si="17"/>
        <v>27.885867661275508</v>
      </c>
      <c r="H100" s="46">
        <f t="shared" si="18"/>
        <v>90.769907614606367</v>
      </c>
      <c r="I100" s="12">
        <f t="shared" si="21"/>
        <v>88.769907614606367</v>
      </c>
      <c r="J100" s="12">
        <f t="shared" si="27"/>
        <v>0.20305119598954097</v>
      </c>
      <c r="K100" s="12">
        <f t="shared" si="28"/>
        <v>9.2154691505029813</v>
      </c>
      <c r="L100" s="12">
        <f t="shared" si="16"/>
        <v>9.01241795451344</v>
      </c>
    </row>
    <row r="101" spans="1:13" x14ac:dyDescent="0.3">
      <c r="A101" s="19">
        <f t="shared" si="29"/>
        <v>26</v>
      </c>
      <c r="B101" s="12">
        <f t="shared" si="29"/>
        <v>2040</v>
      </c>
      <c r="C101" s="12">
        <f t="shared" si="24"/>
        <v>2</v>
      </c>
      <c r="D101" s="12">
        <f t="shared" si="25"/>
        <v>67.186632160664033</v>
      </c>
      <c r="E101" s="46">
        <f t="shared" si="20"/>
        <v>63.827300552630831</v>
      </c>
      <c r="F101" s="12">
        <f t="shared" si="26"/>
        <v>31.449061862438484</v>
      </c>
      <c r="G101" s="46">
        <f t="shared" si="17"/>
        <v>28.304155676194636</v>
      </c>
      <c r="H101" s="46">
        <f t="shared" si="18"/>
        <v>92.131456228825471</v>
      </c>
      <c r="I101" s="12">
        <f t="shared" si="21"/>
        <v>90.131456228825471</v>
      </c>
      <c r="J101" s="12">
        <f t="shared" si="27"/>
        <v>0.1845919963541281</v>
      </c>
      <c r="K101" s="12">
        <f t="shared" si="28"/>
        <v>8.5033647161459331</v>
      </c>
      <c r="L101" s="12">
        <f t="shared" si="16"/>
        <v>8.3187727197918058</v>
      </c>
    </row>
    <row r="102" spans="1:13" x14ac:dyDescent="0.3">
      <c r="A102" s="19">
        <f t="shared" si="29"/>
        <v>27</v>
      </c>
      <c r="B102" s="12">
        <f t="shared" si="29"/>
        <v>2041</v>
      </c>
      <c r="C102" s="12">
        <f t="shared" si="24"/>
        <v>2</v>
      </c>
      <c r="D102" s="12">
        <f t="shared" si="25"/>
        <v>68.194431643073983</v>
      </c>
      <c r="E102" s="46">
        <f t="shared" si="20"/>
        <v>64.784710060920276</v>
      </c>
      <c r="F102" s="12">
        <f t="shared" si="26"/>
        <v>31.920797790375058</v>
      </c>
      <c r="G102" s="46">
        <f t="shared" si="17"/>
        <v>28.728718011337552</v>
      </c>
      <c r="H102" s="46">
        <f t="shared" si="18"/>
        <v>93.513428072257824</v>
      </c>
      <c r="I102" s="12">
        <f t="shared" si="21"/>
        <v>91.513428072257824</v>
      </c>
      <c r="J102" s="12">
        <f t="shared" si="27"/>
        <v>0.16781090577648008</v>
      </c>
      <c r="K102" s="12">
        <f t="shared" si="28"/>
        <v>7.846286533534653</v>
      </c>
      <c r="L102" s="12">
        <f t="shared" si="16"/>
        <v>7.6784756277581732</v>
      </c>
    </row>
    <row r="103" spans="1:13" x14ac:dyDescent="0.3">
      <c r="A103" s="19">
        <f t="shared" si="29"/>
        <v>28</v>
      </c>
      <c r="B103" s="12">
        <f t="shared" si="29"/>
        <v>2042</v>
      </c>
      <c r="C103" s="12">
        <f t="shared" si="24"/>
        <v>2</v>
      </c>
      <c r="D103" s="12">
        <f t="shared" si="25"/>
        <v>69.217348117720093</v>
      </c>
      <c r="E103" s="46">
        <f t="shared" si="20"/>
        <v>65.756480711834087</v>
      </c>
      <c r="F103" s="12">
        <f t="shared" si="26"/>
        <v>32.399609757230678</v>
      </c>
      <c r="G103" s="46">
        <f t="shared" si="17"/>
        <v>29.15964878150761</v>
      </c>
      <c r="H103" s="46">
        <f t="shared" si="18"/>
        <v>94.9161294933417</v>
      </c>
      <c r="I103" s="12">
        <f t="shared" si="21"/>
        <v>92.9161294933417</v>
      </c>
      <c r="J103" s="12">
        <f t="shared" si="27"/>
        <v>0.15255536888770915</v>
      </c>
      <c r="K103" s="12">
        <f t="shared" si="28"/>
        <v>7.2399825741251567</v>
      </c>
      <c r="L103" s="12">
        <f t="shared" si="16"/>
        <v>7.0874272052374474</v>
      </c>
    </row>
    <row r="104" spans="1:13" x14ac:dyDescent="0.3">
      <c r="A104" s="19">
        <f t="shared" si="29"/>
        <v>29</v>
      </c>
      <c r="B104" s="12">
        <f t="shared" si="29"/>
        <v>2043</v>
      </c>
      <c r="C104" s="12">
        <f t="shared" si="24"/>
        <v>2</v>
      </c>
      <c r="D104" s="12">
        <f t="shared" si="25"/>
        <v>70.255608339485889</v>
      </c>
      <c r="E104" s="46">
        <f t="shared" si="20"/>
        <v>66.742827922511594</v>
      </c>
      <c r="F104" s="12">
        <f t="shared" si="26"/>
        <v>32.885603903589136</v>
      </c>
      <c r="G104" s="46">
        <f t="shared" si="17"/>
        <v>29.597043513230222</v>
      </c>
      <c r="H104" s="46">
        <f t="shared" si="18"/>
        <v>96.339871435741813</v>
      </c>
      <c r="I104" s="12">
        <f t="shared" si="21"/>
        <v>94.339871435741813</v>
      </c>
      <c r="J104" s="12">
        <f t="shared" si="27"/>
        <v>0.13868669898882649</v>
      </c>
      <c r="K104" s="12">
        <f t="shared" si="28"/>
        <v>6.6805293752154844</v>
      </c>
      <c r="L104" s="12">
        <f t="shared" si="16"/>
        <v>6.5418426762266577</v>
      </c>
    </row>
    <row r="105" spans="1:13" x14ac:dyDescent="0.3">
      <c r="A105" s="19">
        <f t="shared" si="29"/>
        <v>30</v>
      </c>
      <c r="B105" s="12">
        <f t="shared" si="29"/>
        <v>2044</v>
      </c>
      <c r="C105" s="12">
        <f t="shared" si="24"/>
        <v>2</v>
      </c>
      <c r="D105" s="12">
        <f t="shared" si="25"/>
        <v>71.309442464578169</v>
      </c>
      <c r="E105" s="46">
        <f t="shared" si="20"/>
        <v>67.743970341349254</v>
      </c>
      <c r="F105" s="12">
        <f t="shared" si="26"/>
        <v>33.378887962142969</v>
      </c>
      <c r="G105" s="46">
        <f t="shared" si="17"/>
        <v>30.040999165928671</v>
      </c>
      <c r="H105" s="46">
        <f t="shared" si="18"/>
        <v>97.784969507277921</v>
      </c>
      <c r="I105" s="12">
        <f t="shared" si="21"/>
        <v>95.784969507277921</v>
      </c>
      <c r="J105" s="12">
        <f t="shared" si="27"/>
        <v>0.12607881726256953</v>
      </c>
      <c r="K105" s="12">
        <f t="shared" si="28"/>
        <v>6.1643066507670143</v>
      </c>
      <c r="L105" s="12">
        <f t="shared" si="16"/>
        <v>6.038227833504445</v>
      </c>
    </row>
    <row r="106" spans="1:13" x14ac:dyDescent="0.3">
      <c r="A106" s="19">
        <f t="shared" si="29"/>
        <v>31</v>
      </c>
      <c r="B106" s="12">
        <f t="shared" si="29"/>
        <v>2045</v>
      </c>
      <c r="C106" s="12">
        <f>C105</f>
        <v>2</v>
      </c>
      <c r="D106" s="12">
        <f t="shared" si="25"/>
        <v>72.379084101546837</v>
      </c>
      <c r="E106" s="46">
        <f t="shared" si="20"/>
        <v>68.760129896469493</v>
      </c>
      <c r="F106" s="12">
        <f t="shared" si="26"/>
        <v>33.87957128157511</v>
      </c>
      <c r="G106" s="46">
        <f t="shared" si="17"/>
        <v>30.491614153417601</v>
      </c>
      <c r="H106" s="46">
        <f t="shared" si="18"/>
        <v>99.251744049887094</v>
      </c>
      <c r="I106" s="12">
        <f t="shared" si="21"/>
        <v>97.251744049887094</v>
      </c>
      <c r="J106" s="12">
        <f t="shared" si="27"/>
        <v>0.11461710660233593</v>
      </c>
      <c r="K106" s="12">
        <f t="shared" si="28"/>
        <v>5.6879738641168345</v>
      </c>
      <c r="L106" s="12">
        <f t="shared" si="16"/>
        <v>5.5733567575144987</v>
      </c>
    </row>
    <row r="107" spans="1:13" x14ac:dyDescent="0.3">
      <c r="A107" s="44"/>
      <c r="B107" s="19" t="s">
        <v>19</v>
      </c>
      <c r="C107" s="19">
        <f>SUM(C76:C106)</f>
        <v>760</v>
      </c>
      <c r="D107" s="19">
        <f>SUM(D76:D106)</f>
        <v>1764.3180242046792</v>
      </c>
      <c r="E107" s="47">
        <f>SUM(E76:E106)</f>
        <v>1676.1021229944454</v>
      </c>
      <c r="F107" s="47">
        <f t="shared" ref="F107:G107" si="30">SUM(F76:F106)</f>
        <v>825.85099005325424</v>
      </c>
      <c r="G107" s="47">
        <f t="shared" si="30"/>
        <v>743.2658910479289</v>
      </c>
      <c r="H107" s="47">
        <f>SUM(H76:H106)</f>
        <v>2419.3680140423739</v>
      </c>
      <c r="I107" s="19">
        <f>SUM(I76:I106)</f>
        <v>1659.3680140423742</v>
      </c>
      <c r="J107" s="19">
        <f>SUM(J76:J106)</f>
        <v>717.26339890028999</v>
      </c>
      <c r="K107" s="48">
        <f>SUM(K76:K106)</f>
        <v>632.62301850789584</v>
      </c>
      <c r="L107" s="20">
        <f>SUM(L76:L106)</f>
        <v>-84.640380392394036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0.88199540012474498</v>
      </c>
      <c r="M108" s="40" t="s">
        <v>9</v>
      </c>
    </row>
    <row r="109" spans="1:13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-1.2217661607895836E-2</v>
      </c>
      <c r="M109" s="4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A4CB-6052-440B-B731-619613B1473E}">
  <sheetPr>
    <tabColor rgb="FFFFFF00"/>
  </sheetPr>
  <dimension ref="A1:M109"/>
  <sheetViews>
    <sheetView workbookViewId="0">
      <selection activeCell="F5" sqref="F5:F7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69.599999999999994" x14ac:dyDescent="0.3">
      <c r="A5" s="34" t="s">
        <v>66</v>
      </c>
      <c r="B5" s="10">
        <v>1.2E-2</v>
      </c>
      <c r="C5" s="30" t="s">
        <v>69</v>
      </c>
      <c r="D5" s="5"/>
      <c r="E5" s="38" t="s">
        <v>59</v>
      </c>
      <c r="F5" s="12">
        <f>L43</f>
        <v>9.9752828728182195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33</v>
      </c>
      <c r="C6" s="5"/>
      <c r="D6" s="5"/>
      <c r="E6" s="38" t="s">
        <v>9</v>
      </c>
      <c r="F6" s="67">
        <f>L44</f>
        <v>1.0138428552514458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53</v>
      </c>
      <c r="F7" s="13">
        <f>L45</f>
        <v>1.2705231771952263E-3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700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-700</v>
      </c>
      <c r="J12" s="12">
        <v>700</v>
      </c>
      <c r="K12" s="12">
        <v>0</v>
      </c>
      <c r="L12" s="12">
        <v>-700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0">F13*0.9</f>
        <v>19.8</v>
      </c>
      <c r="H13" s="46">
        <f t="shared" ref="H13:H42" si="1">E13+G13</f>
        <v>64.45</v>
      </c>
      <c r="I13" s="12">
        <f t="shared" ref="I13:I42" si="2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ref="L13:L42" si="3">K13-J13</f>
        <v>54.954545454545453</v>
      </c>
      <c r="M13" s="18"/>
    </row>
    <row r="14" spans="1:13" x14ac:dyDescent="0.3">
      <c r="A14" s="19">
        <f t="shared" ref="A14:B29" si="4">A13+1</f>
        <v>3</v>
      </c>
      <c r="B14" s="12">
        <f t="shared" si="4"/>
        <v>2017</v>
      </c>
      <c r="C14" s="12">
        <f>C13</f>
        <v>2</v>
      </c>
      <c r="D14" s="12">
        <f>D13*(1+$B$5)</f>
        <v>47.564</v>
      </c>
      <c r="E14" s="46">
        <f t="shared" ref="E14:E42" si="5">D14*0.95</f>
        <v>45.1858</v>
      </c>
      <c r="F14" s="12">
        <f>F13*(1+$B$5)</f>
        <v>22.263999999999999</v>
      </c>
      <c r="G14" s="46">
        <f t="shared" si="0"/>
        <v>20.037600000000001</v>
      </c>
      <c r="H14" s="46">
        <f t="shared" si="1"/>
        <v>65.223399999999998</v>
      </c>
      <c r="I14" s="12">
        <f t="shared" si="2"/>
        <v>63.223399999999998</v>
      </c>
      <c r="J14" s="12">
        <f t="shared" ref="J14:J26" si="6">(C14)/((1+0.1)^($A14-1))</f>
        <v>1.6528925619834709</v>
      </c>
      <c r="K14" s="12">
        <f t="shared" ref="K14:K26" si="7">(I14)/((1+0.1)^($A14-1))</f>
        <v>52.250743801652881</v>
      </c>
      <c r="L14" s="12">
        <f t="shared" si="3"/>
        <v>50.59785123966941</v>
      </c>
      <c r="M14" s="18"/>
    </row>
    <row r="15" spans="1:13" x14ac:dyDescent="0.3">
      <c r="A15" s="19">
        <f t="shared" si="4"/>
        <v>4</v>
      </c>
      <c r="B15" s="12">
        <f t="shared" si="4"/>
        <v>2018</v>
      </c>
      <c r="C15" s="12">
        <f t="shared" ref="C15:C41" si="8">C14</f>
        <v>2</v>
      </c>
      <c r="D15" s="12">
        <f t="shared" ref="D15:D42" si="9">D14*(1+$B$5)</f>
        <v>48.134768000000001</v>
      </c>
      <c r="E15" s="46">
        <f t="shared" si="5"/>
        <v>45.728029599999999</v>
      </c>
      <c r="F15" s="12">
        <f t="shared" ref="F15:F42" si="10">F14*(1+$B$5)</f>
        <v>22.531168000000001</v>
      </c>
      <c r="G15" s="46">
        <f t="shared" si="0"/>
        <v>20.2780512</v>
      </c>
      <c r="H15" s="46">
        <f t="shared" si="1"/>
        <v>66.006080800000007</v>
      </c>
      <c r="I15" s="12">
        <f t="shared" si="2"/>
        <v>64.006080800000007</v>
      </c>
      <c r="J15" s="12">
        <f t="shared" si="6"/>
        <v>1.5026296018031551</v>
      </c>
      <c r="K15" s="12">
        <f t="shared" si="7"/>
        <v>48.08871585274229</v>
      </c>
      <c r="L15" s="12">
        <f t="shared" si="3"/>
        <v>46.586086250939132</v>
      </c>
      <c r="M15" s="18"/>
    </row>
    <row r="16" spans="1:13" x14ac:dyDescent="0.3">
      <c r="A16" s="19">
        <f t="shared" si="4"/>
        <v>5</v>
      </c>
      <c r="B16" s="12">
        <f t="shared" si="4"/>
        <v>2019</v>
      </c>
      <c r="C16" s="12">
        <f t="shared" si="8"/>
        <v>2</v>
      </c>
      <c r="D16" s="12">
        <f t="shared" si="9"/>
        <v>48.712385216000001</v>
      </c>
      <c r="E16" s="46">
        <f t="shared" si="5"/>
        <v>46.276765955199998</v>
      </c>
      <c r="F16" s="12">
        <f t="shared" si="10"/>
        <v>22.801542016000003</v>
      </c>
      <c r="G16" s="46">
        <f t="shared" si="0"/>
        <v>20.521387814400004</v>
      </c>
      <c r="H16" s="46">
        <f t="shared" si="1"/>
        <v>66.798153769600006</v>
      </c>
      <c r="I16" s="12">
        <f t="shared" si="2"/>
        <v>64.798153769600006</v>
      </c>
      <c r="J16" s="12">
        <f t="shared" si="6"/>
        <v>1.366026910730141</v>
      </c>
      <c r="K16" s="12">
        <f t="shared" si="7"/>
        <v>44.25801090745167</v>
      </c>
      <c r="L16" s="12">
        <f t="shared" si="3"/>
        <v>42.891983996721528</v>
      </c>
      <c r="M16" s="18"/>
    </row>
    <row r="17" spans="1:13" x14ac:dyDescent="0.3">
      <c r="A17" s="19">
        <f t="shared" si="4"/>
        <v>6</v>
      </c>
      <c r="B17" s="12">
        <f t="shared" si="4"/>
        <v>2020</v>
      </c>
      <c r="C17" s="12">
        <f t="shared" si="8"/>
        <v>2</v>
      </c>
      <c r="D17" s="12">
        <f t="shared" si="9"/>
        <v>49.296933838592004</v>
      </c>
      <c r="E17" s="46">
        <f t="shared" si="5"/>
        <v>46.832087146662403</v>
      </c>
      <c r="F17" s="12">
        <f t="shared" si="10"/>
        <v>23.075160520192004</v>
      </c>
      <c r="G17" s="46">
        <f t="shared" si="0"/>
        <v>20.767644468172804</v>
      </c>
      <c r="H17" s="46">
        <f t="shared" si="1"/>
        <v>67.599731614835207</v>
      </c>
      <c r="I17" s="12">
        <f t="shared" si="2"/>
        <v>65.599731614835207</v>
      </c>
      <c r="J17" s="12">
        <f t="shared" si="6"/>
        <v>1.2418426461183099</v>
      </c>
      <c r="K17" s="12">
        <f t="shared" si="7"/>
        <v>40.732272146608956</v>
      </c>
      <c r="L17" s="12">
        <f t="shared" si="3"/>
        <v>39.490429500490649</v>
      </c>
      <c r="M17" s="18"/>
    </row>
    <row r="18" spans="1:13" x14ac:dyDescent="0.3">
      <c r="A18" s="19">
        <f t="shared" si="4"/>
        <v>7</v>
      </c>
      <c r="B18" s="12">
        <f t="shared" si="4"/>
        <v>2021</v>
      </c>
      <c r="C18" s="12">
        <f t="shared" si="8"/>
        <v>2</v>
      </c>
      <c r="D18" s="12">
        <f t="shared" si="9"/>
        <v>49.888497044655111</v>
      </c>
      <c r="E18" s="46">
        <f t="shared" si="5"/>
        <v>47.39407219242235</v>
      </c>
      <c r="F18" s="12">
        <f t="shared" si="10"/>
        <v>23.352062446434307</v>
      </c>
      <c r="G18" s="46">
        <f t="shared" si="0"/>
        <v>21.016856201790876</v>
      </c>
      <c r="H18" s="46">
        <f t="shared" si="1"/>
        <v>68.410928394213229</v>
      </c>
      <c r="I18" s="12">
        <f t="shared" si="2"/>
        <v>66.410928394213229</v>
      </c>
      <c r="J18" s="12">
        <f t="shared" si="6"/>
        <v>1.1289478601075544</v>
      </c>
      <c r="K18" s="12">
        <f t="shared" si="7"/>
        <v>37.487237749201519</v>
      </c>
      <c r="L18" s="12">
        <f t="shared" si="3"/>
        <v>36.358289889093967</v>
      </c>
      <c r="M18" s="18"/>
    </row>
    <row r="19" spans="1:13" x14ac:dyDescent="0.3">
      <c r="A19" s="19">
        <f t="shared" si="4"/>
        <v>8</v>
      </c>
      <c r="B19" s="12">
        <f t="shared" si="4"/>
        <v>2022</v>
      </c>
      <c r="C19" s="12">
        <f t="shared" si="8"/>
        <v>2</v>
      </c>
      <c r="D19" s="12">
        <f t="shared" si="9"/>
        <v>50.487159009190975</v>
      </c>
      <c r="E19" s="46">
        <f t="shared" si="5"/>
        <v>47.962801058731422</v>
      </c>
      <c r="F19" s="12">
        <f t="shared" si="10"/>
        <v>23.63228719579152</v>
      </c>
      <c r="G19" s="46">
        <f t="shared" si="0"/>
        <v>21.269058476212368</v>
      </c>
      <c r="H19" s="46">
        <f t="shared" si="1"/>
        <v>69.231859534943794</v>
      </c>
      <c r="I19" s="12">
        <f t="shared" si="2"/>
        <v>67.231859534943794</v>
      </c>
      <c r="J19" s="12">
        <f t="shared" si="6"/>
        <v>1.0263162364614129</v>
      </c>
      <c r="K19" s="12">
        <f t="shared" si="7"/>
        <v>34.500574524102937</v>
      </c>
      <c r="L19" s="12">
        <f t="shared" si="3"/>
        <v>33.474258287641526</v>
      </c>
      <c r="M19" s="18"/>
    </row>
    <row r="20" spans="1:13" x14ac:dyDescent="0.3">
      <c r="A20" s="19">
        <f t="shared" si="4"/>
        <v>9</v>
      </c>
      <c r="B20" s="12">
        <f t="shared" si="4"/>
        <v>2023</v>
      </c>
      <c r="C20" s="12">
        <f t="shared" si="8"/>
        <v>2</v>
      </c>
      <c r="D20" s="12">
        <f t="shared" si="9"/>
        <v>51.093004917301265</v>
      </c>
      <c r="E20" s="46">
        <f t="shared" si="5"/>
        <v>48.538354671436203</v>
      </c>
      <c r="F20" s="12">
        <f t="shared" si="10"/>
        <v>23.915874642141016</v>
      </c>
      <c r="G20" s="46">
        <f t="shared" si="0"/>
        <v>21.524287177926915</v>
      </c>
      <c r="H20" s="46">
        <f t="shared" si="1"/>
        <v>70.062641849363118</v>
      </c>
      <c r="I20" s="12">
        <f t="shared" si="2"/>
        <v>68.062641849363118</v>
      </c>
      <c r="J20" s="12">
        <f t="shared" si="6"/>
        <v>0.93301476041946629</v>
      </c>
      <c r="K20" s="12">
        <f t="shared" si="7"/>
        <v>31.751724739299735</v>
      </c>
      <c r="L20" s="12">
        <f t="shared" si="3"/>
        <v>30.818709978880268</v>
      </c>
      <c r="M20" s="18"/>
    </row>
    <row r="21" spans="1:13" x14ac:dyDescent="0.3">
      <c r="A21" s="19">
        <f t="shared" si="4"/>
        <v>10</v>
      </c>
      <c r="B21" s="12">
        <f t="shared" si="4"/>
        <v>2024</v>
      </c>
      <c r="C21" s="12">
        <f t="shared" si="8"/>
        <v>2</v>
      </c>
      <c r="D21" s="12">
        <f t="shared" si="9"/>
        <v>51.706120976308881</v>
      </c>
      <c r="E21" s="46">
        <f t="shared" si="5"/>
        <v>49.120814927493434</v>
      </c>
      <c r="F21" s="12">
        <f t="shared" si="10"/>
        <v>24.202865137846707</v>
      </c>
      <c r="G21" s="46">
        <f t="shared" si="0"/>
        <v>21.782578624062037</v>
      </c>
      <c r="H21" s="46">
        <f t="shared" si="1"/>
        <v>70.903393551555467</v>
      </c>
      <c r="I21" s="12">
        <f t="shared" si="2"/>
        <v>68.903393551555467</v>
      </c>
      <c r="J21" s="12">
        <f t="shared" si="6"/>
        <v>0.84819523674496933</v>
      </c>
      <c r="K21" s="12">
        <f t="shared" si="7"/>
        <v>29.221765102996692</v>
      </c>
      <c r="L21" s="12">
        <f t="shared" si="3"/>
        <v>28.373569866251721</v>
      </c>
      <c r="M21" s="18"/>
    </row>
    <row r="22" spans="1:13" x14ac:dyDescent="0.3">
      <c r="A22" s="19">
        <f t="shared" si="4"/>
        <v>11</v>
      </c>
      <c r="B22" s="12">
        <f t="shared" si="4"/>
        <v>2025</v>
      </c>
      <c r="C22" s="12">
        <f t="shared" si="8"/>
        <v>2</v>
      </c>
      <c r="D22" s="12">
        <f t="shared" si="9"/>
        <v>52.326594428024592</v>
      </c>
      <c r="E22" s="46">
        <f t="shared" si="5"/>
        <v>49.710264706623363</v>
      </c>
      <c r="F22" s="12">
        <f t="shared" si="10"/>
        <v>24.493299519500869</v>
      </c>
      <c r="G22" s="46">
        <f t="shared" si="0"/>
        <v>22.043969567550782</v>
      </c>
      <c r="H22" s="46">
        <f t="shared" si="1"/>
        <v>71.754234274174138</v>
      </c>
      <c r="I22" s="12">
        <f t="shared" si="2"/>
        <v>69.754234274174138</v>
      </c>
      <c r="J22" s="12">
        <f t="shared" si="6"/>
        <v>0.77108657885906295</v>
      </c>
      <c r="K22" s="12">
        <f t="shared" si="7"/>
        <v>26.893276933703262</v>
      </c>
      <c r="L22" s="12">
        <f t="shared" si="3"/>
        <v>26.1221903548442</v>
      </c>
      <c r="M22" s="18"/>
    </row>
    <row r="23" spans="1:13" x14ac:dyDescent="0.3">
      <c r="A23" s="19">
        <f t="shared" si="4"/>
        <v>12</v>
      </c>
      <c r="B23" s="12">
        <f t="shared" si="4"/>
        <v>2026</v>
      </c>
      <c r="C23" s="12">
        <f t="shared" si="8"/>
        <v>2</v>
      </c>
      <c r="D23" s="12">
        <f t="shared" si="9"/>
        <v>52.954513561160887</v>
      </c>
      <c r="E23" s="46">
        <f t="shared" si="5"/>
        <v>50.306787883102842</v>
      </c>
      <c r="F23" s="12">
        <f t="shared" si="10"/>
        <v>24.787219113734881</v>
      </c>
      <c r="G23" s="46">
        <f t="shared" si="0"/>
        <v>22.308497202361394</v>
      </c>
      <c r="H23" s="46">
        <f t="shared" si="1"/>
        <v>72.615285085464237</v>
      </c>
      <c r="I23" s="12">
        <f t="shared" si="2"/>
        <v>70.615285085464237</v>
      </c>
      <c r="J23" s="12">
        <f t="shared" si="6"/>
        <v>0.7009877989627844</v>
      </c>
      <c r="K23" s="12">
        <f t="shared" si="7"/>
        <v>24.750226632594554</v>
      </c>
      <c r="L23" s="12">
        <f t="shared" si="3"/>
        <v>24.049238833631769</v>
      </c>
      <c r="M23" s="18"/>
    </row>
    <row r="24" spans="1:13" x14ac:dyDescent="0.3">
      <c r="A24" s="19">
        <f t="shared" si="4"/>
        <v>13</v>
      </c>
      <c r="B24" s="12">
        <f t="shared" si="4"/>
        <v>2027</v>
      </c>
      <c r="C24" s="12">
        <f t="shared" si="8"/>
        <v>2</v>
      </c>
      <c r="D24" s="12">
        <f t="shared" si="9"/>
        <v>53.589967723894816</v>
      </c>
      <c r="E24" s="46">
        <f t="shared" si="5"/>
        <v>50.910469337700071</v>
      </c>
      <c r="F24" s="12">
        <f t="shared" si="10"/>
        <v>25.084665743099702</v>
      </c>
      <c r="G24" s="46">
        <f t="shared" si="0"/>
        <v>22.576199168789731</v>
      </c>
      <c r="H24" s="46">
        <f t="shared" si="1"/>
        <v>73.486668506489806</v>
      </c>
      <c r="I24" s="12">
        <f t="shared" si="2"/>
        <v>71.486668506489806</v>
      </c>
      <c r="J24" s="12">
        <f t="shared" si="6"/>
        <v>0.63726163542071312</v>
      </c>
      <c r="K24" s="12">
        <f t="shared" si="7"/>
        <v>22.777855641612039</v>
      </c>
      <c r="L24" s="12">
        <f t="shared" si="3"/>
        <v>22.140594006191325</v>
      </c>
      <c r="M24" s="18"/>
    </row>
    <row r="25" spans="1:13" x14ac:dyDescent="0.3">
      <c r="A25" s="19">
        <f t="shared" si="4"/>
        <v>14</v>
      </c>
      <c r="B25" s="12">
        <f t="shared" si="4"/>
        <v>2028</v>
      </c>
      <c r="C25" s="12">
        <f t="shared" si="8"/>
        <v>2</v>
      </c>
      <c r="D25" s="12">
        <f t="shared" si="9"/>
        <v>54.233047336581556</v>
      </c>
      <c r="E25" s="46">
        <f t="shared" si="5"/>
        <v>51.521394969752478</v>
      </c>
      <c r="F25" s="12">
        <f t="shared" si="10"/>
        <v>25.385681732016899</v>
      </c>
      <c r="G25" s="46">
        <f t="shared" si="0"/>
        <v>22.847113558815209</v>
      </c>
      <c r="H25" s="46">
        <f t="shared" si="1"/>
        <v>74.368508528567688</v>
      </c>
      <c r="I25" s="12">
        <f t="shared" si="2"/>
        <v>72.368508528567688</v>
      </c>
      <c r="J25" s="12">
        <f t="shared" si="6"/>
        <v>0.57932875947337559</v>
      </c>
      <c r="K25" s="12">
        <f t="shared" si="7"/>
        <v>20.962579135396759</v>
      </c>
      <c r="L25" s="12">
        <f t="shared" si="3"/>
        <v>20.383250375923382</v>
      </c>
      <c r="M25" s="18"/>
    </row>
    <row r="26" spans="1:13" x14ac:dyDescent="0.3">
      <c r="A26" s="19">
        <f t="shared" si="4"/>
        <v>15</v>
      </c>
      <c r="B26" s="12">
        <f t="shared" si="4"/>
        <v>2029</v>
      </c>
      <c r="C26" s="12">
        <f t="shared" si="8"/>
        <v>2</v>
      </c>
      <c r="D26" s="12">
        <f t="shared" si="9"/>
        <v>54.883843904620534</v>
      </c>
      <c r="E26" s="46">
        <f t="shared" si="5"/>
        <v>52.139651709389504</v>
      </c>
      <c r="F26" s="12">
        <f t="shared" si="10"/>
        <v>25.690309912801101</v>
      </c>
      <c r="G26" s="46">
        <f t="shared" si="0"/>
        <v>23.121278921520993</v>
      </c>
      <c r="H26" s="46">
        <f t="shared" si="1"/>
        <v>75.260930630910494</v>
      </c>
      <c r="I26" s="12">
        <f t="shared" si="2"/>
        <v>73.260930630910494</v>
      </c>
      <c r="J26" s="12">
        <f t="shared" si="6"/>
        <v>0.52666250861215946</v>
      </c>
      <c r="K26" s="12">
        <f t="shared" si="7"/>
        <v>19.291892754668357</v>
      </c>
      <c r="L26" s="12">
        <f t="shared" si="3"/>
        <v>18.765230246056198</v>
      </c>
      <c r="M26" s="18"/>
    </row>
    <row r="27" spans="1:13" x14ac:dyDescent="0.3">
      <c r="A27" s="19">
        <f t="shared" si="4"/>
        <v>16</v>
      </c>
      <c r="B27" s="12">
        <f t="shared" si="4"/>
        <v>2030</v>
      </c>
      <c r="C27" s="12">
        <f t="shared" si="8"/>
        <v>2</v>
      </c>
      <c r="D27" s="12">
        <f t="shared" si="9"/>
        <v>55.54245003147598</v>
      </c>
      <c r="E27" s="46">
        <f t="shared" si="5"/>
        <v>52.76532752990218</v>
      </c>
      <c r="F27" s="12">
        <f t="shared" si="10"/>
        <v>25.998593631754716</v>
      </c>
      <c r="G27" s="46">
        <f t="shared" si="0"/>
        <v>23.398734268579243</v>
      </c>
      <c r="H27" s="46">
        <f t="shared" si="1"/>
        <v>76.164061798481427</v>
      </c>
      <c r="I27" s="12">
        <f t="shared" si="2"/>
        <v>74.164061798481427</v>
      </c>
      <c r="J27" s="12">
        <f>(C27)/((1+0.1)^($A27-1))</f>
        <v>0.47878409873832678</v>
      </c>
      <c r="K27" s="12">
        <f>(H27)/((1+0.1)^($A27-1))</f>
        <v>18.233070842218076</v>
      </c>
      <c r="L27" s="12">
        <f t="shared" si="3"/>
        <v>17.754286743479749</v>
      </c>
      <c r="M27" s="18"/>
    </row>
    <row r="28" spans="1:13" x14ac:dyDescent="0.3">
      <c r="A28" s="19">
        <f t="shared" si="4"/>
        <v>17</v>
      </c>
      <c r="B28" s="12">
        <f t="shared" si="4"/>
        <v>2031</v>
      </c>
      <c r="C28" s="12">
        <f t="shared" si="8"/>
        <v>2</v>
      </c>
      <c r="D28" s="12">
        <f t="shared" si="9"/>
        <v>56.208959431853692</v>
      </c>
      <c r="E28" s="46">
        <f t="shared" si="5"/>
        <v>53.398511460261005</v>
      </c>
      <c r="F28" s="12">
        <f t="shared" si="10"/>
        <v>26.310576755335774</v>
      </c>
      <c r="G28" s="46">
        <f t="shared" si="0"/>
        <v>23.679519079802198</v>
      </c>
      <c r="H28" s="46">
        <f t="shared" si="1"/>
        <v>77.078030540063196</v>
      </c>
      <c r="I28" s="12">
        <f t="shared" si="2"/>
        <v>75.078030540063196</v>
      </c>
      <c r="J28" s="12">
        <f t="shared" ref="J28:J42" si="11">(C28)/((1+0.08)^($A28-1))</f>
        <v>0.58378093512201845</v>
      </c>
      <c r="K28" s="12">
        <f t="shared" ref="K28:K42" si="12">(H28)/((1+0.08)^($A28-1))</f>
        <v>22.498342373020794</v>
      </c>
      <c r="L28" s="12">
        <f t="shared" si="3"/>
        <v>21.914561437898776</v>
      </c>
      <c r="M28" s="18"/>
    </row>
    <row r="29" spans="1:13" x14ac:dyDescent="0.3">
      <c r="A29" s="19">
        <f t="shared" si="4"/>
        <v>18</v>
      </c>
      <c r="B29" s="12">
        <f t="shared" si="4"/>
        <v>2032</v>
      </c>
      <c r="C29" s="12">
        <f t="shared" si="8"/>
        <v>2</v>
      </c>
      <c r="D29" s="12">
        <f t="shared" si="9"/>
        <v>56.883466945035934</v>
      </c>
      <c r="E29" s="46">
        <f t="shared" si="5"/>
        <v>54.039293597784138</v>
      </c>
      <c r="F29" s="12">
        <f t="shared" si="10"/>
        <v>26.626303676399804</v>
      </c>
      <c r="G29" s="46">
        <f t="shared" si="0"/>
        <v>23.963673308759823</v>
      </c>
      <c r="H29" s="46">
        <f t="shared" si="1"/>
        <v>78.002966906543961</v>
      </c>
      <c r="I29" s="12">
        <f t="shared" si="2"/>
        <v>76.002966906543961</v>
      </c>
      <c r="J29" s="12">
        <f t="shared" si="11"/>
        <v>0.54053790289075787</v>
      </c>
      <c r="K29" s="12">
        <f t="shared" si="12"/>
        <v>21.081780075460227</v>
      </c>
      <c r="L29" s="12">
        <f t="shared" si="3"/>
        <v>20.541242172569468</v>
      </c>
      <c r="M29" s="18"/>
    </row>
    <row r="30" spans="1:13" x14ac:dyDescent="0.3">
      <c r="A30" s="19">
        <f t="shared" ref="A30:B42" si="13">A29+1</f>
        <v>19</v>
      </c>
      <c r="B30" s="12">
        <f t="shared" si="13"/>
        <v>2033</v>
      </c>
      <c r="C30" s="12">
        <f t="shared" si="8"/>
        <v>2</v>
      </c>
      <c r="D30" s="12">
        <f t="shared" si="9"/>
        <v>57.566068548376364</v>
      </c>
      <c r="E30" s="46">
        <f t="shared" si="5"/>
        <v>54.687765120957543</v>
      </c>
      <c r="F30" s="12">
        <f t="shared" si="10"/>
        <v>26.945819320516602</v>
      </c>
      <c r="G30" s="46">
        <f t="shared" si="0"/>
        <v>24.251237388464943</v>
      </c>
      <c r="H30" s="46">
        <f t="shared" si="1"/>
        <v>78.939002509422494</v>
      </c>
      <c r="I30" s="12">
        <f t="shared" si="2"/>
        <v>76.939002509422494</v>
      </c>
      <c r="J30" s="12">
        <f t="shared" si="11"/>
        <v>0.50049805823218307</v>
      </c>
      <c r="K30" s="12">
        <f t="shared" si="12"/>
        <v>19.754408737375694</v>
      </c>
      <c r="L30" s="12">
        <f t="shared" si="3"/>
        <v>19.253910679143512</v>
      </c>
      <c r="M30" s="18"/>
    </row>
    <row r="31" spans="1:13" x14ac:dyDescent="0.3">
      <c r="A31" s="19">
        <f t="shared" si="13"/>
        <v>20</v>
      </c>
      <c r="B31" s="12">
        <f t="shared" si="13"/>
        <v>2034</v>
      </c>
      <c r="C31" s="12">
        <f t="shared" si="8"/>
        <v>2</v>
      </c>
      <c r="D31" s="12">
        <f t="shared" si="9"/>
        <v>58.256861370956884</v>
      </c>
      <c r="E31" s="46">
        <f t="shared" si="5"/>
        <v>55.34401830240904</v>
      </c>
      <c r="F31" s="12">
        <f t="shared" si="10"/>
        <v>27.269169152362803</v>
      </c>
      <c r="G31" s="46">
        <f t="shared" si="0"/>
        <v>24.542252237126522</v>
      </c>
      <c r="H31" s="46">
        <f t="shared" si="1"/>
        <v>79.886270539535559</v>
      </c>
      <c r="I31" s="12">
        <f t="shared" si="2"/>
        <v>77.886270539535559</v>
      </c>
      <c r="J31" s="12">
        <f t="shared" si="11"/>
        <v>0.46342412799276211</v>
      </c>
      <c r="K31" s="12">
        <f t="shared" si="12"/>
        <v>18.510612631689074</v>
      </c>
      <c r="L31" s="12">
        <f t="shared" si="3"/>
        <v>18.047188503696312</v>
      </c>
      <c r="M31" s="18"/>
    </row>
    <row r="32" spans="1:13" x14ac:dyDescent="0.3">
      <c r="A32" s="19">
        <f t="shared" si="13"/>
        <v>21</v>
      </c>
      <c r="B32" s="12">
        <f t="shared" si="13"/>
        <v>2035</v>
      </c>
      <c r="C32" s="12">
        <f t="shared" si="8"/>
        <v>2</v>
      </c>
      <c r="D32" s="12">
        <f t="shared" si="9"/>
        <v>58.955943707408366</v>
      </c>
      <c r="E32" s="46">
        <f t="shared" si="5"/>
        <v>56.008146522037947</v>
      </c>
      <c r="F32" s="12">
        <f t="shared" si="10"/>
        <v>27.596399182191156</v>
      </c>
      <c r="G32" s="46">
        <f t="shared" si="0"/>
        <v>24.836759263972041</v>
      </c>
      <c r="H32" s="46">
        <f t="shared" si="1"/>
        <v>80.844905786009988</v>
      </c>
      <c r="I32" s="12">
        <f t="shared" si="2"/>
        <v>78.844905786009988</v>
      </c>
      <c r="J32" s="12">
        <f t="shared" si="11"/>
        <v>0.42909641480811306</v>
      </c>
      <c r="K32" s="12">
        <f t="shared" si="12"/>
        <v>17.345129614138283</v>
      </c>
      <c r="L32" s="12">
        <f t="shared" si="3"/>
        <v>16.916033199330169</v>
      </c>
      <c r="M32" s="18"/>
    </row>
    <row r="33" spans="1:13" x14ac:dyDescent="0.3">
      <c r="A33" s="19">
        <f t="shared" si="13"/>
        <v>22</v>
      </c>
      <c r="B33" s="12">
        <f t="shared" si="13"/>
        <v>2036</v>
      </c>
      <c r="C33" s="12">
        <f t="shared" si="8"/>
        <v>2</v>
      </c>
      <c r="D33" s="12">
        <f t="shared" si="9"/>
        <v>59.663415031897266</v>
      </c>
      <c r="E33" s="46">
        <f t="shared" si="5"/>
        <v>56.680244280302396</v>
      </c>
      <c r="F33" s="12">
        <f t="shared" si="10"/>
        <v>27.927555972377451</v>
      </c>
      <c r="G33" s="46">
        <f t="shared" si="0"/>
        <v>25.134800375139708</v>
      </c>
      <c r="H33" s="46">
        <f t="shared" si="1"/>
        <v>81.815044655442108</v>
      </c>
      <c r="I33" s="12">
        <f t="shared" si="2"/>
        <v>79.815044655442108</v>
      </c>
      <c r="J33" s="12">
        <f t="shared" si="11"/>
        <v>0.39731149519269726</v>
      </c>
      <c r="K33" s="12">
        <f t="shared" si="12"/>
        <v>16.253028860655501</v>
      </c>
      <c r="L33" s="12">
        <f t="shared" si="3"/>
        <v>15.855717365462803</v>
      </c>
      <c r="M33" s="18"/>
    </row>
    <row r="34" spans="1:13" x14ac:dyDescent="0.3">
      <c r="A34" s="19">
        <f t="shared" si="13"/>
        <v>23</v>
      </c>
      <c r="B34" s="12">
        <f t="shared" si="13"/>
        <v>2037</v>
      </c>
      <c r="C34" s="12">
        <f t="shared" si="8"/>
        <v>2</v>
      </c>
      <c r="D34" s="12">
        <f t="shared" si="9"/>
        <v>60.379376012280034</v>
      </c>
      <c r="E34" s="46">
        <f t="shared" si="5"/>
        <v>57.360407211666029</v>
      </c>
      <c r="F34" s="12">
        <f t="shared" si="10"/>
        <v>28.262686644045981</v>
      </c>
      <c r="G34" s="46">
        <f t="shared" si="0"/>
        <v>25.436417979641384</v>
      </c>
      <c r="H34" s="46">
        <f t="shared" si="1"/>
        <v>82.79682519130742</v>
      </c>
      <c r="I34" s="12">
        <f t="shared" si="2"/>
        <v>80.79682519130742</v>
      </c>
      <c r="J34" s="12">
        <f t="shared" si="11"/>
        <v>0.36788101406731222</v>
      </c>
      <c r="K34" s="12">
        <f t="shared" si="12"/>
        <v>15.229690006466079</v>
      </c>
      <c r="L34" s="12">
        <f t="shared" si="3"/>
        <v>14.861808992398768</v>
      </c>
      <c r="M34" s="18"/>
    </row>
    <row r="35" spans="1:13" x14ac:dyDescent="0.3">
      <c r="A35" s="19">
        <f t="shared" si="13"/>
        <v>24</v>
      </c>
      <c r="B35" s="12">
        <f t="shared" si="13"/>
        <v>2038</v>
      </c>
      <c r="C35" s="12">
        <f t="shared" si="8"/>
        <v>2</v>
      </c>
      <c r="D35" s="12">
        <f t="shared" si="9"/>
        <v>61.103928524427396</v>
      </c>
      <c r="E35" s="46">
        <f t="shared" si="5"/>
        <v>58.048732098206024</v>
      </c>
      <c r="F35" s="12">
        <f t="shared" si="10"/>
        <v>28.601838883774533</v>
      </c>
      <c r="G35" s="46">
        <f t="shared" si="0"/>
        <v>25.741654995397081</v>
      </c>
      <c r="H35" s="46">
        <f t="shared" si="1"/>
        <v>83.790387093603101</v>
      </c>
      <c r="I35" s="12">
        <f t="shared" si="2"/>
        <v>81.790387093603101</v>
      </c>
      <c r="J35" s="12">
        <f t="shared" si="11"/>
        <v>0.34063056858084467</v>
      </c>
      <c r="K35" s="12">
        <f t="shared" si="12"/>
        <v>14.270783598651546</v>
      </c>
      <c r="L35" s="12">
        <f t="shared" si="3"/>
        <v>13.9301530300707</v>
      </c>
      <c r="M35" s="18"/>
    </row>
    <row r="36" spans="1:13" x14ac:dyDescent="0.3">
      <c r="A36" s="19">
        <f t="shared" si="13"/>
        <v>25</v>
      </c>
      <c r="B36" s="12">
        <f t="shared" si="13"/>
        <v>2039</v>
      </c>
      <c r="C36" s="12">
        <f t="shared" si="8"/>
        <v>2</v>
      </c>
      <c r="D36" s="12">
        <f t="shared" si="9"/>
        <v>61.837175666720526</v>
      </c>
      <c r="E36" s="46">
        <f t="shared" si="5"/>
        <v>58.745316883384497</v>
      </c>
      <c r="F36" s="12">
        <f t="shared" si="10"/>
        <v>28.94506095037983</v>
      </c>
      <c r="G36" s="46">
        <f t="shared" si="0"/>
        <v>26.050554855341847</v>
      </c>
      <c r="H36" s="46">
        <f t="shared" si="1"/>
        <v>84.795871738726348</v>
      </c>
      <c r="I36" s="12">
        <f t="shared" si="2"/>
        <v>82.795871738726348</v>
      </c>
      <c r="J36" s="12">
        <f t="shared" si="11"/>
        <v>0.31539867461189319</v>
      </c>
      <c r="K36" s="12">
        <f t="shared" si="12"/>
        <v>13.372252779477192</v>
      </c>
      <c r="L36" s="12">
        <f t="shared" si="3"/>
        <v>13.056854104865298</v>
      </c>
      <c r="M36" s="18"/>
    </row>
    <row r="37" spans="1:13" x14ac:dyDescent="0.3">
      <c r="A37" s="19">
        <f t="shared" si="13"/>
        <v>26</v>
      </c>
      <c r="B37" s="12">
        <f t="shared" si="13"/>
        <v>2040</v>
      </c>
      <c r="C37" s="12">
        <f t="shared" si="8"/>
        <v>2</v>
      </c>
      <c r="D37" s="12">
        <f t="shared" si="9"/>
        <v>62.579221774721177</v>
      </c>
      <c r="E37" s="46">
        <f t="shared" si="5"/>
        <v>59.450260685985114</v>
      </c>
      <c r="F37" s="12">
        <f t="shared" si="10"/>
        <v>29.292401681784387</v>
      </c>
      <c r="G37" s="46">
        <f t="shared" si="0"/>
        <v>26.363161513605949</v>
      </c>
      <c r="H37" s="46">
        <f t="shared" si="1"/>
        <v>85.813422199591059</v>
      </c>
      <c r="I37" s="12">
        <f t="shared" si="2"/>
        <v>83.813422199591059</v>
      </c>
      <c r="J37" s="12">
        <f t="shared" si="11"/>
        <v>0.292035809825827</v>
      </c>
      <c r="K37" s="12">
        <f t="shared" si="12"/>
        <v>12.530296122991588</v>
      </c>
      <c r="L37" s="12">
        <f t="shared" si="3"/>
        <v>12.238260313165762</v>
      </c>
      <c r="M37" s="18"/>
    </row>
    <row r="38" spans="1:13" x14ac:dyDescent="0.3">
      <c r="A38" s="19">
        <f t="shared" si="13"/>
        <v>27</v>
      </c>
      <c r="B38" s="12">
        <f t="shared" si="13"/>
        <v>2041</v>
      </c>
      <c r="C38" s="12">
        <f t="shared" si="8"/>
        <v>2</v>
      </c>
      <c r="D38" s="12">
        <f t="shared" si="9"/>
        <v>63.330172436017833</v>
      </c>
      <c r="E38" s="46">
        <f t="shared" si="5"/>
        <v>60.163663814216939</v>
      </c>
      <c r="F38" s="12">
        <f t="shared" si="10"/>
        <v>29.643910501965799</v>
      </c>
      <c r="G38" s="46">
        <f t="shared" si="0"/>
        <v>26.67951945176922</v>
      </c>
      <c r="H38" s="46">
        <f t="shared" si="1"/>
        <v>86.843183265986156</v>
      </c>
      <c r="I38" s="12">
        <f t="shared" si="2"/>
        <v>84.843183265986156</v>
      </c>
      <c r="J38" s="12">
        <f t="shared" si="11"/>
        <v>0.27040352761650649</v>
      </c>
      <c r="K38" s="12">
        <f t="shared" si="12"/>
        <v>11.741351552284712</v>
      </c>
      <c r="L38" s="12">
        <f t="shared" si="3"/>
        <v>11.470948024668205</v>
      </c>
      <c r="M38" s="18"/>
    </row>
    <row r="39" spans="1:13" x14ac:dyDescent="0.3">
      <c r="A39" s="19">
        <f t="shared" si="13"/>
        <v>28</v>
      </c>
      <c r="B39" s="12">
        <f t="shared" si="13"/>
        <v>2042</v>
      </c>
      <c r="C39" s="12">
        <f t="shared" si="8"/>
        <v>2</v>
      </c>
      <c r="D39" s="12">
        <f t="shared" si="9"/>
        <v>64.090134505250049</v>
      </c>
      <c r="E39" s="46">
        <f t="shared" si="5"/>
        <v>60.885627779987544</v>
      </c>
      <c r="F39" s="12">
        <f t="shared" si="10"/>
        <v>29.999637427989388</v>
      </c>
      <c r="G39" s="46">
        <f t="shared" si="0"/>
        <v>26.999673685190448</v>
      </c>
      <c r="H39" s="46">
        <f t="shared" si="1"/>
        <v>87.885301465177989</v>
      </c>
      <c r="I39" s="12">
        <f t="shared" si="2"/>
        <v>85.885301465177989</v>
      </c>
      <c r="J39" s="12">
        <f t="shared" si="11"/>
        <v>0.25037363668195045</v>
      </c>
      <c r="K39" s="12">
        <f t="shared" si="12"/>
        <v>11.002081269363082</v>
      </c>
      <c r="L39" s="12">
        <f t="shared" si="3"/>
        <v>10.751707632681132</v>
      </c>
      <c r="M39" s="18"/>
    </row>
    <row r="40" spans="1:13" x14ac:dyDescent="0.3">
      <c r="A40" s="19">
        <f t="shared" si="13"/>
        <v>29</v>
      </c>
      <c r="B40" s="12">
        <f t="shared" si="13"/>
        <v>2043</v>
      </c>
      <c r="C40" s="12">
        <f t="shared" si="8"/>
        <v>2</v>
      </c>
      <c r="D40" s="12">
        <f t="shared" si="9"/>
        <v>64.859216119313047</v>
      </c>
      <c r="E40" s="46">
        <f t="shared" si="5"/>
        <v>61.616255313347388</v>
      </c>
      <c r="F40" s="12">
        <f t="shared" si="10"/>
        <v>30.35963307712526</v>
      </c>
      <c r="G40" s="46">
        <f t="shared" si="0"/>
        <v>27.323669769412735</v>
      </c>
      <c r="H40" s="46">
        <f t="shared" si="1"/>
        <v>88.939925082760126</v>
      </c>
      <c r="I40" s="12">
        <f t="shared" si="2"/>
        <v>86.939925082760126</v>
      </c>
      <c r="J40" s="12">
        <f t="shared" si="11"/>
        <v>0.23182744137217634</v>
      </c>
      <c r="K40" s="12">
        <f t="shared" si="12"/>
        <v>10.309357633884664</v>
      </c>
      <c r="L40" s="12">
        <f t="shared" si="3"/>
        <v>10.077530192512487</v>
      </c>
      <c r="M40" s="18"/>
    </row>
    <row r="41" spans="1:13" x14ac:dyDescent="0.3">
      <c r="A41" s="19">
        <f t="shared" si="13"/>
        <v>30</v>
      </c>
      <c r="B41" s="12">
        <f t="shared" si="13"/>
        <v>2044</v>
      </c>
      <c r="C41" s="12">
        <f t="shared" si="8"/>
        <v>2</v>
      </c>
      <c r="D41" s="12">
        <f t="shared" si="9"/>
        <v>65.637526712744801</v>
      </c>
      <c r="E41" s="46">
        <f t="shared" si="5"/>
        <v>62.355650377107558</v>
      </c>
      <c r="F41" s="12">
        <f t="shared" si="10"/>
        <v>30.723948674050764</v>
      </c>
      <c r="G41" s="46">
        <f t="shared" si="0"/>
        <v>27.651553806645687</v>
      </c>
      <c r="H41" s="46">
        <f t="shared" si="1"/>
        <v>90.007204183753245</v>
      </c>
      <c r="I41" s="12">
        <f t="shared" si="2"/>
        <v>88.007204183753245</v>
      </c>
      <c r="J41" s="12">
        <f t="shared" si="11"/>
        <v>0.21465503830757068</v>
      </c>
      <c r="K41" s="12">
        <f t="shared" si="12"/>
        <v>9.6602499310104442</v>
      </c>
      <c r="L41" s="12">
        <f t="shared" si="3"/>
        <v>9.4455948927028732</v>
      </c>
      <c r="M41" s="18"/>
    </row>
    <row r="42" spans="1:13" x14ac:dyDescent="0.3">
      <c r="A42" s="19">
        <f t="shared" si="13"/>
        <v>31</v>
      </c>
      <c r="B42" s="12">
        <f t="shared" si="13"/>
        <v>2045</v>
      </c>
      <c r="C42" s="12">
        <f>C41</f>
        <v>2</v>
      </c>
      <c r="D42" s="12">
        <f t="shared" si="9"/>
        <v>66.425177033297743</v>
      </c>
      <c r="E42" s="46">
        <f t="shared" si="5"/>
        <v>63.103918181632849</v>
      </c>
      <c r="F42" s="12">
        <f t="shared" si="10"/>
        <v>31.092636058139373</v>
      </c>
      <c r="G42" s="46">
        <f t="shared" si="0"/>
        <v>27.983372452325437</v>
      </c>
      <c r="H42" s="46">
        <f t="shared" si="1"/>
        <v>91.08729063395829</v>
      </c>
      <c r="I42" s="12">
        <f t="shared" si="2"/>
        <v>89.08729063395829</v>
      </c>
      <c r="J42" s="12">
        <f t="shared" si="11"/>
        <v>0.19875466509960246</v>
      </c>
      <c r="K42" s="12">
        <f t="shared" si="12"/>
        <v>9.0520119723912682</v>
      </c>
      <c r="L42" s="12">
        <f t="shared" si="3"/>
        <v>8.8532573072916652</v>
      </c>
      <c r="M42" s="18"/>
    </row>
    <row r="43" spans="1:13" x14ac:dyDescent="0.3">
      <c r="A43" s="12"/>
      <c r="B43" s="19" t="s">
        <v>19</v>
      </c>
      <c r="C43" s="19">
        <f t="shared" ref="C43:L43" si="14">SUM(C12:C42)</f>
        <v>760</v>
      </c>
      <c r="D43" s="19">
        <f>SUM(D12:D42)</f>
        <v>1685.1899298081078</v>
      </c>
      <c r="E43" s="47">
        <f>SUM(E12:E42)</f>
        <v>1600.9304333177022</v>
      </c>
      <c r="F43" s="47">
        <f t="shared" ref="F43:G43" si="15">SUM(F12:F42)</f>
        <v>788.81230756975276</v>
      </c>
      <c r="G43" s="47">
        <f t="shared" si="15"/>
        <v>709.93107681277741</v>
      </c>
      <c r="H43" s="47">
        <f>SUM(H12:H42)</f>
        <v>2310.8615101304799</v>
      </c>
      <c r="I43" s="19">
        <f t="shared" si="14"/>
        <v>1550.8615101304795</v>
      </c>
      <c r="J43" s="19">
        <f t="shared" si="14"/>
        <v>720.60876832301892</v>
      </c>
      <c r="K43" s="19">
        <f t="shared" si="14"/>
        <v>730.58405119583711</v>
      </c>
      <c r="L43" s="20">
        <f t="shared" si="14"/>
        <v>9.9752828728182195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1.0138428552514458</v>
      </c>
      <c r="M44" s="40" t="s">
        <v>9</v>
      </c>
    </row>
    <row r="45" spans="1:13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1.2705231771952263E-3</v>
      </c>
      <c r="M45" s="40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69.599999999999994" x14ac:dyDescent="0.3">
      <c r="A66" s="34" t="s">
        <v>67</v>
      </c>
      <c r="B66" s="10">
        <v>1.2E-2</v>
      </c>
      <c r="C66" s="30" t="s">
        <v>69</v>
      </c>
      <c r="D66" s="37" t="s">
        <v>59</v>
      </c>
      <c r="E66" s="25">
        <f>L107</f>
        <v>-101.24242145013849</v>
      </c>
      <c r="F66" s="24" t="s">
        <v>7</v>
      </c>
    </row>
    <row r="67" spans="1:12" ht="46.8" x14ac:dyDescent="0.3">
      <c r="A67" s="34" t="s">
        <v>8</v>
      </c>
      <c r="B67" s="23" t="s">
        <v>33</v>
      </c>
      <c r="D67" s="37" t="s">
        <v>9</v>
      </c>
      <c r="E67" s="51">
        <f>L108</f>
        <v>0.85884903425246073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53</v>
      </c>
      <c r="E68" s="26">
        <f>L109</f>
        <v>-1.4936867523905883E-2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700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-700</v>
      </c>
      <c r="J76" s="12">
        <v>700</v>
      </c>
      <c r="K76" s="12">
        <v>0</v>
      </c>
      <c r="L76" s="12">
        <f t="shared" ref="L76:L106" si="16">K76-J76</f>
        <v>-700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7">F77*0.9</f>
        <v>19.8</v>
      </c>
      <c r="H77" s="46">
        <f t="shared" ref="H77:H106" si="18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si="16"/>
        <v>55.758928571428569</v>
      </c>
    </row>
    <row r="78" spans="1:12" x14ac:dyDescent="0.3">
      <c r="A78" s="19">
        <f t="shared" ref="A78:B93" si="19">A77+1</f>
        <v>3</v>
      </c>
      <c r="B78" s="12">
        <f t="shared" si="19"/>
        <v>2017</v>
      </c>
      <c r="C78" s="12">
        <f>C77</f>
        <v>2</v>
      </c>
      <c r="D78" s="12">
        <f>D77*(1+$B$66)</f>
        <v>47.564</v>
      </c>
      <c r="E78" s="46">
        <f t="shared" ref="E78:E106" si="20">D78*0.95</f>
        <v>45.1858</v>
      </c>
      <c r="F78" s="12">
        <f>F77*(1+$B$66)</f>
        <v>22.263999999999999</v>
      </c>
      <c r="G78" s="46">
        <f t="shared" si="17"/>
        <v>20.037600000000001</v>
      </c>
      <c r="H78" s="46">
        <f t="shared" si="18"/>
        <v>65.223399999999998</v>
      </c>
      <c r="I78" s="12">
        <f t="shared" ref="I78:I106" si="21">H78-C78</f>
        <v>63.223399999999998</v>
      </c>
      <c r="J78" s="12">
        <f t="shared" ref="J78:J90" si="22">(C78)/((1+0.12)^($A78-1))</f>
        <v>1.5943877551020407</v>
      </c>
      <c r="K78" s="12">
        <f t="shared" ref="K78:K91" si="23">(H78)/((1+0.12)^($A78-1))</f>
        <v>51.995695153061213</v>
      </c>
      <c r="L78" s="12">
        <f t="shared" si="16"/>
        <v>50.401307397959172</v>
      </c>
    </row>
    <row r="79" spans="1:12" x14ac:dyDescent="0.3">
      <c r="A79" s="19">
        <f t="shared" si="19"/>
        <v>4</v>
      </c>
      <c r="B79" s="12">
        <f t="shared" si="19"/>
        <v>2018</v>
      </c>
      <c r="C79" s="12">
        <f t="shared" ref="C79:C105" si="24">C78</f>
        <v>2</v>
      </c>
      <c r="D79" s="12">
        <f t="shared" ref="D79:D106" si="25">D78*(1+$B$66)</f>
        <v>48.134768000000001</v>
      </c>
      <c r="E79" s="46">
        <f t="shared" si="20"/>
        <v>45.728029599999999</v>
      </c>
      <c r="F79" s="12">
        <f t="shared" ref="F79:F106" si="26">F78*(1+$B$66)</f>
        <v>22.531168000000001</v>
      </c>
      <c r="G79" s="46">
        <f t="shared" si="17"/>
        <v>20.2780512</v>
      </c>
      <c r="H79" s="46">
        <f t="shared" si="18"/>
        <v>66.006080800000007</v>
      </c>
      <c r="I79" s="12">
        <f t="shared" si="21"/>
        <v>64.006080800000007</v>
      </c>
      <c r="J79" s="12">
        <f t="shared" si="22"/>
        <v>1.4235604956268217</v>
      </c>
      <c r="K79" s="12">
        <f t="shared" si="23"/>
        <v>46.981824549016025</v>
      </c>
      <c r="L79" s="12">
        <f t="shared" si="16"/>
        <v>45.558264053389202</v>
      </c>
    </row>
    <row r="80" spans="1:12" x14ac:dyDescent="0.3">
      <c r="A80" s="19">
        <f t="shared" si="19"/>
        <v>5</v>
      </c>
      <c r="B80" s="12">
        <f t="shared" si="19"/>
        <v>2019</v>
      </c>
      <c r="C80" s="12">
        <f t="shared" si="24"/>
        <v>2</v>
      </c>
      <c r="D80" s="12">
        <f t="shared" si="25"/>
        <v>48.712385216000001</v>
      </c>
      <c r="E80" s="46">
        <f t="shared" si="20"/>
        <v>46.276765955199998</v>
      </c>
      <c r="F80" s="12">
        <f t="shared" si="26"/>
        <v>22.801542016000003</v>
      </c>
      <c r="G80" s="46">
        <f t="shared" si="17"/>
        <v>20.521387814400004</v>
      </c>
      <c r="H80" s="46">
        <f t="shared" si="18"/>
        <v>66.798153769600006</v>
      </c>
      <c r="I80" s="12">
        <f t="shared" si="21"/>
        <v>64.798153769600006</v>
      </c>
      <c r="J80" s="12">
        <f t="shared" si="22"/>
        <v>1.2710361568096624</v>
      </c>
      <c r="K80" s="12">
        <f t="shared" si="23"/>
        <v>42.451434324646627</v>
      </c>
      <c r="L80" s="12">
        <f t="shared" si="16"/>
        <v>41.180398167836962</v>
      </c>
    </row>
    <row r="81" spans="1:12" x14ac:dyDescent="0.3">
      <c r="A81" s="19">
        <f t="shared" si="19"/>
        <v>6</v>
      </c>
      <c r="B81" s="12">
        <f t="shared" si="19"/>
        <v>2020</v>
      </c>
      <c r="C81" s="12">
        <f t="shared" si="24"/>
        <v>2</v>
      </c>
      <c r="D81" s="12">
        <f t="shared" si="25"/>
        <v>49.296933838592004</v>
      </c>
      <c r="E81" s="46">
        <f t="shared" si="20"/>
        <v>46.832087146662403</v>
      </c>
      <c r="F81" s="12">
        <f t="shared" si="26"/>
        <v>23.075160520192004</v>
      </c>
      <c r="G81" s="46">
        <f t="shared" si="17"/>
        <v>20.767644468172804</v>
      </c>
      <c r="H81" s="46">
        <f t="shared" si="18"/>
        <v>67.599731614835207</v>
      </c>
      <c r="I81" s="12">
        <f t="shared" si="21"/>
        <v>65.599731614835207</v>
      </c>
      <c r="J81" s="12">
        <f t="shared" si="22"/>
        <v>1.1348537114371984</v>
      </c>
      <c r="K81" s="12">
        <f t="shared" si="23"/>
        <v>38.357903157627128</v>
      </c>
      <c r="L81" s="12">
        <f t="shared" si="16"/>
        <v>37.223049446189933</v>
      </c>
    </row>
    <row r="82" spans="1:12" x14ac:dyDescent="0.3">
      <c r="A82" s="19">
        <f t="shared" si="19"/>
        <v>7</v>
      </c>
      <c r="B82" s="12">
        <f t="shared" si="19"/>
        <v>2021</v>
      </c>
      <c r="C82" s="12">
        <f t="shared" si="24"/>
        <v>2</v>
      </c>
      <c r="D82" s="12">
        <f t="shared" si="25"/>
        <v>49.888497044655111</v>
      </c>
      <c r="E82" s="46">
        <f t="shared" si="20"/>
        <v>47.39407219242235</v>
      </c>
      <c r="F82" s="12">
        <f t="shared" si="26"/>
        <v>23.352062446434307</v>
      </c>
      <c r="G82" s="46">
        <f t="shared" si="17"/>
        <v>21.016856201790876</v>
      </c>
      <c r="H82" s="46">
        <f t="shared" si="18"/>
        <v>68.410928394213229</v>
      </c>
      <c r="I82" s="12">
        <f t="shared" si="21"/>
        <v>66.410928394213229</v>
      </c>
      <c r="J82" s="12">
        <f t="shared" si="22"/>
        <v>1.0132622423546414</v>
      </c>
      <c r="K82" s="12">
        <f t="shared" si="23"/>
        <v>34.659105353141648</v>
      </c>
      <c r="L82" s="12">
        <f t="shared" si="16"/>
        <v>33.645843110787006</v>
      </c>
    </row>
    <row r="83" spans="1:12" x14ac:dyDescent="0.3">
      <c r="A83" s="19">
        <f t="shared" si="19"/>
        <v>8</v>
      </c>
      <c r="B83" s="12">
        <f t="shared" si="19"/>
        <v>2022</v>
      </c>
      <c r="C83" s="12">
        <f t="shared" si="24"/>
        <v>2</v>
      </c>
      <c r="D83" s="12">
        <f t="shared" si="25"/>
        <v>50.487159009190975</v>
      </c>
      <c r="E83" s="46">
        <f t="shared" si="20"/>
        <v>47.962801058731422</v>
      </c>
      <c r="F83" s="12">
        <f t="shared" si="26"/>
        <v>23.63228719579152</v>
      </c>
      <c r="G83" s="46">
        <f t="shared" si="17"/>
        <v>21.269058476212368</v>
      </c>
      <c r="H83" s="46">
        <f t="shared" si="18"/>
        <v>69.231859534943794</v>
      </c>
      <c r="I83" s="12">
        <f t="shared" si="21"/>
        <v>67.231859534943794</v>
      </c>
      <c r="J83" s="12">
        <f t="shared" si="22"/>
        <v>0.90469843067378686</v>
      </c>
      <c r="K83" s="12">
        <f t="shared" si="23"/>
        <v>31.31697733694585</v>
      </c>
      <c r="L83" s="12">
        <f t="shared" si="16"/>
        <v>30.412278906272064</v>
      </c>
    </row>
    <row r="84" spans="1:12" x14ac:dyDescent="0.3">
      <c r="A84" s="19">
        <f t="shared" si="19"/>
        <v>9</v>
      </c>
      <c r="B84" s="12">
        <f t="shared" si="19"/>
        <v>2023</v>
      </c>
      <c r="C84" s="12">
        <f t="shared" si="24"/>
        <v>2</v>
      </c>
      <c r="D84" s="12">
        <f t="shared" si="25"/>
        <v>51.093004917301265</v>
      </c>
      <c r="E84" s="46">
        <f t="shared" si="20"/>
        <v>48.538354671436203</v>
      </c>
      <c r="F84" s="12">
        <f t="shared" si="26"/>
        <v>23.915874642141016</v>
      </c>
      <c r="G84" s="46">
        <f t="shared" si="17"/>
        <v>21.524287177926915</v>
      </c>
      <c r="H84" s="46">
        <f t="shared" si="18"/>
        <v>70.062641849363118</v>
      </c>
      <c r="I84" s="12">
        <f t="shared" si="21"/>
        <v>68.062641849363118</v>
      </c>
      <c r="J84" s="12">
        <f t="shared" si="22"/>
        <v>0.80776645595873819</v>
      </c>
      <c r="K84" s="12">
        <f t="shared" si="23"/>
        <v>28.297125950883213</v>
      </c>
      <c r="L84" s="12">
        <f t="shared" si="16"/>
        <v>27.489359494924475</v>
      </c>
    </row>
    <row r="85" spans="1:12" x14ac:dyDescent="0.3">
      <c r="A85" s="19">
        <f t="shared" si="19"/>
        <v>10</v>
      </c>
      <c r="B85" s="12">
        <f t="shared" si="19"/>
        <v>2024</v>
      </c>
      <c r="C85" s="12">
        <f t="shared" si="24"/>
        <v>2</v>
      </c>
      <c r="D85" s="12">
        <f t="shared" si="25"/>
        <v>51.706120976308881</v>
      </c>
      <c r="E85" s="46">
        <f t="shared" si="20"/>
        <v>49.120814927493434</v>
      </c>
      <c r="F85" s="12">
        <f t="shared" si="26"/>
        <v>24.202865137846707</v>
      </c>
      <c r="G85" s="46">
        <f t="shared" si="17"/>
        <v>21.782578624062037</v>
      </c>
      <c r="H85" s="46">
        <f t="shared" si="18"/>
        <v>70.903393551555467</v>
      </c>
      <c r="I85" s="12">
        <f t="shared" si="21"/>
        <v>68.903393551555467</v>
      </c>
      <c r="J85" s="12">
        <f t="shared" si="22"/>
        <v>0.72122004996315914</v>
      </c>
      <c r="K85" s="12">
        <f t="shared" si="23"/>
        <v>25.568474519905184</v>
      </c>
      <c r="L85" s="12">
        <f t="shared" si="16"/>
        <v>24.847254469942026</v>
      </c>
    </row>
    <row r="86" spans="1:12" x14ac:dyDescent="0.3">
      <c r="A86" s="19">
        <f t="shared" si="19"/>
        <v>11</v>
      </c>
      <c r="B86" s="12">
        <f t="shared" si="19"/>
        <v>2025</v>
      </c>
      <c r="C86" s="12">
        <f t="shared" si="24"/>
        <v>2</v>
      </c>
      <c r="D86" s="12">
        <f t="shared" si="25"/>
        <v>52.326594428024592</v>
      </c>
      <c r="E86" s="46">
        <f t="shared" si="20"/>
        <v>49.710264706623363</v>
      </c>
      <c r="F86" s="12">
        <f t="shared" si="26"/>
        <v>24.493299519500869</v>
      </c>
      <c r="G86" s="46">
        <f t="shared" si="17"/>
        <v>22.043969567550782</v>
      </c>
      <c r="H86" s="46">
        <f t="shared" si="18"/>
        <v>71.754234274174138</v>
      </c>
      <c r="I86" s="12">
        <f t="shared" si="21"/>
        <v>69.754234274174138</v>
      </c>
      <c r="J86" s="12">
        <f t="shared" si="22"/>
        <v>0.64394647318139198</v>
      </c>
      <c r="K86" s="12">
        <f t="shared" si="23"/>
        <v>23.102943048342897</v>
      </c>
      <c r="L86" s="12">
        <f t="shared" si="16"/>
        <v>22.458996575161507</v>
      </c>
    </row>
    <row r="87" spans="1:12" x14ac:dyDescent="0.3">
      <c r="A87" s="19">
        <f t="shared" si="19"/>
        <v>12</v>
      </c>
      <c r="B87" s="12">
        <f t="shared" si="19"/>
        <v>2026</v>
      </c>
      <c r="C87" s="12">
        <f t="shared" si="24"/>
        <v>2</v>
      </c>
      <c r="D87" s="12">
        <f t="shared" si="25"/>
        <v>52.954513561160887</v>
      </c>
      <c r="E87" s="46">
        <f t="shared" si="20"/>
        <v>50.306787883102842</v>
      </c>
      <c r="F87" s="12">
        <f t="shared" si="26"/>
        <v>24.787219113734881</v>
      </c>
      <c r="G87" s="46">
        <f t="shared" si="17"/>
        <v>22.308497202361394</v>
      </c>
      <c r="H87" s="46">
        <f t="shared" si="18"/>
        <v>72.615285085464237</v>
      </c>
      <c r="I87" s="12">
        <f t="shared" si="21"/>
        <v>70.615285085464237</v>
      </c>
      <c r="J87" s="12">
        <f t="shared" si="22"/>
        <v>0.57495220819767134</v>
      </c>
      <c r="K87" s="12">
        <f t="shared" si="23"/>
        <v>20.875159254395545</v>
      </c>
      <c r="L87" s="12">
        <f>K87-J87</f>
        <v>20.300207046197873</v>
      </c>
    </row>
    <row r="88" spans="1:12" x14ac:dyDescent="0.3">
      <c r="A88" s="19">
        <f t="shared" si="19"/>
        <v>13</v>
      </c>
      <c r="B88" s="12">
        <f t="shared" si="19"/>
        <v>2027</v>
      </c>
      <c r="C88" s="12">
        <f t="shared" si="24"/>
        <v>2</v>
      </c>
      <c r="D88" s="12">
        <f t="shared" si="25"/>
        <v>53.589967723894816</v>
      </c>
      <c r="E88" s="46">
        <f t="shared" si="20"/>
        <v>50.910469337700071</v>
      </c>
      <c r="F88" s="12">
        <f t="shared" si="26"/>
        <v>25.084665743099702</v>
      </c>
      <c r="G88" s="46">
        <f t="shared" si="17"/>
        <v>22.576199168789731</v>
      </c>
      <c r="H88" s="46">
        <f t="shared" si="18"/>
        <v>73.486668506489806</v>
      </c>
      <c r="I88" s="12">
        <f t="shared" si="21"/>
        <v>71.486668506489806</v>
      </c>
      <c r="J88" s="12">
        <f t="shared" si="22"/>
        <v>0.51335018589077808</v>
      </c>
      <c r="K88" s="12">
        <f t="shared" si="23"/>
        <v>18.862197469150264</v>
      </c>
      <c r="L88" s="12">
        <f t="shared" si="16"/>
        <v>18.348847283259484</v>
      </c>
    </row>
    <row r="89" spans="1:12" x14ac:dyDescent="0.3">
      <c r="A89" s="19">
        <f t="shared" si="19"/>
        <v>14</v>
      </c>
      <c r="B89" s="12">
        <f t="shared" si="19"/>
        <v>2028</v>
      </c>
      <c r="C89" s="12">
        <f t="shared" si="24"/>
        <v>2</v>
      </c>
      <c r="D89" s="12">
        <f t="shared" si="25"/>
        <v>54.233047336581556</v>
      </c>
      <c r="E89" s="46">
        <f t="shared" si="20"/>
        <v>51.521394969752478</v>
      </c>
      <c r="F89" s="12">
        <f t="shared" si="26"/>
        <v>25.385681732016899</v>
      </c>
      <c r="G89" s="46">
        <f t="shared" si="17"/>
        <v>22.847113558815209</v>
      </c>
      <c r="H89" s="46">
        <f t="shared" si="18"/>
        <v>74.368508528567688</v>
      </c>
      <c r="I89" s="12">
        <f t="shared" si="21"/>
        <v>72.368508528567688</v>
      </c>
      <c r="J89" s="12">
        <f t="shared" si="22"/>
        <v>0.45834838025962316</v>
      </c>
      <c r="K89" s="12">
        <f t="shared" si="23"/>
        <v>17.043342713196484</v>
      </c>
      <c r="L89" s="12">
        <f t="shared" si="16"/>
        <v>16.584994332936862</v>
      </c>
    </row>
    <row r="90" spans="1:12" x14ac:dyDescent="0.3">
      <c r="A90" s="19">
        <f t="shared" si="19"/>
        <v>15</v>
      </c>
      <c r="B90" s="12">
        <f t="shared" si="19"/>
        <v>2029</v>
      </c>
      <c r="C90" s="12">
        <f t="shared" si="24"/>
        <v>2</v>
      </c>
      <c r="D90" s="12">
        <f t="shared" si="25"/>
        <v>54.883843904620534</v>
      </c>
      <c r="E90" s="46">
        <f t="shared" si="20"/>
        <v>52.139651709389504</v>
      </c>
      <c r="F90" s="12">
        <f t="shared" si="26"/>
        <v>25.690309912801101</v>
      </c>
      <c r="G90" s="46">
        <f t="shared" si="17"/>
        <v>23.121278921520993</v>
      </c>
      <c r="H90" s="46">
        <f t="shared" si="18"/>
        <v>75.260930630910494</v>
      </c>
      <c r="I90" s="12">
        <f t="shared" si="21"/>
        <v>73.260930630910494</v>
      </c>
      <c r="J90" s="12">
        <f t="shared" si="22"/>
        <v>0.40923962523180635</v>
      </c>
      <c r="K90" s="12">
        <f t="shared" si="23"/>
        <v>15.399877522995393</v>
      </c>
      <c r="L90" s="12">
        <f t="shared" si="16"/>
        <v>14.990637897763586</v>
      </c>
    </row>
    <row r="91" spans="1:12" x14ac:dyDescent="0.3">
      <c r="A91" s="19">
        <f t="shared" si="19"/>
        <v>16</v>
      </c>
      <c r="B91" s="12">
        <f t="shared" si="19"/>
        <v>2030</v>
      </c>
      <c r="C91" s="12">
        <f t="shared" si="24"/>
        <v>2</v>
      </c>
      <c r="D91" s="12">
        <f t="shared" si="25"/>
        <v>55.54245003147598</v>
      </c>
      <c r="E91" s="46">
        <f t="shared" si="20"/>
        <v>52.76532752990218</v>
      </c>
      <c r="F91" s="12">
        <f t="shared" si="26"/>
        <v>25.998593631754716</v>
      </c>
      <c r="G91" s="46">
        <f t="shared" si="17"/>
        <v>23.398734268579243</v>
      </c>
      <c r="H91" s="46">
        <f t="shared" si="18"/>
        <v>76.164061798481427</v>
      </c>
      <c r="I91" s="12">
        <f t="shared" si="21"/>
        <v>74.164061798481427</v>
      </c>
      <c r="J91" s="12">
        <f>(C91)/((1+0.12)^($A91-1))</f>
        <v>0.36539252252839854</v>
      </c>
      <c r="K91" s="12">
        <f t="shared" si="23"/>
        <v>13.914889333277982</v>
      </c>
      <c r="L91" s="12">
        <f t="shared" si="16"/>
        <v>13.549496810749583</v>
      </c>
    </row>
    <row r="92" spans="1:12" x14ac:dyDescent="0.3">
      <c r="A92" s="19">
        <f t="shared" si="19"/>
        <v>17</v>
      </c>
      <c r="B92" s="12">
        <f t="shared" si="19"/>
        <v>2031</v>
      </c>
      <c r="C92" s="12">
        <f t="shared" si="24"/>
        <v>2</v>
      </c>
      <c r="D92" s="12">
        <f t="shared" si="25"/>
        <v>56.208959431853692</v>
      </c>
      <c r="E92" s="46">
        <f t="shared" si="20"/>
        <v>53.398511460261005</v>
      </c>
      <c r="F92" s="12">
        <f t="shared" si="26"/>
        <v>26.310576755335774</v>
      </c>
      <c r="G92" s="46">
        <f t="shared" si="17"/>
        <v>23.679519079802198</v>
      </c>
      <c r="H92" s="46">
        <f t="shared" si="18"/>
        <v>77.078030540063196</v>
      </c>
      <c r="I92" s="12">
        <f t="shared" si="21"/>
        <v>75.078030540063196</v>
      </c>
      <c r="J92" s="12">
        <f t="shared" ref="J92:J106" si="27">(C92)/((1+0.1)^($A92-1))</f>
        <v>0.43525827158029706</v>
      </c>
      <c r="K92" s="12">
        <f t="shared" ref="K92:K106" si="28">(H92)/((1+0.1)^($A92-1))</f>
        <v>16.77442517484063</v>
      </c>
      <c r="L92" s="12">
        <f t="shared" si="16"/>
        <v>16.339166903260335</v>
      </c>
    </row>
    <row r="93" spans="1:12" x14ac:dyDescent="0.3">
      <c r="A93" s="19">
        <f t="shared" si="19"/>
        <v>18</v>
      </c>
      <c r="B93" s="12">
        <f t="shared" si="19"/>
        <v>2032</v>
      </c>
      <c r="C93" s="12">
        <f t="shared" si="24"/>
        <v>2</v>
      </c>
      <c r="D93" s="12">
        <f t="shared" si="25"/>
        <v>56.883466945035934</v>
      </c>
      <c r="E93" s="46">
        <f t="shared" si="20"/>
        <v>54.039293597784138</v>
      </c>
      <c r="F93" s="12">
        <f t="shared" si="26"/>
        <v>26.626303676399804</v>
      </c>
      <c r="G93" s="46">
        <f t="shared" si="17"/>
        <v>23.963673308759823</v>
      </c>
      <c r="H93" s="46">
        <f t="shared" si="18"/>
        <v>78.002966906543961</v>
      </c>
      <c r="I93" s="12">
        <f t="shared" si="21"/>
        <v>76.002966906543961</v>
      </c>
      <c r="J93" s="12">
        <f t="shared" si="27"/>
        <v>0.39568933780027005</v>
      </c>
      <c r="K93" s="12">
        <f t="shared" si="28"/>
        <v>15.43247116085338</v>
      </c>
      <c r="L93" s="12">
        <f t="shared" si="16"/>
        <v>15.03678182305311</v>
      </c>
    </row>
    <row r="94" spans="1:12" x14ac:dyDescent="0.3">
      <c r="A94" s="19">
        <f t="shared" ref="A94:B106" si="29">A93+1</f>
        <v>19</v>
      </c>
      <c r="B94" s="12">
        <f t="shared" si="29"/>
        <v>2033</v>
      </c>
      <c r="C94" s="12">
        <f t="shared" si="24"/>
        <v>2</v>
      </c>
      <c r="D94" s="12">
        <f t="shared" si="25"/>
        <v>57.566068548376364</v>
      </c>
      <c r="E94" s="46">
        <f t="shared" si="20"/>
        <v>54.687765120957543</v>
      </c>
      <c r="F94" s="12">
        <f t="shared" si="26"/>
        <v>26.945819320516602</v>
      </c>
      <c r="G94" s="46">
        <f t="shared" si="17"/>
        <v>24.251237388464943</v>
      </c>
      <c r="H94" s="46">
        <f t="shared" si="18"/>
        <v>78.939002509422494</v>
      </c>
      <c r="I94" s="12">
        <f t="shared" si="21"/>
        <v>76.939002509422494</v>
      </c>
      <c r="J94" s="12">
        <f t="shared" si="27"/>
        <v>0.35971757981842728</v>
      </c>
      <c r="K94" s="12">
        <f t="shared" si="28"/>
        <v>14.19787346798511</v>
      </c>
      <c r="L94" s="12">
        <f t="shared" si="16"/>
        <v>13.838155888166682</v>
      </c>
    </row>
    <row r="95" spans="1:12" x14ac:dyDescent="0.3">
      <c r="A95" s="19">
        <f t="shared" si="29"/>
        <v>20</v>
      </c>
      <c r="B95" s="12">
        <f t="shared" si="29"/>
        <v>2034</v>
      </c>
      <c r="C95" s="12">
        <f t="shared" si="24"/>
        <v>2</v>
      </c>
      <c r="D95" s="12">
        <f t="shared" si="25"/>
        <v>58.256861370956884</v>
      </c>
      <c r="E95" s="46">
        <f t="shared" si="20"/>
        <v>55.34401830240904</v>
      </c>
      <c r="F95" s="12">
        <f t="shared" si="26"/>
        <v>27.269169152362803</v>
      </c>
      <c r="G95" s="46">
        <f t="shared" si="17"/>
        <v>24.542252237126522</v>
      </c>
      <c r="H95" s="46">
        <f t="shared" si="18"/>
        <v>79.886270539535559</v>
      </c>
      <c r="I95" s="12">
        <f t="shared" si="21"/>
        <v>77.886270539535559</v>
      </c>
      <c r="J95" s="12">
        <f t="shared" si="27"/>
        <v>0.32701598165311563</v>
      </c>
      <c r="K95" s="12">
        <f t="shared" si="28"/>
        <v>13.062043590546297</v>
      </c>
      <c r="L95" s="12">
        <f t="shared" si="16"/>
        <v>12.735027608893182</v>
      </c>
    </row>
    <row r="96" spans="1:12" x14ac:dyDescent="0.3">
      <c r="A96" s="19">
        <f t="shared" si="29"/>
        <v>21</v>
      </c>
      <c r="B96" s="12">
        <f t="shared" si="29"/>
        <v>2035</v>
      </c>
      <c r="C96" s="12">
        <f t="shared" si="24"/>
        <v>2</v>
      </c>
      <c r="D96" s="12">
        <f t="shared" si="25"/>
        <v>58.955943707408366</v>
      </c>
      <c r="E96" s="46">
        <f t="shared" si="20"/>
        <v>56.008146522037947</v>
      </c>
      <c r="F96" s="12">
        <f t="shared" si="26"/>
        <v>27.596399182191156</v>
      </c>
      <c r="G96" s="46">
        <f t="shared" si="17"/>
        <v>24.836759263972041</v>
      </c>
      <c r="H96" s="46">
        <f t="shared" si="18"/>
        <v>80.844905786009988</v>
      </c>
      <c r="I96" s="12">
        <f t="shared" si="21"/>
        <v>78.844905786009988</v>
      </c>
      <c r="J96" s="12">
        <f t="shared" si="27"/>
        <v>0.29728725604828699</v>
      </c>
      <c r="K96" s="12">
        <f t="shared" si="28"/>
        <v>12.017080103302595</v>
      </c>
      <c r="L96" s="12">
        <f t="shared" si="16"/>
        <v>11.719792847254308</v>
      </c>
    </row>
    <row r="97" spans="1:13" x14ac:dyDescent="0.3">
      <c r="A97" s="19">
        <f t="shared" si="29"/>
        <v>22</v>
      </c>
      <c r="B97" s="12">
        <f t="shared" si="29"/>
        <v>2036</v>
      </c>
      <c r="C97" s="12">
        <f t="shared" si="24"/>
        <v>2</v>
      </c>
      <c r="D97" s="12">
        <f t="shared" si="25"/>
        <v>59.663415031897266</v>
      </c>
      <c r="E97" s="46">
        <f t="shared" si="20"/>
        <v>56.680244280302396</v>
      </c>
      <c r="F97" s="12">
        <f t="shared" si="26"/>
        <v>27.927555972377451</v>
      </c>
      <c r="G97" s="46">
        <f t="shared" si="17"/>
        <v>25.134800375139708</v>
      </c>
      <c r="H97" s="46">
        <f t="shared" si="18"/>
        <v>81.815044655442108</v>
      </c>
      <c r="I97" s="12">
        <f t="shared" si="21"/>
        <v>79.815044655442108</v>
      </c>
      <c r="J97" s="12">
        <f t="shared" si="27"/>
        <v>0.27026114186207906</v>
      </c>
      <c r="K97" s="12">
        <f t="shared" si="28"/>
        <v>11.055713695038385</v>
      </c>
      <c r="L97" s="12">
        <f t="shared" si="16"/>
        <v>10.785452553176306</v>
      </c>
    </row>
    <row r="98" spans="1:13" x14ac:dyDescent="0.3">
      <c r="A98" s="19">
        <f t="shared" si="29"/>
        <v>23</v>
      </c>
      <c r="B98" s="12">
        <f t="shared" si="29"/>
        <v>2037</v>
      </c>
      <c r="C98" s="12">
        <f t="shared" si="24"/>
        <v>2</v>
      </c>
      <c r="D98" s="12">
        <f t="shared" si="25"/>
        <v>60.379376012280034</v>
      </c>
      <c r="E98" s="46">
        <f t="shared" si="20"/>
        <v>57.360407211666029</v>
      </c>
      <c r="F98" s="12">
        <f t="shared" si="26"/>
        <v>28.262686644045981</v>
      </c>
      <c r="G98" s="46">
        <f t="shared" si="17"/>
        <v>25.436417979641384</v>
      </c>
      <c r="H98" s="46">
        <f t="shared" si="18"/>
        <v>82.79682519130742</v>
      </c>
      <c r="I98" s="12">
        <f t="shared" si="21"/>
        <v>80.79682519130742</v>
      </c>
      <c r="J98" s="12">
        <f t="shared" si="27"/>
        <v>0.24569194714734455</v>
      </c>
      <c r="K98" s="12">
        <f t="shared" si="28"/>
        <v>10.171256599435313</v>
      </c>
      <c r="L98" s="12">
        <f t="shared" si="16"/>
        <v>9.925564652287969</v>
      </c>
    </row>
    <row r="99" spans="1:13" x14ac:dyDescent="0.3">
      <c r="A99" s="19">
        <f t="shared" si="29"/>
        <v>24</v>
      </c>
      <c r="B99" s="12">
        <f t="shared" si="29"/>
        <v>2038</v>
      </c>
      <c r="C99" s="12">
        <f t="shared" si="24"/>
        <v>2</v>
      </c>
      <c r="D99" s="12">
        <f t="shared" si="25"/>
        <v>61.103928524427396</v>
      </c>
      <c r="E99" s="46">
        <f t="shared" si="20"/>
        <v>58.048732098206024</v>
      </c>
      <c r="F99" s="12">
        <f t="shared" si="26"/>
        <v>28.601838883774533</v>
      </c>
      <c r="G99" s="46">
        <f t="shared" si="17"/>
        <v>25.741654995397081</v>
      </c>
      <c r="H99" s="46">
        <f t="shared" si="18"/>
        <v>83.790387093603101</v>
      </c>
      <c r="I99" s="12">
        <f t="shared" si="21"/>
        <v>81.790387093603101</v>
      </c>
      <c r="J99" s="12">
        <f t="shared" si="27"/>
        <v>0.22335631558849503</v>
      </c>
      <c r="K99" s="12">
        <f t="shared" si="28"/>
        <v>9.357556071480488</v>
      </c>
      <c r="L99" s="12">
        <f t="shared" si="16"/>
        <v>9.1341997558919932</v>
      </c>
    </row>
    <row r="100" spans="1:13" x14ac:dyDescent="0.3">
      <c r="A100" s="19">
        <f t="shared" si="29"/>
        <v>25</v>
      </c>
      <c r="B100" s="12">
        <f t="shared" si="29"/>
        <v>2039</v>
      </c>
      <c r="C100" s="12">
        <f t="shared" si="24"/>
        <v>2</v>
      </c>
      <c r="D100" s="12">
        <f t="shared" si="25"/>
        <v>61.837175666720526</v>
      </c>
      <c r="E100" s="46">
        <f t="shared" si="20"/>
        <v>58.745316883384497</v>
      </c>
      <c r="F100" s="12">
        <f t="shared" si="26"/>
        <v>28.94506095037983</v>
      </c>
      <c r="G100" s="46">
        <f t="shared" si="17"/>
        <v>26.050554855341847</v>
      </c>
      <c r="H100" s="46">
        <f t="shared" si="18"/>
        <v>84.795871738726348</v>
      </c>
      <c r="I100" s="12">
        <f t="shared" si="21"/>
        <v>82.795871738726348</v>
      </c>
      <c r="J100" s="12">
        <f t="shared" si="27"/>
        <v>0.20305119598954097</v>
      </c>
      <c r="K100" s="12">
        <f t="shared" si="28"/>
        <v>8.6089515857620498</v>
      </c>
      <c r="L100" s="12">
        <f t="shared" si="16"/>
        <v>8.4059003897725084</v>
      </c>
    </row>
    <row r="101" spans="1:13" x14ac:dyDescent="0.3">
      <c r="A101" s="19">
        <f t="shared" si="29"/>
        <v>26</v>
      </c>
      <c r="B101" s="12">
        <f t="shared" si="29"/>
        <v>2040</v>
      </c>
      <c r="C101" s="12">
        <f t="shared" si="24"/>
        <v>2</v>
      </c>
      <c r="D101" s="12">
        <f t="shared" si="25"/>
        <v>62.579221774721177</v>
      </c>
      <c r="E101" s="46">
        <f t="shared" si="20"/>
        <v>59.450260685985114</v>
      </c>
      <c r="F101" s="12">
        <f t="shared" si="26"/>
        <v>29.292401681784387</v>
      </c>
      <c r="G101" s="46">
        <f t="shared" si="17"/>
        <v>26.363161513605949</v>
      </c>
      <c r="H101" s="46">
        <f t="shared" si="18"/>
        <v>85.813422199591059</v>
      </c>
      <c r="I101" s="12">
        <f t="shared" si="21"/>
        <v>83.813422199591059</v>
      </c>
      <c r="J101" s="12">
        <f t="shared" si="27"/>
        <v>0.1845919963541281</v>
      </c>
      <c r="K101" s="12">
        <f t="shared" si="28"/>
        <v>7.9202354589010842</v>
      </c>
      <c r="L101" s="12">
        <f t="shared" si="16"/>
        <v>7.7356434625469559</v>
      </c>
    </row>
    <row r="102" spans="1:13" x14ac:dyDescent="0.3">
      <c r="A102" s="19">
        <f t="shared" si="29"/>
        <v>27</v>
      </c>
      <c r="B102" s="12">
        <f t="shared" si="29"/>
        <v>2041</v>
      </c>
      <c r="C102" s="12">
        <f t="shared" si="24"/>
        <v>2</v>
      </c>
      <c r="D102" s="12">
        <f t="shared" si="25"/>
        <v>63.330172436017833</v>
      </c>
      <c r="E102" s="46">
        <f t="shared" si="20"/>
        <v>60.163663814216939</v>
      </c>
      <c r="F102" s="12">
        <f t="shared" si="26"/>
        <v>29.643910501965799</v>
      </c>
      <c r="G102" s="46">
        <f t="shared" si="17"/>
        <v>26.67951945176922</v>
      </c>
      <c r="H102" s="46">
        <f t="shared" si="18"/>
        <v>86.843183265986156</v>
      </c>
      <c r="I102" s="12">
        <f t="shared" si="21"/>
        <v>84.843183265986156</v>
      </c>
      <c r="J102" s="12">
        <f t="shared" si="27"/>
        <v>0.16781090577648008</v>
      </c>
      <c r="K102" s="12">
        <f t="shared" si="28"/>
        <v>7.2866166221889976</v>
      </c>
      <c r="L102" s="12">
        <f t="shared" si="16"/>
        <v>7.1188057164125178</v>
      </c>
    </row>
    <row r="103" spans="1:13" x14ac:dyDescent="0.3">
      <c r="A103" s="19">
        <f t="shared" si="29"/>
        <v>28</v>
      </c>
      <c r="B103" s="12">
        <f t="shared" si="29"/>
        <v>2042</v>
      </c>
      <c r="C103" s="12">
        <f t="shared" si="24"/>
        <v>2</v>
      </c>
      <c r="D103" s="12">
        <f t="shared" si="25"/>
        <v>64.090134505250049</v>
      </c>
      <c r="E103" s="46">
        <f t="shared" si="20"/>
        <v>60.885627779987544</v>
      </c>
      <c r="F103" s="12">
        <f t="shared" si="26"/>
        <v>29.999637427989388</v>
      </c>
      <c r="G103" s="46">
        <f t="shared" si="17"/>
        <v>26.999673685190448</v>
      </c>
      <c r="H103" s="46">
        <f t="shared" si="18"/>
        <v>87.885301465177989</v>
      </c>
      <c r="I103" s="12">
        <f t="shared" si="21"/>
        <v>85.885301465177989</v>
      </c>
      <c r="J103" s="12">
        <f t="shared" si="27"/>
        <v>0.15255536888770915</v>
      </c>
      <c r="K103" s="12">
        <f t="shared" si="28"/>
        <v>6.7036872924138766</v>
      </c>
      <c r="L103" s="12">
        <f t="shared" si="16"/>
        <v>6.5511319235261674</v>
      </c>
    </row>
    <row r="104" spans="1:13" x14ac:dyDescent="0.3">
      <c r="A104" s="19">
        <f t="shared" si="29"/>
        <v>29</v>
      </c>
      <c r="B104" s="12">
        <f t="shared" si="29"/>
        <v>2043</v>
      </c>
      <c r="C104" s="12">
        <f t="shared" si="24"/>
        <v>2</v>
      </c>
      <c r="D104" s="12">
        <f t="shared" si="25"/>
        <v>64.859216119313047</v>
      </c>
      <c r="E104" s="46">
        <f t="shared" si="20"/>
        <v>61.616255313347388</v>
      </c>
      <c r="F104" s="12">
        <f t="shared" si="26"/>
        <v>30.35963307712526</v>
      </c>
      <c r="G104" s="46">
        <f t="shared" si="17"/>
        <v>27.323669769412735</v>
      </c>
      <c r="H104" s="46">
        <f t="shared" si="18"/>
        <v>88.939925082760126</v>
      </c>
      <c r="I104" s="12">
        <f t="shared" si="21"/>
        <v>86.939925082760126</v>
      </c>
      <c r="J104" s="12">
        <f t="shared" si="27"/>
        <v>0.13868669898882649</v>
      </c>
      <c r="K104" s="12">
        <f t="shared" si="28"/>
        <v>6.1673923090207667</v>
      </c>
      <c r="L104" s="12">
        <f t="shared" si="16"/>
        <v>6.0287056100319401</v>
      </c>
    </row>
    <row r="105" spans="1:13" x14ac:dyDescent="0.3">
      <c r="A105" s="19">
        <f t="shared" si="29"/>
        <v>30</v>
      </c>
      <c r="B105" s="12">
        <f t="shared" si="29"/>
        <v>2044</v>
      </c>
      <c r="C105" s="12">
        <f t="shared" si="24"/>
        <v>2</v>
      </c>
      <c r="D105" s="12">
        <f t="shared" si="25"/>
        <v>65.637526712744801</v>
      </c>
      <c r="E105" s="46">
        <f t="shared" si="20"/>
        <v>62.355650377107558</v>
      </c>
      <c r="F105" s="12">
        <f t="shared" si="26"/>
        <v>30.723948674050764</v>
      </c>
      <c r="G105" s="46">
        <f t="shared" si="17"/>
        <v>27.651553806645687</v>
      </c>
      <c r="H105" s="46">
        <f t="shared" si="18"/>
        <v>90.007204183753245</v>
      </c>
      <c r="I105" s="12">
        <f t="shared" si="21"/>
        <v>88.007204183753245</v>
      </c>
      <c r="J105" s="12">
        <f t="shared" si="27"/>
        <v>0.12607881726256953</v>
      </c>
      <c r="K105" s="12">
        <f t="shared" si="28"/>
        <v>5.6740009242991052</v>
      </c>
      <c r="L105" s="12">
        <f t="shared" si="16"/>
        <v>5.5479221070365359</v>
      </c>
    </row>
    <row r="106" spans="1:13" x14ac:dyDescent="0.3">
      <c r="A106" s="19">
        <f t="shared" si="29"/>
        <v>31</v>
      </c>
      <c r="B106" s="12">
        <f t="shared" si="29"/>
        <v>2045</v>
      </c>
      <c r="C106" s="12">
        <f>C105</f>
        <v>2</v>
      </c>
      <c r="D106" s="12">
        <f t="shared" si="25"/>
        <v>66.425177033297743</v>
      </c>
      <c r="E106" s="46">
        <f t="shared" si="20"/>
        <v>63.103918181632849</v>
      </c>
      <c r="F106" s="12">
        <f t="shared" si="26"/>
        <v>31.092636058139373</v>
      </c>
      <c r="G106" s="46">
        <f t="shared" si="17"/>
        <v>27.983372452325437</v>
      </c>
      <c r="H106" s="46">
        <f t="shared" si="18"/>
        <v>91.08729063395829</v>
      </c>
      <c r="I106" s="12">
        <f t="shared" si="21"/>
        <v>89.08729063395829</v>
      </c>
      <c r="J106" s="12">
        <f t="shared" si="27"/>
        <v>0.11461710660233593</v>
      </c>
      <c r="K106" s="12">
        <f t="shared" si="28"/>
        <v>5.2200808503551759</v>
      </c>
      <c r="L106" s="12">
        <f t="shared" si="16"/>
        <v>5.1054637437528401</v>
      </c>
    </row>
    <row r="107" spans="1:13" x14ac:dyDescent="0.3">
      <c r="A107" s="44"/>
      <c r="B107" s="19" t="s">
        <v>19</v>
      </c>
      <c r="C107" s="19">
        <f>SUM(C76:C106)</f>
        <v>760</v>
      </c>
      <c r="D107" s="19">
        <f>SUM(D76:D106)</f>
        <v>1685.1899298081078</v>
      </c>
      <c r="E107" s="47">
        <f>SUM(E76:E106)</f>
        <v>1600.9304333177022</v>
      </c>
      <c r="F107" s="47">
        <f t="shared" ref="F107:G107" si="30">SUM(F76:F106)</f>
        <v>788.81230756975276</v>
      </c>
      <c r="G107" s="47">
        <f t="shared" si="30"/>
        <v>709.93107681277741</v>
      </c>
      <c r="H107" s="47">
        <f>SUM(H76:H106)</f>
        <v>2310.8615101304799</v>
      </c>
      <c r="I107" s="19">
        <f>SUM(I76:I106)</f>
        <v>1550.8615101304795</v>
      </c>
      <c r="J107" s="19">
        <f>SUM(J76:J106)</f>
        <v>717.26339890028999</v>
      </c>
      <c r="K107" s="48">
        <f>SUM(K76:K106)</f>
        <v>616.02097745015158</v>
      </c>
      <c r="L107" s="20">
        <f>SUM(L76:L106)</f>
        <v>-101.24242145013849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0.85884903425246073</v>
      </c>
      <c r="M108" s="40" t="s">
        <v>9</v>
      </c>
    </row>
    <row r="109" spans="1:13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-1.4936867523905883E-2</v>
      </c>
      <c r="M109" s="40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A6E3-0B0A-4257-BC8E-D2BD2259A956}">
  <sheetPr>
    <tabColor rgb="FFFFFF00"/>
  </sheetPr>
  <dimension ref="A1:M109"/>
  <sheetViews>
    <sheetView workbookViewId="0">
      <selection activeCell="E66" sqref="E66:E68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  <col min="13" max="13" width="21.7773437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57" x14ac:dyDescent="0.3">
      <c r="A5" s="34" t="s">
        <v>66</v>
      </c>
      <c r="B5" s="10">
        <v>0</v>
      </c>
      <c r="C5" s="30"/>
      <c r="D5" s="5"/>
      <c r="E5" s="38" t="s">
        <v>59</v>
      </c>
      <c r="F5" s="12">
        <f>L43</f>
        <v>-71.224584027612082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33</v>
      </c>
      <c r="C6" s="5"/>
      <c r="D6" s="5"/>
      <c r="E6" s="38" t="s">
        <v>9</v>
      </c>
      <c r="F6" s="67">
        <f>L44</f>
        <v>0.90116053653723371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11</v>
      </c>
      <c r="F7" s="13">
        <f>L45</f>
        <v>-9.9674627317470899E-3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700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-700</v>
      </c>
      <c r="J12" s="12">
        <v>700</v>
      </c>
      <c r="K12" s="12">
        <v>0</v>
      </c>
      <c r="L12" s="12">
        <v>-700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0">F13*0.9</f>
        <v>19.8</v>
      </c>
      <c r="H13" s="46">
        <f t="shared" ref="H13:H42" si="1">E13+G13</f>
        <v>64.45</v>
      </c>
      <c r="I13" s="12">
        <f t="shared" ref="I13:I42" si="2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ref="L13:L42" si="3">K13-J13</f>
        <v>54.954545454545453</v>
      </c>
      <c r="M13" s="18"/>
    </row>
    <row r="14" spans="1:13" x14ac:dyDescent="0.3">
      <c r="A14" s="19">
        <f t="shared" ref="A14:B29" si="4">A13+1</f>
        <v>3</v>
      </c>
      <c r="B14" s="12">
        <f t="shared" si="4"/>
        <v>2017</v>
      </c>
      <c r="C14" s="12">
        <f>C13</f>
        <v>2</v>
      </c>
      <c r="D14" s="12">
        <f>D13*(1+$B$5)</f>
        <v>47</v>
      </c>
      <c r="E14" s="46">
        <f t="shared" ref="E14:E42" si="5">D14*0.95</f>
        <v>44.65</v>
      </c>
      <c r="F14" s="12">
        <f>F13*(1+$B$5)</f>
        <v>22</v>
      </c>
      <c r="G14" s="46">
        <f t="shared" si="0"/>
        <v>19.8</v>
      </c>
      <c r="H14" s="46">
        <f t="shared" si="1"/>
        <v>64.45</v>
      </c>
      <c r="I14" s="12">
        <f t="shared" si="2"/>
        <v>62.45</v>
      </c>
      <c r="J14" s="12">
        <f t="shared" ref="J14:J26" si="6">(C14)/((1+0.1)^($A14-1))</f>
        <v>1.6528925619834709</v>
      </c>
      <c r="K14" s="12">
        <f t="shared" ref="K14:K26" si="7">(I14)/((1+0.1)^($A14-1))</f>
        <v>51.611570247933876</v>
      </c>
      <c r="L14" s="12">
        <f t="shared" si="3"/>
        <v>49.958677685950406</v>
      </c>
      <c r="M14" s="18"/>
    </row>
    <row r="15" spans="1:13" x14ac:dyDescent="0.3">
      <c r="A15" s="19">
        <f t="shared" si="4"/>
        <v>4</v>
      </c>
      <c r="B15" s="12">
        <f t="shared" si="4"/>
        <v>2018</v>
      </c>
      <c r="C15" s="12">
        <f t="shared" ref="C15:C41" si="8">C14</f>
        <v>2</v>
      </c>
      <c r="D15" s="12">
        <f t="shared" ref="D15:D42" si="9">D14*(1+$B$5)</f>
        <v>47</v>
      </c>
      <c r="E15" s="46">
        <f t="shared" si="5"/>
        <v>44.65</v>
      </c>
      <c r="F15" s="12">
        <f t="shared" ref="F15:F42" si="10">F14*(1+$B$5)</f>
        <v>22</v>
      </c>
      <c r="G15" s="46">
        <f t="shared" si="0"/>
        <v>19.8</v>
      </c>
      <c r="H15" s="46">
        <f t="shared" si="1"/>
        <v>64.45</v>
      </c>
      <c r="I15" s="12">
        <f t="shared" si="2"/>
        <v>62.45</v>
      </c>
      <c r="J15" s="12">
        <f t="shared" si="6"/>
        <v>1.5026296018031551</v>
      </c>
      <c r="K15" s="12">
        <f t="shared" si="7"/>
        <v>46.919609316303521</v>
      </c>
      <c r="L15" s="12">
        <f t="shared" si="3"/>
        <v>45.416979714500364</v>
      </c>
      <c r="M15" s="18"/>
    </row>
    <row r="16" spans="1:13" x14ac:dyDescent="0.3">
      <c r="A16" s="19">
        <f t="shared" si="4"/>
        <v>5</v>
      </c>
      <c r="B16" s="12">
        <f t="shared" si="4"/>
        <v>2019</v>
      </c>
      <c r="C16" s="12">
        <f t="shared" si="8"/>
        <v>2</v>
      </c>
      <c r="D16" s="12">
        <f t="shared" si="9"/>
        <v>47</v>
      </c>
      <c r="E16" s="46">
        <f t="shared" si="5"/>
        <v>44.65</v>
      </c>
      <c r="F16" s="12">
        <f t="shared" si="10"/>
        <v>22</v>
      </c>
      <c r="G16" s="46">
        <f t="shared" si="0"/>
        <v>19.8</v>
      </c>
      <c r="H16" s="46">
        <f t="shared" si="1"/>
        <v>64.45</v>
      </c>
      <c r="I16" s="12">
        <f t="shared" si="2"/>
        <v>62.45</v>
      </c>
      <c r="J16" s="12">
        <f t="shared" si="6"/>
        <v>1.366026910730141</v>
      </c>
      <c r="K16" s="12">
        <f t="shared" si="7"/>
        <v>42.654190287548658</v>
      </c>
      <c r="L16" s="12">
        <f t="shared" si="3"/>
        <v>41.288163376818517</v>
      </c>
      <c r="M16" s="18"/>
    </row>
    <row r="17" spans="1:13" x14ac:dyDescent="0.3">
      <c r="A17" s="19">
        <f t="shared" si="4"/>
        <v>6</v>
      </c>
      <c r="B17" s="12">
        <f t="shared" si="4"/>
        <v>2020</v>
      </c>
      <c r="C17" s="12">
        <f t="shared" si="8"/>
        <v>2</v>
      </c>
      <c r="D17" s="12">
        <f t="shared" si="9"/>
        <v>47</v>
      </c>
      <c r="E17" s="46">
        <f t="shared" si="5"/>
        <v>44.65</v>
      </c>
      <c r="F17" s="12">
        <f t="shared" si="10"/>
        <v>22</v>
      </c>
      <c r="G17" s="46">
        <f t="shared" si="0"/>
        <v>19.8</v>
      </c>
      <c r="H17" s="46">
        <f t="shared" si="1"/>
        <v>64.45</v>
      </c>
      <c r="I17" s="12">
        <f t="shared" si="2"/>
        <v>62.45</v>
      </c>
      <c r="J17" s="12">
        <f t="shared" si="6"/>
        <v>1.2418426461183099</v>
      </c>
      <c r="K17" s="12">
        <f t="shared" si="7"/>
        <v>38.77653662504423</v>
      </c>
      <c r="L17" s="12">
        <f t="shared" si="3"/>
        <v>37.534693978925922</v>
      </c>
      <c r="M17" s="18"/>
    </row>
    <row r="18" spans="1:13" x14ac:dyDescent="0.3">
      <c r="A18" s="19">
        <f t="shared" si="4"/>
        <v>7</v>
      </c>
      <c r="B18" s="12">
        <f t="shared" si="4"/>
        <v>2021</v>
      </c>
      <c r="C18" s="12">
        <f t="shared" si="8"/>
        <v>2</v>
      </c>
      <c r="D18" s="12">
        <f t="shared" si="9"/>
        <v>47</v>
      </c>
      <c r="E18" s="46">
        <f t="shared" si="5"/>
        <v>44.65</v>
      </c>
      <c r="F18" s="12">
        <f t="shared" si="10"/>
        <v>22</v>
      </c>
      <c r="G18" s="46">
        <f t="shared" si="0"/>
        <v>19.8</v>
      </c>
      <c r="H18" s="46">
        <f t="shared" si="1"/>
        <v>64.45</v>
      </c>
      <c r="I18" s="12">
        <f t="shared" si="2"/>
        <v>62.45</v>
      </c>
      <c r="J18" s="12">
        <f t="shared" si="6"/>
        <v>1.1289478601075544</v>
      </c>
      <c r="K18" s="12">
        <f t="shared" si="7"/>
        <v>35.251396931858388</v>
      </c>
      <c r="L18" s="12">
        <f t="shared" si="3"/>
        <v>34.122449071750836</v>
      </c>
      <c r="M18" s="18"/>
    </row>
    <row r="19" spans="1:13" x14ac:dyDescent="0.3">
      <c r="A19" s="19">
        <f t="shared" si="4"/>
        <v>8</v>
      </c>
      <c r="B19" s="12">
        <f t="shared" si="4"/>
        <v>2022</v>
      </c>
      <c r="C19" s="12">
        <f t="shared" si="8"/>
        <v>2</v>
      </c>
      <c r="D19" s="12">
        <f t="shared" si="9"/>
        <v>47</v>
      </c>
      <c r="E19" s="46">
        <f t="shared" si="5"/>
        <v>44.65</v>
      </c>
      <c r="F19" s="12">
        <f t="shared" si="10"/>
        <v>22</v>
      </c>
      <c r="G19" s="46">
        <f t="shared" si="0"/>
        <v>19.8</v>
      </c>
      <c r="H19" s="46">
        <f t="shared" si="1"/>
        <v>64.45</v>
      </c>
      <c r="I19" s="12">
        <f t="shared" si="2"/>
        <v>62.45</v>
      </c>
      <c r="J19" s="12">
        <f t="shared" si="6"/>
        <v>1.0263162364614129</v>
      </c>
      <c r="K19" s="12">
        <f t="shared" si="7"/>
        <v>32.046724483507617</v>
      </c>
      <c r="L19" s="12">
        <f t="shared" si="3"/>
        <v>31.020408247046205</v>
      </c>
      <c r="M19" s="18"/>
    </row>
    <row r="20" spans="1:13" x14ac:dyDescent="0.3">
      <c r="A20" s="19">
        <f t="shared" si="4"/>
        <v>9</v>
      </c>
      <c r="B20" s="12">
        <f t="shared" si="4"/>
        <v>2023</v>
      </c>
      <c r="C20" s="12">
        <f t="shared" si="8"/>
        <v>2</v>
      </c>
      <c r="D20" s="12">
        <f t="shared" si="9"/>
        <v>47</v>
      </c>
      <c r="E20" s="46">
        <f t="shared" si="5"/>
        <v>44.65</v>
      </c>
      <c r="F20" s="12">
        <f t="shared" si="10"/>
        <v>22</v>
      </c>
      <c r="G20" s="46">
        <f t="shared" si="0"/>
        <v>19.8</v>
      </c>
      <c r="H20" s="46">
        <f t="shared" si="1"/>
        <v>64.45</v>
      </c>
      <c r="I20" s="12">
        <f t="shared" si="2"/>
        <v>62.45</v>
      </c>
      <c r="J20" s="12">
        <f t="shared" si="6"/>
        <v>0.93301476041946629</v>
      </c>
      <c r="K20" s="12">
        <f t="shared" si="7"/>
        <v>29.133385894097838</v>
      </c>
      <c r="L20" s="12">
        <f t="shared" si="3"/>
        <v>28.20037113367837</v>
      </c>
      <c r="M20" s="18"/>
    </row>
    <row r="21" spans="1:13" x14ac:dyDescent="0.3">
      <c r="A21" s="19">
        <f t="shared" si="4"/>
        <v>10</v>
      </c>
      <c r="B21" s="12">
        <f t="shared" si="4"/>
        <v>2024</v>
      </c>
      <c r="C21" s="12">
        <f t="shared" si="8"/>
        <v>2</v>
      </c>
      <c r="D21" s="12">
        <f t="shared" si="9"/>
        <v>47</v>
      </c>
      <c r="E21" s="46">
        <f t="shared" si="5"/>
        <v>44.65</v>
      </c>
      <c r="F21" s="12">
        <f t="shared" si="10"/>
        <v>22</v>
      </c>
      <c r="G21" s="46">
        <f t="shared" si="0"/>
        <v>19.8</v>
      </c>
      <c r="H21" s="46">
        <f t="shared" si="1"/>
        <v>64.45</v>
      </c>
      <c r="I21" s="12">
        <f t="shared" si="2"/>
        <v>62.45</v>
      </c>
      <c r="J21" s="12">
        <f t="shared" si="6"/>
        <v>0.84819523674496933</v>
      </c>
      <c r="K21" s="12">
        <f t="shared" si="7"/>
        <v>26.48489626736167</v>
      </c>
      <c r="L21" s="12">
        <f t="shared" si="3"/>
        <v>25.636701030616699</v>
      </c>
      <c r="M21" s="18"/>
    </row>
    <row r="22" spans="1:13" x14ac:dyDescent="0.3">
      <c r="A22" s="19">
        <f t="shared" si="4"/>
        <v>11</v>
      </c>
      <c r="B22" s="12">
        <f t="shared" si="4"/>
        <v>2025</v>
      </c>
      <c r="C22" s="12">
        <f t="shared" si="8"/>
        <v>2</v>
      </c>
      <c r="D22" s="12">
        <f t="shared" si="9"/>
        <v>47</v>
      </c>
      <c r="E22" s="46">
        <f t="shared" si="5"/>
        <v>44.65</v>
      </c>
      <c r="F22" s="12">
        <f t="shared" si="10"/>
        <v>22</v>
      </c>
      <c r="G22" s="46">
        <f t="shared" si="0"/>
        <v>19.8</v>
      </c>
      <c r="H22" s="46">
        <f t="shared" si="1"/>
        <v>64.45</v>
      </c>
      <c r="I22" s="12">
        <f t="shared" si="2"/>
        <v>62.45</v>
      </c>
      <c r="J22" s="12">
        <f t="shared" si="6"/>
        <v>0.77108657885906295</v>
      </c>
      <c r="K22" s="12">
        <f t="shared" si="7"/>
        <v>24.077178424874241</v>
      </c>
      <c r="L22" s="12">
        <f t="shared" si="3"/>
        <v>23.306091846015178</v>
      </c>
      <c r="M22" s="18"/>
    </row>
    <row r="23" spans="1:13" x14ac:dyDescent="0.3">
      <c r="A23" s="19">
        <f t="shared" si="4"/>
        <v>12</v>
      </c>
      <c r="B23" s="12">
        <f t="shared" si="4"/>
        <v>2026</v>
      </c>
      <c r="C23" s="12">
        <f t="shared" si="8"/>
        <v>2</v>
      </c>
      <c r="D23" s="12">
        <f t="shared" si="9"/>
        <v>47</v>
      </c>
      <c r="E23" s="46">
        <f t="shared" si="5"/>
        <v>44.65</v>
      </c>
      <c r="F23" s="12">
        <f t="shared" si="10"/>
        <v>22</v>
      </c>
      <c r="G23" s="46">
        <f t="shared" si="0"/>
        <v>19.8</v>
      </c>
      <c r="H23" s="46">
        <f t="shared" si="1"/>
        <v>64.45</v>
      </c>
      <c r="I23" s="12">
        <f t="shared" si="2"/>
        <v>62.45</v>
      </c>
      <c r="J23" s="12">
        <f t="shared" si="6"/>
        <v>0.7009877989627844</v>
      </c>
      <c r="K23" s="12">
        <f t="shared" si="7"/>
        <v>21.888344022612944</v>
      </c>
      <c r="L23" s="12">
        <f t="shared" si="3"/>
        <v>21.187356223650159</v>
      </c>
      <c r="M23" s="18"/>
    </row>
    <row r="24" spans="1:13" x14ac:dyDescent="0.3">
      <c r="A24" s="19">
        <f t="shared" si="4"/>
        <v>13</v>
      </c>
      <c r="B24" s="12">
        <f t="shared" si="4"/>
        <v>2027</v>
      </c>
      <c r="C24" s="12">
        <f t="shared" si="8"/>
        <v>2</v>
      </c>
      <c r="D24" s="12">
        <f t="shared" si="9"/>
        <v>47</v>
      </c>
      <c r="E24" s="46">
        <f t="shared" si="5"/>
        <v>44.65</v>
      </c>
      <c r="F24" s="12">
        <f t="shared" si="10"/>
        <v>22</v>
      </c>
      <c r="G24" s="46">
        <f t="shared" si="0"/>
        <v>19.8</v>
      </c>
      <c r="H24" s="46">
        <f t="shared" si="1"/>
        <v>64.45</v>
      </c>
      <c r="I24" s="12">
        <f t="shared" si="2"/>
        <v>62.45</v>
      </c>
      <c r="J24" s="12">
        <f t="shared" si="6"/>
        <v>0.63726163542071312</v>
      </c>
      <c r="K24" s="12">
        <f t="shared" si="7"/>
        <v>19.898494566011767</v>
      </c>
      <c r="L24" s="12">
        <f t="shared" si="3"/>
        <v>19.261232930591053</v>
      </c>
      <c r="M24" s="18"/>
    </row>
    <row r="25" spans="1:13" x14ac:dyDescent="0.3">
      <c r="A25" s="19">
        <f t="shared" si="4"/>
        <v>14</v>
      </c>
      <c r="B25" s="12">
        <f t="shared" si="4"/>
        <v>2028</v>
      </c>
      <c r="C25" s="12">
        <f t="shared" si="8"/>
        <v>2</v>
      </c>
      <c r="D25" s="12">
        <f t="shared" si="9"/>
        <v>47</v>
      </c>
      <c r="E25" s="46">
        <f t="shared" si="5"/>
        <v>44.65</v>
      </c>
      <c r="F25" s="12">
        <f t="shared" si="10"/>
        <v>22</v>
      </c>
      <c r="G25" s="46">
        <f t="shared" si="0"/>
        <v>19.8</v>
      </c>
      <c r="H25" s="46">
        <f t="shared" si="1"/>
        <v>64.45</v>
      </c>
      <c r="I25" s="12">
        <f t="shared" si="2"/>
        <v>62.45</v>
      </c>
      <c r="J25" s="12">
        <f t="shared" si="6"/>
        <v>0.57932875947337559</v>
      </c>
      <c r="K25" s="12">
        <f t="shared" si="7"/>
        <v>18.089540514556152</v>
      </c>
      <c r="L25" s="12">
        <f t="shared" si="3"/>
        <v>17.510211755082775</v>
      </c>
      <c r="M25" s="18"/>
    </row>
    <row r="26" spans="1:13" x14ac:dyDescent="0.3">
      <c r="A26" s="19">
        <f t="shared" si="4"/>
        <v>15</v>
      </c>
      <c r="B26" s="12">
        <f t="shared" si="4"/>
        <v>2029</v>
      </c>
      <c r="C26" s="12">
        <f t="shared" si="8"/>
        <v>2</v>
      </c>
      <c r="D26" s="12">
        <f t="shared" si="9"/>
        <v>47</v>
      </c>
      <c r="E26" s="46">
        <f t="shared" si="5"/>
        <v>44.65</v>
      </c>
      <c r="F26" s="12">
        <f t="shared" si="10"/>
        <v>22</v>
      </c>
      <c r="G26" s="46">
        <f t="shared" si="0"/>
        <v>19.8</v>
      </c>
      <c r="H26" s="46">
        <f t="shared" si="1"/>
        <v>64.45</v>
      </c>
      <c r="I26" s="12">
        <f t="shared" si="2"/>
        <v>62.45</v>
      </c>
      <c r="J26" s="12">
        <f t="shared" si="6"/>
        <v>0.52666250861215946</v>
      </c>
      <c r="K26" s="12">
        <f t="shared" si="7"/>
        <v>16.445036831414679</v>
      </c>
      <c r="L26" s="12">
        <f t="shared" si="3"/>
        <v>15.918374322802521</v>
      </c>
      <c r="M26" s="18"/>
    </row>
    <row r="27" spans="1:13" x14ac:dyDescent="0.3">
      <c r="A27" s="19">
        <f t="shared" si="4"/>
        <v>16</v>
      </c>
      <c r="B27" s="12">
        <f t="shared" si="4"/>
        <v>2030</v>
      </c>
      <c r="C27" s="12">
        <f t="shared" si="8"/>
        <v>2</v>
      </c>
      <c r="D27" s="12">
        <f t="shared" si="9"/>
        <v>47</v>
      </c>
      <c r="E27" s="46">
        <f t="shared" si="5"/>
        <v>44.65</v>
      </c>
      <c r="F27" s="12">
        <f t="shared" si="10"/>
        <v>22</v>
      </c>
      <c r="G27" s="46">
        <f t="shared" si="0"/>
        <v>19.8</v>
      </c>
      <c r="H27" s="46">
        <f t="shared" si="1"/>
        <v>64.45</v>
      </c>
      <c r="I27" s="12">
        <f t="shared" si="2"/>
        <v>62.45</v>
      </c>
      <c r="J27" s="12">
        <f>(C27)/((1+0.1)^($A27-1))</f>
        <v>0.47878409873832678</v>
      </c>
      <c r="K27" s="12">
        <f>(H27)/((1+0.1)^($A27-1))</f>
        <v>15.428817581842582</v>
      </c>
      <c r="L27" s="12">
        <f t="shared" si="3"/>
        <v>14.950033483104255</v>
      </c>
      <c r="M27" s="18"/>
    </row>
    <row r="28" spans="1:13" x14ac:dyDescent="0.3">
      <c r="A28" s="19">
        <f t="shared" si="4"/>
        <v>17</v>
      </c>
      <c r="B28" s="12">
        <f t="shared" si="4"/>
        <v>2031</v>
      </c>
      <c r="C28" s="12">
        <f t="shared" si="8"/>
        <v>2</v>
      </c>
      <c r="D28" s="12">
        <f t="shared" si="9"/>
        <v>47</v>
      </c>
      <c r="E28" s="46">
        <f t="shared" si="5"/>
        <v>44.65</v>
      </c>
      <c r="F28" s="12">
        <f t="shared" si="10"/>
        <v>22</v>
      </c>
      <c r="G28" s="46">
        <f t="shared" si="0"/>
        <v>19.8</v>
      </c>
      <c r="H28" s="46">
        <f t="shared" si="1"/>
        <v>64.45</v>
      </c>
      <c r="I28" s="12">
        <f t="shared" si="2"/>
        <v>62.45</v>
      </c>
      <c r="J28" s="12">
        <f t="shared" ref="J28:J42" si="11">(C28)/((1+0.08)^($A28-1))</f>
        <v>0.58378093512201845</v>
      </c>
      <c r="K28" s="12">
        <f t="shared" ref="K28:K42" si="12">(H28)/((1+0.08)^($A28-1))</f>
        <v>18.812340634307045</v>
      </c>
      <c r="L28" s="12">
        <f t="shared" si="3"/>
        <v>18.228559699185027</v>
      </c>
      <c r="M28" s="18"/>
    </row>
    <row r="29" spans="1:13" x14ac:dyDescent="0.3">
      <c r="A29" s="19">
        <f t="shared" si="4"/>
        <v>18</v>
      </c>
      <c r="B29" s="12">
        <f t="shared" si="4"/>
        <v>2032</v>
      </c>
      <c r="C29" s="12">
        <f t="shared" si="8"/>
        <v>2</v>
      </c>
      <c r="D29" s="12">
        <f t="shared" si="9"/>
        <v>47</v>
      </c>
      <c r="E29" s="46">
        <f t="shared" si="5"/>
        <v>44.65</v>
      </c>
      <c r="F29" s="12">
        <f t="shared" si="10"/>
        <v>22</v>
      </c>
      <c r="G29" s="46">
        <f t="shared" si="0"/>
        <v>19.8</v>
      </c>
      <c r="H29" s="46">
        <f t="shared" si="1"/>
        <v>64.45</v>
      </c>
      <c r="I29" s="12">
        <f t="shared" si="2"/>
        <v>62.45</v>
      </c>
      <c r="J29" s="12">
        <f t="shared" si="11"/>
        <v>0.54053790289075787</v>
      </c>
      <c r="K29" s="12">
        <f t="shared" si="12"/>
        <v>17.41883392065467</v>
      </c>
      <c r="L29" s="12">
        <f t="shared" si="3"/>
        <v>16.878296017763912</v>
      </c>
      <c r="M29" s="18"/>
    </row>
    <row r="30" spans="1:13" x14ac:dyDescent="0.3">
      <c r="A30" s="19">
        <f t="shared" ref="A30:B42" si="13">A29+1</f>
        <v>19</v>
      </c>
      <c r="B30" s="12">
        <f t="shared" si="13"/>
        <v>2033</v>
      </c>
      <c r="C30" s="12">
        <f t="shared" si="8"/>
        <v>2</v>
      </c>
      <c r="D30" s="12">
        <f t="shared" si="9"/>
        <v>47</v>
      </c>
      <c r="E30" s="46">
        <f t="shared" si="5"/>
        <v>44.65</v>
      </c>
      <c r="F30" s="12">
        <f t="shared" si="10"/>
        <v>22</v>
      </c>
      <c r="G30" s="46">
        <f t="shared" si="0"/>
        <v>19.8</v>
      </c>
      <c r="H30" s="46">
        <f t="shared" si="1"/>
        <v>64.45</v>
      </c>
      <c r="I30" s="12">
        <f t="shared" si="2"/>
        <v>62.45</v>
      </c>
      <c r="J30" s="12">
        <f t="shared" si="11"/>
        <v>0.50049805823218307</v>
      </c>
      <c r="K30" s="12">
        <f t="shared" si="12"/>
        <v>16.128549926532102</v>
      </c>
      <c r="L30" s="12">
        <f t="shared" si="3"/>
        <v>15.628051868299918</v>
      </c>
      <c r="M30" s="18"/>
    </row>
    <row r="31" spans="1:13" x14ac:dyDescent="0.3">
      <c r="A31" s="19">
        <f t="shared" si="13"/>
        <v>20</v>
      </c>
      <c r="B31" s="12">
        <f t="shared" si="13"/>
        <v>2034</v>
      </c>
      <c r="C31" s="12">
        <f t="shared" si="8"/>
        <v>2</v>
      </c>
      <c r="D31" s="12">
        <f t="shared" si="9"/>
        <v>47</v>
      </c>
      <c r="E31" s="46">
        <f t="shared" si="5"/>
        <v>44.65</v>
      </c>
      <c r="F31" s="12">
        <f t="shared" si="10"/>
        <v>22</v>
      </c>
      <c r="G31" s="46">
        <f t="shared" si="0"/>
        <v>19.8</v>
      </c>
      <c r="H31" s="46">
        <f t="shared" si="1"/>
        <v>64.45</v>
      </c>
      <c r="I31" s="12">
        <f t="shared" si="2"/>
        <v>62.45</v>
      </c>
      <c r="J31" s="12">
        <f t="shared" si="11"/>
        <v>0.46342412799276211</v>
      </c>
      <c r="K31" s="12">
        <f t="shared" si="12"/>
        <v>14.93384252456676</v>
      </c>
      <c r="L31" s="12">
        <f t="shared" si="3"/>
        <v>14.470418396573997</v>
      </c>
      <c r="M31" s="18"/>
    </row>
    <row r="32" spans="1:13" x14ac:dyDescent="0.3">
      <c r="A32" s="19">
        <f t="shared" si="13"/>
        <v>21</v>
      </c>
      <c r="B32" s="12">
        <f t="shared" si="13"/>
        <v>2035</v>
      </c>
      <c r="C32" s="12">
        <f t="shared" si="8"/>
        <v>2</v>
      </c>
      <c r="D32" s="12">
        <f t="shared" si="9"/>
        <v>47</v>
      </c>
      <c r="E32" s="46">
        <f t="shared" si="5"/>
        <v>44.65</v>
      </c>
      <c r="F32" s="12">
        <f t="shared" si="10"/>
        <v>22</v>
      </c>
      <c r="G32" s="46">
        <f t="shared" si="0"/>
        <v>19.8</v>
      </c>
      <c r="H32" s="46">
        <f t="shared" si="1"/>
        <v>64.45</v>
      </c>
      <c r="I32" s="12">
        <f t="shared" si="2"/>
        <v>62.45</v>
      </c>
      <c r="J32" s="12">
        <f t="shared" si="11"/>
        <v>0.42909641480811306</v>
      </c>
      <c r="K32" s="12">
        <f t="shared" si="12"/>
        <v>13.827631967191445</v>
      </c>
      <c r="L32" s="12">
        <f t="shared" si="3"/>
        <v>13.398535552383333</v>
      </c>
      <c r="M32" s="18"/>
    </row>
    <row r="33" spans="1:13" x14ac:dyDescent="0.3">
      <c r="A33" s="19">
        <f t="shared" si="13"/>
        <v>22</v>
      </c>
      <c r="B33" s="12">
        <f t="shared" si="13"/>
        <v>2036</v>
      </c>
      <c r="C33" s="12">
        <f t="shared" si="8"/>
        <v>2</v>
      </c>
      <c r="D33" s="12">
        <f t="shared" si="9"/>
        <v>47</v>
      </c>
      <c r="E33" s="46">
        <f t="shared" si="5"/>
        <v>44.65</v>
      </c>
      <c r="F33" s="12">
        <f t="shared" si="10"/>
        <v>22</v>
      </c>
      <c r="G33" s="46">
        <f t="shared" si="0"/>
        <v>19.8</v>
      </c>
      <c r="H33" s="46">
        <f t="shared" si="1"/>
        <v>64.45</v>
      </c>
      <c r="I33" s="12">
        <f t="shared" si="2"/>
        <v>62.45</v>
      </c>
      <c r="J33" s="12">
        <f t="shared" si="11"/>
        <v>0.39731149519269726</v>
      </c>
      <c r="K33" s="12">
        <f t="shared" si="12"/>
        <v>12.803362932584671</v>
      </c>
      <c r="L33" s="12">
        <f t="shared" si="3"/>
        <v>12.406051437391973</v>
      </c>
      <c r="M33" s="18"/>
    </row>
    <row r="34" spans="1:13" x14ac:dyDescent="0.3">
      <c r="A34" s="19">
        <f t="shared" si="13"/>
        <v>23</v>
      </c>
      <c r="B34" s="12">
        <f t="shared" si="13"/>
        <v>2037</v>
      </c>
      <c r="C34" s="12">
        <f t="shared" si="8"/>
        <v>2</v>
      </c>
      <c r="D34" s="12">
        <f t="shared" si="9"/>
        <v>47</v>
      </c>
      <c r="E34" s="46">
        <f t="shared" si="5"/>
        <v>44.65</v>
      </c>
      <c r="F34" s="12">
        <f t="shared" si="10"/>
        <v>22</v>
      </c>
      <c r="G34" s="46">
        <f t="shared" si="0"/>
        <v>19.8</v>
      </c>
      <c r="H34" s="46">
        <f t="shared" si="1"/>
        <v>64.45</v>
      </c>
      <c r="I34" s="12">
        <f t="shared" si="2"/>
        <v>62.45</v>
      </c>
      <c r="J34" s="12">
        <f t="shared" si="11"/>
        <v>0.36788101406731222</v>
      </c>
      <c r="K34" s="12">
        <f t="shared" si="12"/>
        <v>11.854965678319138</v>
      </c>
      <c r="L34" s="12">
        <f t="shared" si="3"/>
        <v>11.487084664251826</v>
      </c>
      <c r="M34" s="18"/>
    </row>
    <row r="35" spans="1:13" x14ac:dyDescent="0.3">
      <c r="A35" s="19">
        <f t="shared" si="13"/>
        <v>24</v>
      </c>
      <c r="B35" s="12">
        <f t="shared" si="13"/>
        <v>2038</v>
      </c>
      <c r="C35" s="12">
        <f t="shared" si="8"/>
        <v>2</v>
      </c>
      <c r="D35" s="12">
        <f t="shared" si="9"/>
        <v>47</v>
      </c>
      <c r="E35" s="46">
        <f t="shared" si="5"/>
        <v>44.65</v>
      </c>
      <c r="F35" s="12">
        <f t="shared" si="10"/>
        <v>22</v>
      </c>
      <c r="G35" s="46">
        <f t="shared" si="0"/>
        <v>19.8</v>
      </c>
      <c r="H35" s="46">
        <f t="shared" si="1"/>
        <v>64.45</v>
      </c>
      <c r="I35" s="12">
        <f t="shared" si="2"/>
        <v>62.45</v>
      </c>
      <c r="J35" s="12">
        <f t="shared" si="11"/>
        <v>0.34063056858084467</v>
      </c>
      <c r="K35" s="12">
        <f t="shared" si="12"/>
        <v>10.97682007251772</v>
      </c>
      <c r="L35" s="12">
        <f t="shared" si="3"/>
        <v>10.636189503936874</v>
      </c>
      <c r="M35" s="18"/>
    </row>
    <row r="36" spans="1:13" x14ac:dyDescent="0.3">
      <c r="A36" s="19">
        <f t="shared" si="13"/>
        <v>25</v>
      </c>
      <c r="B36" s="12">
        <f t="shared" si="13"/>
        <v>2039</v>
      </c>
      <c r="C36" s="12">
        <f t="shared" si="8"/>
        <v>2</v>
      </c>
      <c r="D36" s="12">
        <f t="shared" si="9"/>
        <v>47</v>
      </c>
      <c r="E36" s="46">
        <f t="shared" si="5"/>
        <v>44.65</v>
      </c>
      <c r="F36" s="12">
        <f t="shared" si="10"/>
        <v>22</v>
      </c>
      <c r="G36" s="46">
        <f t="shared" si="0"/>
        <v>19.8</v>
      </c>
      <c r="H36" s="46">
        <f t="shared" si="1"/>
        <v>64.45</v>
      </c>
      <c r="I36" s="12">
        <f t="shared" si="2"/>
        <v>62.45</v>
      </c>
      <c r="J36" s="12">
        <f t="shared" si="11"/>
        <v>0.31539867461189319</v>
      </c>
      <c r="K36" s="12">
        <f t="shared" si="12"/>
        <v>10.163722289368259</v>
      </c>
      <c r="L36" s="12">
        <f t="shared" si="3"/>
        <v>9.8483236147563655</v>
      </c>
      <c r="M36" s="18"/>
    </row>
    <row r="37" spans="1:13" x14ac:dyDescent="0.3">
      <c r="A37" s="19">
        <f t="shared" si="13"/>
        <v>26</v>
      </c>
      <c r="B37" s="12">
        <f t="shared" si="13"/>
        <v>2040</v>
      </c>
      <c r="C37" s="12">
        <f t="shared" si="8"/>
        <v>2</v>
      </c>
      <c r="D37" s="12">
        <f t="shared" si="9"/>
        <v>47</v>
      </c>
      <c r="E37" s="46">
        <f t="shared" si="5"/>
        <v>44.65</v>
      </c>
      <c r="F37" s="12">
        <f t="shared" si="10"/>
        <v>22</v>
      </c>
      <c r="G37" s="46">
        <f t="shared" si="0"/>
        <v>19.8</v>
      </c>
      <c r="H37" s="46">
        <f t="shared" si="1"/>
        <v>64.45</v>
      </c>
      <c r="I37" s="12">
        <f t="shared" si="2"/>
        <v>62.45</v>
      </c>
      <c r="J37" s="12">
        <f t="shared" si="11"/>
        <v>0.292035809825827</v>
      </c>
      <c r="K37" s="12">
        <f t="shared" si="12"/>
        <v>9.410853971637275</v>
      </c>
      <c r="L37" s="12">
        <f t="shared" si="3"/>
        <v>9.1188181618114488</v>
      </c>
      <c r="M37" s="18"/>
    </row>
    <row r="38" spans="1:13" x14ac:dyDescent="0.3">
      <c r="A38" s="19">
        <f t="shared" si="13"/>
        <v>27</v>
      </c>
      <c r="B38" s="12">
        <f t="shared" si="13"/>
        <v>2041</v>
      </c>
      <c r="C38" s="12">
        <f t="shared" si="8"/>
        <v>2</v>
      </c>
      <c r="D38" s="12">
        <f t="shared" si="9"/>
        <v>47</v>
      </c>
      <c r="E38" s="46">
        <f t="shared" si="5"/>
        <v>44.65</v>
      </c>
      <c r="F38" s="12">
        <f t="shared" si="10"/>
        <v>22</v>
      </c>
      <c r="G38" s="46">
        <f t="shared" si="0"/>
        <v>19.8</v>
      </c>
      <c r="H38" s="46">
        <f t="shared" si="1"/>
        <v>64.45</v>
      </c>
      <c r="I38" s="12">
        <f t="shared" si="2"/>
        <v>62.45</v>
      </c>
      <c r="J38" s="12">
        <f t="shared" si="11"/>
        <v>0.27040352761650649</v>
      </c>
      <c r="K38" s="12">
        <f t="shared" si="12"/>
        <v>8.7137536774419218</v>
      </c>
      <c r="L38" s="12">
        <f t="shared" si="3"/>
        <v>8.4433501498254149</v>
      </c>
      <c r="M38" s="18"/>
    </row>
    <row r="39" spans="1:13" x14ac:dyDescent="0.3">
      <c r="A39" s="19">
        <f t="shared" si="13"/>
        <v>28</v>
      </c>
      <c r="B39" s="12">
        <f t="shared" si="13"/>
        <v>2042</v>
      </c>
      <c r="C39" s="12">
        <f t="shared" si="8"/>
        <v>2</v>
      </c>
      <c r="D39" s="12">
        <f t="shared" si="9"/>
        <v>47</v>
      </c>
      <c r="E39" s="46">
        <f t="shared" si="5"/>
        <v>44.65</v>
      </c>
      <c r="F39" s="12">
        <f t="shared" si="10"/>
        <v>22</v>
      </c>
      <c r="G39" s="46">
        <f t="shared" si="0"/>
        <v>19.8</v>
      </c>
      <c r="H39" s="46">
        <f t="shared" si="1"/>
        <v>64.45</v>
      </c>
      <c r="I39" s="12">
        <f t="shared" si="2"/>
        <v>62.45</v>
      </c>
      <c r="J39" s="12">
        <f t="shared" si="11"/>
        <v>0.25037363668195045</v>
      </c>
      <c r="K39" s="12">
        <f t="shared" si="12"/>
        <v>8.0682904420758543</v>
      </c>
      <c r="L39" s="12">
        <f t="shared" si="3"/>
        <v>7.8179168053939039</v>
      </c>
      <c r="M39" s="18"/>
    </row>
    <row r="40" spans="1:13" x14ac:dyDescent="0.3">
      <c r="A40" s="19">
        <f t="shared" si="13"/>
        <v>29</v>
      </c>
      <c r="B40" s="12">
        <f t="shared" si="13"/>
        <v>2043</v>
      </c>
      <c r="C40" s="12">
        <f t="shared" si="8"/>
        <v>2</v>
      </c>
      <c r="D40" s="12">
        <f t="shared" si="9"/>
        <v>47</v>
      </c>
      <c r="E40" s="46">
        <f t="shared" si="5"/>
        <v>44.65</v>
      </c>
      <c r="F40" s="12">
        <f t="shared" si="10"/>
        <v>22</v>
      </c>
      <c r="G40" s="46">
        <f t="shared" si="0"/>
        <v>19.8</v>
      </c>
      <c r="H40" s="46">
        <f t="shared" si="1"/>
        <v>64.45</v>
      </c>
      <c r="I40" s="12">
        <f t="shared" si="2"/>
        <v>62.45</v>
      </c>
      <c r="J40" s="12">
        <f t="shared" si="11"/>
        <v>0.23182744137217634</v>
      </c>
      <c r="K40" s="12">
        <f t="shared" si="12"/>
        <v>7.4706392982183827</v>
      </c>
      <c r="L40" s="12">
        <f t="shared" si="3"/>
        <v>7.2388118568462065</v>
      </c>
      <c r="M40" s="18"/>
    </row>
    <row r="41" spans="1:13" x14ac:dyDescent="0.3">
      <c r="A41" s="19">
        <f t="shared" si="13"/>
        <v>30</v>
      </c>
      <c r="B41" s="12">
        <f t="shared" si="13"/>
        <v>2044</v>
      </c>
      <c r="C41" s="12">
        <f t="shared" si="8"/>
        <v>2</v>
      </c>
      <c r="D41" s="12">
        <f t="shared" si="9"/>
        <v>47</v>
      </c>
      <c r="E41" s="46">
        <f t="shared" si="5"/>
        <v>44.65</v>
      </c>
      <c r="F41" s="12">
        <f t="shared" si="10"/>
        <v>22</v>
      </c>
      <c r="G41" s="46">
        <f t="shared" si="0"/>
        <v>19.8</v>
      </c>
      <c r="H41" s="46">
        <f t="shared" si="1"/>
        <v>64.45</v>
      </c>
      <c r="I41" s="12">
        <f t="shared" si="2"/>
        <v>62.45</v>
      </c>
      <c r="J41" s="12">
        <f t="shared" si="11"/>
        <v>0.21465503830757068</v>
      </c>
      <c r="K41" s="12">
        <f t="shared" si="12"/>
        <v>6.9172586094614656</v>
      </c>
      <c r="L41" s="12">
        <f t="shared" si="3"/>
        <v>6.7026035711538947</v>
      </c>
      <c r="M41" s="18"/>
    </row>
    <row r="42" spans="1:13" x14ac:dyDescent="0.3">
      <c r="A42" s="19">
        <f t="shared" si="13"/>
        <v>31</v>
      </c>
      <c r="B42" s="12">
        <f t="shared" si="13"/>
        <v>2045</v>
      </c>
      <c r="C42" s="12">
        <f>C41</f>
        <v>2</v>
      </c>
      <c r="D42" s="12">
        <f t="shared" si="9"/>
        <v>47</v>
      </c>
      <c r="E42" s="46">
        <f t="shared" si="5"/>
        <v>44.65</v>
      </c>
      <c r="F42" s="12">
        <f t="shared" si="10"/>
        <v>22</v>
      </c>
      <c r="G42" s="46">
        <f t="shared" si="0"/>
        <v>19.8</v>
      </c>
      <c r="H42" s="46">
        <f t="shared" si="1"/>
        <v>64.45</v>
      </c>
      <c r="I42" s="12">
        <f t="shared" si="2"/>
        <v>62.45</v>
      </c>
      <c r="J42" s="12">
        <f t="shared" si="11"/>
        <v>0.19875466509960246</v>
      </c>
      <c r="K42" s="12">
        <f t="shared" si="12"/>
        <v>6.404869082834689</v>
      </c>
      <c r="L42" s="12">
        <f t="shared" si="3"/>
        <v>6.2061144177350869</v>
      </c>
      <c r="M42" s="18"/>
    </row>
    <row r="43" spans="1:13" x14ac:dyDescent="0.3">
      <c r="A43" s="12"/>
      <c r="B43" s="19" t="s">
        <v>19</v>
      </c>
      <c r="C43" s="19">
        <f t="shared" ref="C43:L43" si="14">SUM(C12:C42)</f>
        <v>760</v>
      </c>
      <c r="D43" s="19">
        <f>SUM(D12:D42)</f>
        <v>1410</v>
      </c>
      <c r="E43" s="47">
        <f>SUM(E12:E42)</f>
        <v>1339.5000000000002</v>
      </c>
      <c r="F43" s="47">
        <f t="shared" ref="F43:G43" si="15">SUM(F12:F42)</f>
        <v>660</v>
      </c>
      <c r="G43" s="47">
        <f t="shared" si="15"/>
        <v>594</v>
      </c>
      <c r="H43" s="47">
        <f>SUM(H12:H42)</f>
        <v>1933.5000000000009</v>
      </c>
      <c r="I43" s="19">
        <f t="shared" si="14"/>
        <v>1173.5000000000005</v>
      </c>
      <c r="J43" s="19">
        <f t="shared" si="14"/>
        <v>720.60876832301892</v>
      </c>
      <c r="K43" s="19">
        <f t="shared" si="14"/>
        <v>649.38418429540684</v>
      </c>
      <c r="L43" s="20">
        <f t="shared" si="14"/>
        <v>-71.224584027612082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0.90116053653723371</v>
      </c>
      <c r="M44" s="40" t="s">
        <v>9</v>
      </c>
    </row>
    <row r="45" spans="1:13" ht="41.4" customHeight="1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-9.9674627317470899E-3</v>
      </c>
      <c r="M45" s="41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57" x14ac:dyDescent="0.3">
      <c r="A66" s="34" t="s">
        <v>67</v>
      </c>
      <c r="B66" s="10">
        <v>0</v>
      </c>
      <c r="C66" s="30"/>
      <c r="D66" s="37" t="s">
        <v>59</v>
      </c>
      <c r="E66" s="25">
        <f>L107</f>
        <v>-160.95036933844747</v>
      </c>
      <c r="F66" s="24" t="s">
        <v>7</v>
      </c>
    </row>
    <row r="67" spans="1:12" ht="46.8" x14ac:dyDescent="0.3">
      <c r="A67" s="34" t="s">
        <v>8</v>
      </c>
      <c r="B67" s="23" t="s">
        <v>33</v>
      </c>
      <c r="D67" s="37" t="s">
        <v>9</v>
      </c>
      <c r="E67" s="51">
        <f>L108</f>
        <v>0.77560493176535028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53</v>
      </c>
      <c r="E68" s="26">
        <f>L109</f>
        <v>-2.5850366591509077E-2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700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-700</v>
      </c>
      <c r="J76" s="12">
        <v>700</v>
      </c>
      <c r="K76" s="12">
        <v>0</v>
      </c>
      <c r="L76" s="12">
        <f t="shared" ref="L76:L106" si="16">K76-J76</f>
        <v>-700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7">F77*0.9</f>
        <v>19.8</v>
      </c>
      <c r="H77" s="46">
        <f t="shared" ref="H77:H106" si="18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si="16"/>
        <v>55.758928571428569</v>
      </c>
    </row>
    <row r="78" spans="1:12" x14ac:dyDescent="0.3">
      <c r="A78" s="19">
        <f t="shared" ref="A78:B93" si="19">A77+1</f>
        <v>3</v>
      </c>
      <c r="B78" s="12">
        <f t="shared" si="19"/>
        <v>2017</v>
      </c>
      <c r="C78" s="12">
        <f>C77</f>
        <v>2</v>
      </c>
      <c r="D78" s="12">
        <f>D77*(1+$B$66)</f>
        <v>47</v>
      </c>
      <c r="E78" s="46">
        <f t="shared" ref="E78:E106" si="20">D78*0.95</f>
        <v>44.65</v>
      </c>
      <c r="F78" s="12">
        <f>F77*(1+$B$66)</f>
        <v>22</v>
      </c>
      <c r="G78" s="46">
        <f t="shared" si="17"/>
        <v>19.8</v>
      </c>
      <c r="H78" s="46">
        <f t="shared" si="18"/>
        <v>64.45</v>
      </c>
      <c r="I78" s="12">
        <f t="shared" ref="I78:I106" si="21">H78-C78</f>
        <v>62.45</v>
      </c>
      <c r="J78" s="12">
        <f t="shared" ref="J78:J90" si="22">(C78)/((1+0.12)^($A78-1))</f>
        <v>1.5943877551020407</v>
      </c>
      <c r="K78" s="12">
        <f t="shared" ref="K78:K91" si="23">(H78)/((1+0.12)^($A78-1))</f>
        <v>51.379145408163261</v>
      </c>
      <c r="L78" s="12">
        <f t="shared" si="16"/>
        <v>49.78475765306122</v>
      </c>
    </row>
    <row r="79" spans="1:12" x14ac:dyDescent="0.3">
      <c r="A79" s="19">
        <f t="shared" si="19"/>
        <v>4</v>
      </c>
      <c r="B79" s="12">
        <f t="shared" si="19"/>
        <v>2018</v>
      </c>
      <c r="C79" s="12">
        <f t="shared" ref="C79:C105" si="24">C78</f>
        <v>2</v>
      </c>
      <c r="D79" s="12">
        <f t="shared" ref="D79:D106" si="25">D78*(1+$B$66)</f>
        <v>47</v>
      </c>
      <c r="E79" s="46">
        <f t="shared" si="20"/>
        <v>44.65</v>
      </c>
      <c r="F79" s="12">
        <f t="shared" ref="F79:F106" si="26">F78*(1+$B$66)</f>
        <v>22</v>
      </c>
      <c r="G79" s="46">
        <f t="shared" si="17"/>
        <v>19.8</v>
      </c>
      <c r="H79" s="46">
        <f t="shared" si="18"/>
        <v>64.45</v>
      </c>
      <c r="I79" s="12">
        <f t="shared" si="21"/>
        <v>62.45</v>
      </c>
      <c r="J79" s="12">
        <f t="shared" si="22"/>
        <v>1.4235604956268217</v>
      </c>
      <c r="K79" s="12">
        <f t="shared" si="23"/>
        <v>45.874236971574334</v>
      </c>
      <c r="L79" s="12">
        <f t="shared" si="16"/>
        <v>44.45067647594751</v>
      </c>
    </row>
    <row r="80" spans="1:12" x14ac:dyDescent="0.3">
      <c r="A80" s="19">
        <f t="shared" si="19"/>
        <v>5</v>
      </c>
      <c r="B80" s="12">
        <f t="shared" si="19"/>
        <v>2019</v>
      </c>
      <c r="C80" s="12">
        <f t="shared" si="24"/>
        <v>2</v>
      </c>
      <c r="D80" s="12">
        <f t="shared" si="25"/>
        <v>47</v>
      </c>
      <c r="E80" s="46">
        <f t="shared" si="20"/>
        <v>44.65</v>
      </c>
      <c r="F80" s="12">
        <f t="shared" si="26"/>
        <v>22</v>
      </c>
      <c r="G80" s="46">
        <f t="shared" si="17"/>
        <v>19.8</v>
      </c>
      <c r="H80" s="46">
        <f t="shared" si="18"/>
        <v>64.45</v>
      </c>
      <c r="I80" s="12">
        <f t="shared" si="21"/>
        <v>62.45</v>
      </c>
      <c r="J80" s="12">
        <f t="shared" si="22"/>
        <v>1.2710361568096624</v>
      </c>
      <c r="K80" s="12">
        <f t="shared" si="23"/>
        <v>40.95914015319137</v>
      </c>
      <c r="L80" s="12">
        <f t="shared" si="16"/>
        <v>39.688103996381706</v>
      </c>
    </row>
    <row r="81" spans="1:12" x14ac:dyDescent="0.3">
      <c r="A81" s="19">
        <f t="shared" si="19"/>
        <v>6</v>
      </c>
      <c r="B81" s="12">
        <f t="shared" si="19"/>
        <v>2020</v>
      </c>
      <c r="C81" s="12">
        <f t="shared" si="24"/>
        <v>2</v>
      </c>
      <c r="D81" s="12">
        <f t="shared" si="25"/>
        <v>47</v>
      </c>
      <c r="E81" s="46">
        <f t="shared" si="20"/>
        <v>44.65</v>
      </c>
      <c r="F81" s="12">
        <f t="shared" si="26"/>
        <v>22</v>
      </c>
      <c r="G81" s="46">
        <f t="shared" si="17"/>
        <v>19.8</v>
      </c>
      <c r="H81" s="46">
        <f t="shared" si="18"/>
        <v>64.45</v>
      </c>
      <c r="I81" s="12">
        <f t="shared" si="21"/>
        <v>62.45</v>
      </c>
      <c r="J81" s="12">
        <f t="shared" si="22"/>
        <v>1.1348537114371984</v>
      </c>
      <c r="K81" s="12">
        <f t="shared" si="23"/>
        <v>36.570660851063721</v>
      </c>
      <c r="L81" s="12">
        <f t="shared" si="16"/>
        <v>35.435807139626526</v>
      </c>
    </row>
    <row r="82" spans="1:12" x14ac:dyDescent="0.3">
      <c r="A82" s="19">
        <f t="shared" si="19"/>
        <v>7</v>
      </c>
      <c r="B82" s="12">
        <f t="shared" si="19"/>
        <v>2021</v>
      </c>
      <c r="C82" s="12">
        <f t="shared" si="24"/>
        <v>2</v>
      </c>
      <c r="D82" s="12">
        <f t="shared" si="25"/>
        <v>47</v>
      </c>
      <c r="E82" s="46">
        <f t="shared" si="20"/>
        <v>44.65</v>
      </c>
      <c r="F82" s="12">
        <f t="shared" si="26"/>
        <v>22</v>
      </c>
      <c r="G82" s="46">
        <f t="shared" si="17"/>
        <v>19.8</v>
      </c>
      <c r="H82" s="46">
        <f t="shared" si="18"/>
        <v>64.45</v>
      </c>
      <c r="I82" s="12">
        <f t="shared" si="21"/>
        <v>62.45</v>
      </c>
      <c r="J82" s="12">
        <f t="shared" si="22"/>
        <v>1.0132622423546414</v>
      </c>
      <c r="K82" s="12">
        <f t="shared" si="23"/>
        <v>32.652375759878318</v>
      </c>
      <c r="L82" s="12">
        <f t="shared" si="16"/>
        <v>31.639113517523676</v>
      </c>
    </row>
    <row r="83" spans="1:12" x14ac:dyDescent="0.3">
      <c r="A83" s="19">
        <f t="shared" si="19"/>
        <v>8</v>
      </c>
      <c r="B83" s="12">
        <f t="shared" si="19"/>
        <v>2022</v>
      </c>
      <c r="C83" s="12">
        <f t="shared" si="24"/>
        <v>2</v>
      </c>
      <c r="D83" s="12">
        <f t="shared" si="25"/>
        <v>47</v>
      </c>
      <c r="E83" s="46">
        <f t="shared" si="20"/>
        <v>44.65</v>
      </c>
      <c r="F83" s="12">
        <f t="shared" si="26"/>
        <v>22</v>
      </c>
      <c r="G83" s="46">
        <f t="shared" si="17"/>
        <v>19.8</v>
      </c>
      <c r="H83" s="46">
        <f t="shared" si="18"/>
        <v>64.45</v>
      </c>
      <c r="I83" s="12">
        <f t="shared" si="21"/>
        <v>62.45</v>
      </c>
      <c r="J83" s="12">
        <f t="shared" si="22"/>
        <v>0.90469843067378686</v>
      </c>
      <c r="K83" s="12">
        <f t="shared" si="23"/>
        <v>29.153906928462785</v>
      </c>
      <c r="L83" s="12">
        <f t="shared" si="16"/>
        <v>28.249208497788999</v>
      </c>
    </row>
    <row r="84" spans="1:12" x14ac:dyDescent="0.3">
      <c r="A84" s="19">
        <f t="shared" si="19"/>
        <v>9</v>
      </c>
      <c r="B84" s="12">
        <f t="shared" si="19"/>
        <v>2023</v>
      </c>
      <c r="C84" s="12">
        <f t="shared" si="24"/>
        <v>2</v>
      </c>
      <c r="D84" s="12">
        <f t="shared" si="25"/>
        <v>47</v>
      </c>
      <c r="E84" s="46">
        <f t="shared" si="20"/>
        <v>44.65</v>
      </c>
      <c r="F84" s="12">
        <f t="shared" si="26"/>
        <v>22</v>
      </c>
      <c r="G84" s="46">
        <f t="shared" si="17"/>
        <v>19.8</v>
      </c>
      <c r="H84" s="46">
        <f t="shared" si="18"/>
        <v>64.45</v>
      </c>
      <c r="I84" s="12">
        <f t="shared" si="21"/>
        <v>62.45</v>
      </c>
      <c r="J84" s="12">
        <f t="shared" si="22"/>
        <v>0.80776645595873819</v>
      </c>
      <c r="K84" s="12">
        <f t="shared" si="23"/>
        <v>26.030274043270342</v>
      </c>
      <c r="L84" s="12">
        <f t="shared" si="16"/>
        <v>25.222507587311604</v>
      </c>
    </row>
    <row r="85" spans="1:12" x14ac:dyDescent="0.3">
      <c r="A85" s="19">
        <f t="shared" si="19"/>
        <v>10</v>
      </c>
      <c r="B85" s="12">
        <f t="shared" si="19"/>
        <v>2024</v>
      </c>
      <c r="C85" s="12">
        <f t="shared" si="24"/>
        <v>2</v>
      </c>
      <c r="D85" s="12">
        <f t="shared" si="25"/>
        <v>47</v>
      </c>
      <c r="E85" s="46">
        <f t="shared" si="20"/>
        <v>44.65</v>
      </c>
      <c r="F85" s="12">
        <f t="shared" si="26"/>
        <v>22</v>
      </c>
      <c r="G85" s="46">
        <f t="shared" si="17"/>
        <v>19.8</v>
      </c>
      <c r="H85" s="46">
        <f t="shared" si="18"/>
        <v>64.45</v>
      </c>
      <c r="I85" s="12">
        <f t="shared" si="21"/>
        <v>62.45</v>
      </c>
      <c r="J85" s="12">
        <f t="shared" si="22"/>
        <v>0.72122004996315914</v>
      </c>
      <c r="K85" s="12">
        <f t="shared" si="23"/>
        <v>23.241316110062805</v>
      </c>
      <c r="L85" s="12">
        <f t="shared" si="16"/>
        <v>22.520096060099647</v>
      </c>
    </row>
    <row r="86" spans="1:12" x14ac:dyDescent="0.3">
      <c r="A86" s="19">
        <f t="shared" si="19"/>
        <v>11</v>
      </c>
      <c r="B86" s="12">
        <f t="shared" si="19"/>
        <v>2025</v>
      </c>
      <c r="C86" s="12">
        <f t="shared" si="24"/>
        <v>2</v>
      </c>
      <c r="D86" s="12">
        <f t="shared" si="25"/>
        <v>47</v>
      </c>
      <c r="E86" s="46">
        <f t="shared" si="20"/>
        <v>44.65</v>
      </c>
      <c r="F86" s="12">
        <f t="shared" si="26"/>
        <v>22</v>
      </c>
      <c r="G86" s="46">
        <f t="shared" si="17"/>
        <v>19.8</v>
      </c>
      <c r="H86" s="46">
        <f t="shared" si="18"/>
        <v>64.45</v>
      </c>
      <c r="I86" s="12">
        <f t="shared" si="21"/>
        <v>62.45</v>
      </c>
      <c r="J86" s="12">
        <f t="shared" si="22"/>
        <v>0.64394647318139198</v>
      </c>
      <c r="K86" s="12">
        <f t="shared" si="23"/>
        <v>20.751175098270359</v>
      </c>
      <c r="L86" s="12">
        <f t="shared" si="16"/>
        <v>20.107228625088968</v>
      </c>
    </row>
    <row r="87" spans="1:12" x14ac:dyDescent="0.3">
      <c r="A87" s="19">
        <f t="shared" si="19"/>
        <v>12</v>
      </c>
      <c r="B87" s="12">
        <f t="shared" si="19"/>
        <v>2026</v>
      </c>
      <c r="C87" s="12">
        <f t="shared" si="24"/>
        <v>2</v>
      </c>
      <c r="D87" s="12">
        <f t="shared" si="25"/>
        <v>47</v>
      </c>
      <c r="E87" s="46">
        <f t="shared" si="20"/>
        <v>44.65</v>
      </c>
      <c r="F87" s="12">
        <f t="shared" si="26"/>
        <v>22</v>
      </c>
      <c r="G87" s="46">
        <f t="shared" si="17"/>
        <v>19.8</v>
      </c>
      <c r="H87" s="46">
        <f t="shared" si="18"/>
        <v>64.45</v>
      </c>
      <c r="I87" s="12">
        <f t="shared" si="21"/>
        <v>62.45</v>
      </c>
      <c r="J87" s="12">
        <f t="shared" si="22"/>
        <v>0.57495220819767134</v>
      </c>
      <c r="K87" s="12">
        <f t="shared" si="23"/>
        <v>18.527834909169961</v>
      </c>
      <c r="L87" s="12">
        <f>K87-J87</f>
        <v>17.952882700972289</v>
      </c>
    </row>
    <row r="88" spans="1:12" x14ac:dyDescent="0.3">
      <c r="A88" s="19">
        <f t="shared" si="19"/>
        <v>13</v>
      </c>
      <c r="B88" s="12">
        <f t="shared" si="19"/>
        <v>2027</v>
      </c>
      <c r="C88" s="12">
        <f t="shared" si="24"/>
        <v>2</v>
      </c>
      <c r="D88" s="12">
        <f t="shared" si="25"/>
        <v>47</v>
      </c>
      <c r="E88" s="46">
        <f t="shared" si="20"/>
        <v>44.65</v>
      </c>
      <c r="F88" s="12">
        <f t="shared" si="26"/>
        <v>22</v>
      </c>
      <c r="G88" s="46">
        <f t="shared" si="17"/>
        <v>19.8</v>
      </c>
      <c r="H88" s="46">
        <f t="shared" si="18"/>
        <v>64.45</v>
      </c>
      <c r="I88" s="12">
        <f t="shared" si="21"/>
        <v>62.45</v>
      </c>
      <c r="J88" s="12">
        <f t="shared" si="22"/>
        <v>0.51335018589077808</v>
      </c>
      <c r="K88" s="12">
        <f t="shared" si="23"/>
        <v>16.542709740330324</v>
      </c>
      <c r="L88" s="12">
        <f t="shared" si="16"/>
        <v>16.029359554439544</v>
      </c>
    </row>
    <row r="89" spans="1:12" x14ac:dyDescent="0.3">
      <c r="A89" s="19">
        <f t="shared" si="19"/>
        <v>14</v>
      </c>
      <c r="B89" s="12">
        <f t="shared" si="19"/>
        <v>2028</v>
      </c>
      <c r="C89" s="12">
        <f t="shared" si="24"/>
        <v>2</v>
      </c>
      <c r="D89" s="12">
        <f t="shared" si="25"/>
        <v>47</v>
      </c>
      <c r="E89" s="46">
        <f t="shared" si="20"/>
        <v>44.65</v>
      </c>
      <c r="F89" s="12">
        <f t="shared" si="26"/>
        <v>22</v>
      </c>
      <c r="G89" s="46">
        <f t="shared" si="17"/>
        <v>19.8</v>
      </c>
      <c r="H89" s="46">
        <f t="shared" si="18"/>
        <v>64.45</v>
      </c>
      <c r="I89" s="12">
        <f t="shared" si="21"/>
        <v>62.45</v>
      </c>
      <c r="J89" s="12">
        <f t="shared" si="22"/>
        <v>0.45834838025962316</v>
      </c>
      <c r="K89" s="12">
        <f t="shared" si="23"/>
        <v>14.770276553866356</v>
      </c>
      <c r="L89" s="12">
        <f t="shared" si="16"/>
        <v>14.311928173606733</v>
      </c>
    </row>
    <row r="90" spans="1:12" x14ac:dyDescent="0.3">
      <c r="A90" s="19">
        <f t="shared" si="19"/>
        <v>15</v>
      </c>
      <c r="B90" s="12">
        <f t="shared" si="19"/>
        <v>2029</v>
      </c>
      <c r="C90" s="12">
        <f t="shared" si="24"/>
        <v>2</v>
      </c>
      <c r="D90" s="12">
        <f t="shared" si="25"/>
        <v>47</v>
      </c>
      <c r="E90" s="46">
        <f t="shared" si="20"/>
        <v>44.65</v>
      </c>
      <c r="F90" s="12">
        <f t="shared" si="26"/>
        <v>22</v>
      </c>
      <c r="G90" s="46">
        <f t="shared" si="17"/>
        <v>19.8</v>
      </c>
      <c r="H90" s="46">
        <f t="shared" si="18"/>
        <v>64.45</v>
      </c>
      <c r="I90" s="12">
        <f t="shared" si="21"/>
        <v>62.45</v>
      </c>
      <c r="J90" s="12">
        <f t="shared" si="22"/>
        <v>0.40923962523180635</v>
      </c>
      <c r="K90" s="12">
        <f t="shared" si="23"/>
        <v>13.187746923094961</v>
      </c>
      <c r="L90" s="12">
        <f t="shared" si="16"/>
        <v>12.778507297863154</v>
      </c>
    </row>
    <row r="91" spans="1:12" x14ac:dyDescent="0.3">
      <c r="A91" s="19">
        <f t="shared" si="19"/>
        <v>16</v>
      </c>
      <c r="B91" s="12">
        <f t="shared" si="19"/>
        <v>2030</v>
      </c>
      <c r="C91" s="12">
        <f t="shared" si="24"/>
        <v>2</v>
      </c>
      <c r="D91" s="12">
        <f t="shared" si="25"/>
        <v>47</v>
      </c>
      <c r="E91" s="46">
        <f t="shared" si="20"/>
        <v>44.65</v>
      </c>
      <c r="F91" s="12">
        <f t="shared" si="26"/>
        <v>22</v>
      </c>
      <c r="G91" s="46">
        <f t="shared" si="17"/>
        <v>19.8</v>
      </c>
      <c r="H91" s="46">
        <f t="shared" si="18"/>
        <v>64.45</v>
      </c>
      <c r="I91" s="12">
        <f t="shared" si="21"/>
        <v>62.45</v>
      </c>
      <c r="J91" s="12">
        <f>(C91)/((1+0.12)^($A91-1))</f>
        <v>0.36539252252839854</v>
      </c>
      <c r="K91" s="12">
        <f t="shared" si="23"/>
        <v>11.774774038477645</v>
      </c>
      <c r="L91" s="12">
        <f t="shared" si="16"/>
        <v>11.409381515949246</v>
      </c>
    </row>
    <row r="92" spans="1:12" x14ac:dyDescent="0.3">
      <c r="A92" s="19">
        <f t="shared" si="19"/>
        <v>17</v>
      </c>
      <c r="B92" s="12">
        <f t="shared" si="19"/>
        <v>2031</v>
      </c>
      <c r="C92" s="12">
        <f t="shared" si="24"/>
        <v>2</v>
      </c>
      <c r="D92" s="12">
        <f t="shared" si="25"/>
        <v>47</v>
      </c>
      <c r="E92" s="46">
        <f t="shared" si="20"/>
        <v>44.65</v>
      </c>
      <c r="F92" s="12">
        <f t="shared" si="26"/>
        <v>22</v>
      </c>
      <c r="G92" s="46">
        <f t="shared" si="17"/>
        <v>19.8</v>
      </c>
      <c r="H92" s="46">
        <f t="shared" si="18"/>
        <v>64.45</v>
      </c>
      <c r="I92" s="12">
        <f t="shared" si="21"/>
        <v>62.45</v>
      </c>
      <c r="J92" s="12">
        <f t="shared" ref="J92:J106" si="27">(C92)/((1+0.1)^($A92-1))</f>
        <v>0.43525827158029706</v>
      </c>
      <c r="K92" s="12">
        <f t="shared" ref="K92:K106" si="28">(H92)/((1+0.1)^($A92-1))</f>
        <v>14.026197801675075</v>
      </c>
      <c r="L92" s="12">
        <f t="shared" si="16"/>
        <v>13.590939530094778</v>
      </c>
    </row>
    <row r="93" spans="1:12" x14ac:dyDescent="0.3">
      <c r="A93" s="19">
        <f t="shared" si="19"/>
        <v>18</v>
      </c>
      <c r="B93" s="12">
        <f t="shared" si="19"/>
        <v>2032</v>
      </c>
      <c r="C93" s="12">
        <f t="shared" si="24"/>
        <v>2</v>
      </c>
      <c r="D93" s="12">
        <f t="shared" si="25"/>
        <v>47</v>
      </c>
      <c r="E93" s="46">
        <f t="shared" si="20"/>
        <v>44.65</v>
      </c>
      <c r="F93" s="12">
        <f t="shared" si="26"/>
        <v>22</v>
      </c>
      <c r="G93" s="46">
        <f t="shared" si="17"/>
        <v>19.8</v>
      </c>
      <c r="H93" s="46">
        <f t="shared" si="18"/>
        <v>64.45</v>
      </c>
      <c r="I93" s="12">
        <f t="shared" si="21"/>
        <v>62.45</v>
      </c>
      <c r="J93" s="12">
        <f t="shared" si="27"/>
        <v>0.39568933780027005</v>
      </c>
      <c r="K93" s="12">
        <f t="shared" si="28"/>
        <v>12.751088910613703</v>
      </c>
      <c r="L93" s="12">
        <f t="shared" si="16"/>
        <v>12.355399572813432</v>
      </c>
    </row>
    <row r="94" spans="1:12" x14ac:dyDescent="0.3">
      <c r="A94" s="19">
        <f t="shared" ref="A94:B106" si="29">A93+1</f>
        <v>19</v>
      </c>
      <c r="B94" s="12">
        <f t="shared" si="29"/>
        <v>2033</v>
      </c>
      <c r="C94" s="12">
        <f t="shared" si="24"/>
        <v>2</v>
      </c>
      <c r="D94" s="12">
        <f t="shared" si="25"/>
        <v>47</v>
      </c>
      <c r="E94" s="46">
        <f t="shared" si="20"/>
        <v>44.65</v>
      </c>
      <c r="F94" s="12">
        <f t="shared" si="26"/>
        <v>22</v>
      </c>
      <c r="G94" s="46">
        <f t="shared" si="17"/>
        <v>19.8</v>
      </c>
      <c r="H94" s="46">
        <f t="shared" si="18"/>
        <v>64.45</v>
      </c>
      <c r="I94" s="12">
        <f t="shared" si="21"/>
        <v>62.45</v>
      </c>
      <c r="J94" s="12">
        <f t="shared" si="27"/>
        <v>0.35971757981842728</v>
      </c>
      <c r="K94" s="12">
        <f t="shared" si="28"/>
        <v>11.59189900964882</v>
      </c>
      <c r="L94" s="12">
        <f t="shared" si="16"/>
        <v>11.232181429830392</v>
      </c>
    </row>
    <row r="95" spans="1:12" x14ac:dyDescent="0.3">
      <c r="A95" s="19">
        <f t="shared" si="29"/>
        <v>20</v>
      </c>
      <c r="B95" s="12">
        <f t="shared" si="29"/>
        <v>2034</v>
      </c>
      <c r="C95" s="12">
        <f t="shared" si="24"/>
        <v>2</v>
      </c>
      <c r="D95" s="12">
        <f t="shared" si="25"/>
        <v>47</v>
      </c>
      <c r="E95" s="46">
        <f t="shared" si="20"/>
        <v>44.65</v>
      </c>
      <c r="F95" s="12">
        <f t="shared" si="26"/>
        <v>22</v>
      </c>
      <c r="G95" s="46">
        <f t="shared" si="17"/>
        <v>19.8</v>
      </c>
      <c r="H95" s="46">
        <f t="shared" si="18"/>
        <v>64.45</v>
      </c>
      <c r="I95" s="12">
        <f t="shared" si="21"/>
        <v>62.45</v>
      </c>
      <c r="J95" s="12">
        <f t="shared" si="27"/>
        <v>0.32701598165311563</v>
      </c>
      <c r="K95" s="12">
        <f t="shared" si="28"/>
        <v>10.538090008771652</v>
      </c>
      <c r="L95" s="12">
        <f t="shared" si="16"/>
        <v>10.211074027118537</v>
      </c>
    </row>
    <row r="96" spans="1:12" x14ac:dyDescent="0.3">
      <c r="A96" s="19">
        <f t="shared" si="29"/>
        <v>21</v>
      </c>
      <c r="B96" s="12">
        <f t="shared" si="29"/>
        <v>2035</v>
      </c>
      <c r="C96" s="12">
        <f t="shared" si="24"/>
        <v>2</v>
      </c>
      <c r="D96" s="12">
        <f t="shared" si="25"/>
        <v>47</v>
      </c>
      <c r="E96" s="46">
        <f t="shared" si="20"/>
        <v>44.65</v>
      </c>
      <c r="F96" s="12">
        <f t="shared" si="26"/>
        <v>22</v>
      </c>
      <c r="G96" s="46">
        <f t="shared" si="17"/>
        <v>19.8</v>
      </c>
      <c r="H96" s="46">
        <f t="shared" si="18"/>
        <v>64.45</v>
      </c>
      <c r="I96" s="12">
        <f t="shared" si="21"/>
        <v>62.45</v>
      </c>
      <c r="J96" s="12">
        <f t="shared" si="27"/>
        <v>0.29728725604828699</v>
      </c>
      <c r="K96" s="12">
        <f t="shared" si="28"/>
        <v>9.5800818261560483</v>
      </c>
      <c r="L96" s="12">
        <f t="shared" si="16"/>
        <v>9.282794570107761</v>
      </c>
    </row>
    <row r="97" spans="1:13" x14ac:dyDescent="0.3">
      <c r="A97" s="19">
        <f t="shared" si="29"/>
        <v>22</v>
      </c>
      <c r="B97" s="12">
        <f t="shared" si="29"/>
        <v>2036</v>
      </c>
      <c r="C97" s="12">
        <f t="shared" si="24"/>
        <v>2</v>
      </c>
      <c r="D97" s="12">
        <f t="shared" si="25"/>
        <v>47</v>
      </c>
      <c r="E97" s="46">
        <f t="shared" si="20"/>
        <v>44.65</v>
      </c>
      <c r="F97" s="12">
        <f t="shared" si="26"/>
        <v>22</v>
      </c>
      <c r="G97" s="46">
        <f t="shared" si="17"/>
        <v>19.8</v>
      </c>
      <c r="H97" s="46">
        <f t="shared" si="18"/>
        <v>64.45</v>
      </c>
      <c r="I97" s="12">
        <f t="shared" si="21"/>
        <v>62.45</v>
      </c>
      <c r="J97" s="12">
        <f t="shared" si="27"/>
        <v>0.27026114186207906</v>
      </c>
      <c r="K97" s="12">
        <f t="shared" si="28"/>
        <v>8.709165296505498</v>
      </c>
      <c r="L97" s="12">
        <f t="shared" si="16"/>
        <v>8.4389041546434189</v>
      </c>
    </row>
    <row r="98" spans="1:13" x14ac:dyDescent="0.3">
      <c r="A98" s="19">
        <f t="shared" si="29"/>
        <v>23</v>
      </c>
      <c r="B98" s="12">
        <f t="shared" si="29"/>
        <v>2037</v>
      </c>
      <c r="C98" s="12">
        <f t="shared" si="24"/>
        <v>2</v>
      </c>
      <c r="D98" s="12">
        <f t="shared" si="25"/>
        <v>47</v>
      </c>
      <c r="E98" s="46">
        <f t="shared" si="20"/>
        <v>44.65</v>
      </c>
      <c r="F98" s="12">
        <f t="shared" si="26"/>
        <v>22</v>
      </c>
      <c r="G98" s="46">
        <f t="shared" si="17"/>
        <v>19.8</v>
      </c>
      <c r="H98" s="46">
        <f t="shared" si="18"/>
        <v>64.45</v>
      </c>
      <c r="I98" s="12">
        <f t="shared" si="21"/>
        <v>62.45</v>
      </c>
      <c r="J98" s="12">
        <f t="shared" si="27"/>
        <v>0.24569194714734455</v>
      </c>
      <c r="K98" s="12">
        <f t="shared" si="28"/>
        <v>7.917422996823178</v>
      </c>
      <c r="L98" s="12">
        <f t="shared" si="16"/>
        <v>7.6717310496758335</v>
      </c>
    </row>
    <row r="99" spans="1:13" x14ac:dyDescent="0.3">
      <c r="A99" s="19">
        <f t="shared" si="29"/>
        <v>24</v>
      </c>
      <c r="B99" s="12">
        <f t="shared" si="29"/>
        <v>2038</v>
      </c>
      <c r="C99" s="12">
        <f t="shared" si="24"/>
        <v>2</v>
      </c>
      <c r="D99" s="12">
        <f t="shared" si="25"/>
        <v>47</v>
      </c>
      <c r="E99" s="46">
        <f t="shared" si="20"/>
        <v>44.65</v>
      </c>
      <c r="F99" s="12">
        <f t="shared" si="26"/>
        <v>22</v>
      </c>
      <c r="G99" s="46">
        <f t="shared" si="17"/>
        <v>19.8</v>
      </c>
      <c r="H99" s="46">
        <f t="shared" si="18"/>
        <v>64.45</v>
      </c>
      <c r="I99" s="12">
        <f t="shared" si="21"/>
        <v>62.45</v>
      </c>
      <c r="J99" s="12">
        <f t="shared" si="27"/>
        <v>0.22335631558849503</v>
      </c>
      <c r="K99" s="12">
        <f t="shared" si="28"/>
        <v>7.1976572698392527</v>
      </c>
      <c r="L99" s="12">
        <f t="shared" si="16"/>
        <v>6.9743009542507579</v>
      </c>
    </row>
    <row r="100" spans="1:13" x14ac:dyDescent="0.3">
      <c r="A100" s="19">
        <f t="shared" si="29"/>
        <v>25</v>
      </c>
      <c r="B100" s="12">
        <f t="shared" si="29"/>
        <v>2039</v>
      </c>
      <c r="C100" s="12">
        <f t="shared" si="24"/>
        <v>2</v>
      </c>
      <c r="D100" s="12">
        <f t="shared" si="25"/>
        <v>47</v>
      </c>
      <c r="E100" s="46">
        <f t="shared" si="20"/>
        <v>44.65</v>
      </c>
      <c r="F100" s="12">
        <f t="shared" si="26"/>
        <v>22</v>
      </c>
      <c r="G100" s="46">
        <f t="shared" si="17"/>
        <v>19.8</v>
      </c>
      <c r="H100" s="46">
        <f t="shared" si="18"/>
        <v>64.45</v>
      </c>
      <c r="I100" s="12">
        <f t="shared" si="21"/>
        <v>62.45</v>
      </c>
      <c r="J100" s="12">
        <f t="shared" si="27"/>
        <v>0.20305119598954097</v>
      </c>
      <c r="K100" s="12">
        <f t="shared" si="28"/>
        <v>6.5433247907629575</v>
      </c>
      <c r="L100" s="12">
        <f t="shared" si="16"/>
        <v>6.3402735947734161</v>
      </c>
    </row>
    <row r="101" spans="1:13" x14ac:dyDescent="0.3">
      <c r="A101" s="19">
        <f t="shared" si="29"/>
        <v>26</v>
      </c>
      <c r="B101" s="12">
        <f t="shared" si="29"/>
        <v>2040</v>
      </c>
      <c r="C101" s="12">
        <f t="shared" si="24"/>
        <v>2</v>
      </c>
      <c r="D101" s="12">
        <f t="shared" si="25"/>
        <v>47</v>
      </c>
      <c r="E101" s="46">
        <f t="shared" si="20"/>
        <v>44.65</v>
      </c>
      <c r="F101" s="12">
        <f t="shared" si="26"/>
        <v>22</v>
      </c>
      <c r="G101" s="46">
        <f t="shared" si="17"/>
        <v>19.8</v>
      </c>
      <c r="H101" s="46">
        <f t="shared" si="18"/>
        <v>64.45</v>
      </c>
      <c r="I101" s="12">
        <f t="shared" si="21"/>
        <v>62.45</v>
      </c>
      <c r="J101" s="12">
        <f t="shared" si="27"/>
        <v>0.1845919963541281</v>
      </c>
      <c r="K101" s="12">
        <f t="shared" si="28"/>
        <v>5.9484770825117783</v>
      </c>
      <c r="L101" s="12">
        <f t="shared" si="16"/>
        <v>5.7638850861576501</v>
      </c>
    </row>
    <row r="102" spans="1:13" x14ac:dyDescent="0.3">
      <c r="A102" s="19">
        <f t="shared" si="29"/>
        <v>27</v>
      </c>
      <c r="B102" s="12">
        <f t="shared" si="29"/>
        <v>2041</v>
      </c>
      <c r="C102" s="12">
        <f t="shared" si="24"/>
        <v>2</v>
      </c>
      <c r="D102" s="12">
        <f t="shared" si="25"/>
        <v>47</v>
      </c>
      <c r="E102" s="46">
        <f t="shared" si="20"/>
        <v>44.65</v>
      </c>
      <c r="F102" s="12">
        <f t="shared" si="26"/>
        <v>22</v>
      </c>
      <c r="G102" s="46">
        <f t="shared" si="17"/>
        <v>19.8</v>
      </c>
      <c r="H102" s="46">
        <f t="shared" si="18"/>
        <v>64.45</v>
      </c>
      <c r="I102" s="12">
        <f t="shared" si="21"/>
        <v>62.45</v>
      </c>
      <c r="J102" s="12">
        <f t="shared" si="27"/>
        <v>0.16781090577648008</v>
      </c>
      <c r="K102" s="12">
        <f t="shared" si="28"/>
        <v>5.4077064386470708</v>
      </c>
      <c r="L102" s="12">
        <f t="shared" si="16"/>
        <v>5.239895532870591</v>
      </c>
    </row>
    <row r="103" spans="1:13" x14ac:dyDescent="0.3">
      <c r="A103" s="19">
        <f t="shared" si="29"/>
        <v>28</v>
      </c>
      <c r="B103" s="12">
        <f t="shared" si="29"/>
        <v>2042</v>
      </c>
      <c r="C103" s="12">
        <f t="shared" si="24"/>
        <v>2</v>
      </c>
      <c r="D103" s="12">
        <f t="shared" si="25"/>
        <v>47</v>
      </c>
      <c r="E103" s="46">
        <f t="shared" si="20"/>
        <v>44.65</v>
      </c>
      <c r="F103" s="12">
        <f t="shared" si="26"/>
        <v>22</v>
      </c>
      <c r="G103" s="46">
        <f t="shared" si="17"/>
        <v>19.8</v>
      </c>
      <c r="H103" s="46">
        <f t="shared" si="18"/>
        <v>64.45</v>
      </c>
      <c r="I103" s="12">
        <f t="shared" si="21"/>
        <v>62.45</v>
      </c>
      <c r="J103" s="12">
        <f t="shared" si="27"/>
        <v>0.15255536888770915</v>
      </c>
      <c r="K103" s="12">
        <f t="shared" si="28"/>
        <v>4.9160967624064273</v>
      </c>
      <c r="L103" s="12">
        <f t="shared" si="16"/>
        <v>4.7635413935187181</v>
      </c>
    </row>
    <row r="104" spans="1:13" x14ac:dyDescent="0.3">
      <c r="A104" s="19">
        <f t="shared" si="29"/>
        <v>29</v>
      </c>
      <c r="B104" s="12">
        <f t="shared" si="29"/>
        <v>2043</v>
      </c>
      <c r="C104" s="12">
        <f t="shared" si="24"/>
        <v>2</v>
      </c>
      <c r="D104" s="12">
        <f t="shared" si="25"/>
        <v>47</v>
      </c>
      <c r="E104" s="46">
        <f t="shared" si="20"/>
        <v>44.65</v>
      </c>
      <c r="F104" s="12">
        <f t="shared" si="26"/>
        <v>22</v>
      </c>
      <c r="G104" s="46">
        <f t="shared" si="17"/>
        <v>19.8</v>
      </c>
      <c r="H104" s="46">
        <f t="shared" si="18"/>
        <v>64.45</v>
      </c>
      <c r="I104" s="12">
        <f t="shared" si="21"/>
        <v>62.45</v>
      </c>
      <c r="J104" s="12">
        <f t="shared" si="27"/>
        <v>0.13868669898882649</v>
      </c>
      <c r="K104" s="12">
        <f t="shared" si="28"/>
        <v>4.4691788749149337</v>
      </c>
      <c r="L104" s="12">
        <f t="shared" si="16"/>
        <v>4.330492175926107</v>
      </c>
    </row>
    <row r="105" spans="1:13" x14ac:dyDescent="0.3">
      <c r="A105" s="19">
        <f t="shared" si="29"/>
        <v>30</v>
      </c>
      <c r="B105" s="12">
        <f t="shared" si="29"/>
        <v>2044</v>
      </c>
      <c r="C105" s="12">
        <f t="shared" si="24"/>
        <v>2</v>
      </c>
      <c r="D105" s="12">
        <f t="shared" si="25"/>
        <v>47</v>
      </c>
      <c r="E105" s="46">
        <f t="shared" si="20"/>
        <v>44.65</v>
      </c>
      <c r="F105" s="12">
        <f t="shared" si="26"/>
        <v>22</v>
      </c>
      <c r="G105" s="46">
        <f t="shared" si="17"/>
        <v>19.8</v>
      </c>
      <c r="H105" s="46">
        <f t="shared" si="18"/>
        <v>64.45</v>
      </c>
      <c r="I105" s="12">
        <f t="shared" si="21"/>
        <v>62.45</v>
      </c>
      <c r="J105" s="12">
        <f t="shared" si="27"/>
        <v>0.12607881726256953</v>
      </c>
      <c r="K105" s="12">
        <f t="shared" si="28"/>
        <v>4.0628898862863041</v>
      </c>
      <c r="L105" s="12">
        <f t="shared" si="16"/>
        <v>3.9368110690237348</v>
      </c>
    </row>
    <row r="106" spans="1:13" x14ac:dyDescent="0.3">
      <c r="A106" s="19">
        <f t="shared" si="29"/>
        <v>31</v>
      </c>
      <c r="B106" s="12">
        <f t="shared" si="29"/>
        <v>2045</v>
      </c>
      <c r="C106" s="12">
        <f>C105</f>
        <v>2</v>
      </c>
      <c r="D106" s="12">
        <f t="shared" si="25"/>
        <v>47</v>
      </c>
      <c r="E106" s="46">
        <f t="shared" si="20"/>
        <v>44.65</v>
      </c>
      <c r="F106" s="12">
        <f t="shared" si="26"/>
        <v>22</v>
      </c>
      <c r="G106" s="46">
        <f t="shared" si="17"/>
        <v>19.8</v>
      </c>
      <c r="H106" s="46">
        <f t="shared" si="18"/>
        <v>64.45</v>
      </c>
      <c r="I106" s="12">
        <f t="shared" si="21"/>
        <v>62.45</v>
      </c>
      <c r="J106" s="12">
        <f t="shared" si="27"/>
        <v>0.11461710660233593</v>
      </c>
      <c r="K106" s="12">
        <f t="shared" si="28"/>
        <v>3.6935362602602755</v>
      </c>
      <c r="L106" s="12">
        <f t="shared" si="16"/>
        <v>3.5789191536579397</v>
      </c>
    </row>
    <row r="107" spans="1:13" x14ac:dyDescent="0.3">
      <c r="A107" s="44"/>
      <c r="B107" s="19" t="s">
        <v>19</v>
      </c>
      <c r="C107" s="19">
        <f>SUM(C76:C106)</f>
        <v>760</v>
      </c>
      <c r="D107" s="19">
        <f>SUM(D76:D106)</f>
        <v>1410</v>
      </c>
      <c r="E107" s="47">
        <f>SUM(E76:E106)</f>
        <v>1339.5000000000002</v>
      </c>
      <c r="F107" s="47">
        <f t="shared" ref="F107:G107" si="30">SUM(F76:F106)</f>
        <v>660</v>
      </c>
      <c r="G107" s="47">
        <f t="shared" si="30"/>
        <v>594</v>
      </c>
      <c r="H107" s="47">
        <f>SUM(H76:H106)</f>
        <v>1933.5000000000009</v>
      </c>
      <c r="I107" s="19">
        <f>SUM(I76:I106)</f>
        <v>1173.5000000000005</v>
      </c>
      <c r="J107" s="19">
        <f>SUM(J76:J106)</f>
        <v>717.26339890028999</v>
      </c>
      <c r="K107" s="48">
        <f>SUM(K76:K106)</f>
        <v>556.31302956184265</v>
      </c>
      <c r="L107" s="20">
        <f>SUM(L76:L106)</f>
        <v>-160.95036933844747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0.77560493176535028</v>
      </c>
      <c r="M108" s="40" t="s">
        <v>9</v>
      </c>
    </row>
    <row r="109" spans="1:13" ht="28.8" customHeight="1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-2.5850366591509077E-2</v>
      </c>
      <c r="M109" s="4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7CC4-2B01-42C3-A50B-9B38608DBECC}">
  <sheetPr>
    <tabColor rgb="FFFFFF00"/>
  </sheetPr>
  <dimension ref="A1:M109"/>
  <sheetViews>
    <sheetView workbookViewId="0">
      <selection activeCell="I71" sqref="I71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58.2" x14ac:dyDescent="0.3">
      <c r="A5" s="34" t="s">
        <v>66</v>
      </c>
      <c r="B5" s="10">
        <v>1.4999999999999999E-2</v>
      </c>
      <c r="C5" s="30" t="s">
        <v>68</v>
      </c>
      <c r="D5" s="5"/>
      <c r="E5" s="38" t="s">
        <v>59</v>
      </c>
      <c r="F5" s="12">
        <f>L43</f>
        <v>232.72666101923645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48</v>
      </c>
      <c r="C6" s="5"/>
      <c r="D6" s="5"/>
      <c r="E6" s="38" t="s">
        <v>9</v>
      </c>
      <c r="F6" s="67">
        <f>L44</f>
        <v>1.4470279318746286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53</v>
      </c>
      <c r="F7" s="13">
        <f>L45</f>
        <v>3.8202728771457917E-2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500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-500</v>
      </c>
      <c r="J12" s="12">
        <v>500</v>
      </c>
      <c r="K12" s="12">
        <v>0</v>
      </c>
      <c r="L12" s="12">
        <f t="shared" ref="L12:L42" si="0">K12-J12</f>
        <v>-500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1">F13*0.9</f>
        <v>19.8</v>
      </c>
      <c r="H13" s="46">
        <f t="shared" ref="H13:H42" si="2">E13+G13</f>
        <v>64.45</v>
      </c>
      <c r="I13" s="12">
        <f t="shared" ref="I13:I42" si="3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si="0"/>
        <v>54.954545454545453</v>
      </c>
      <c r="M13" s="18"/>
    </row>
    <row r="14" spans="1:13" x14ac:dyDescent="0.3">
      <c r="A14" s="19">
        <f t="shared" ref="A14:B29" si="4">A13+1</f>
        <v>3</v>
      </c>
      <c r="B14" s="12">
        <f t="shared" si="4"/>
        <v>2017</v>
      </c>
      <c r="C14" s="12">
        <f>C13</f>
        <v>2</v>
      </c>
      <c r="D14" s="12">
        <f>D13*(1+$B$5)</f>
        <v>47.704999999999998</v>
      </c>
      <c r="E14" s="46">
        <f t="shared" ref="E14:E42" si="5">D14*0.95</f>
        <v>45.319749999999999</v>
      </c>
      <c r="F14" s="12">
        <f>F13*(1+$B$5)</f>
        <v>22.33</v>
      </c>
      <c r="G14" s="46">
        <f t="shared" si="1"/>
        <v>20.096999999999998</v>
      </c>
      <c r="H14" s="46">
        <f t="shared" si="2"/>
        <v>65.416749999999993</v>
      </c>
      <c r="I14" s="12">
        <f t="shared" si="3"/>
        <v>63.416749999999993</v>
      </c>
      <c r="J14" s="12">
        <f t="shared" ref="J14:J26" si="6">(C14)/((1+0.1)^($A14-1))</f>
        <v>1.6528925619834709</v>
      </c>
      <c r="K14" s="12">
        <f t="shared" ref="K14:K26" si="7">(I14)/((1+0.1)^($A14-1))</f>
        <v>52.410537190082628</v>
      </c>
      <c r="L14" s="12">
        <f t="shared" si="0"/>
        <v>50.757644628099158</v>
      </c>
      <c r="M14" s="18"/>
    </row>
    <row r="15" spans="1:13" x14ac:dyDescent="0.3">
      <c r="A15" s="19">
        <f t="shared" si="4"/>
        <v>4</v>
      </c>
      <c r="B15" s="12">
        <f t="shared" si="4"/>
        <v>2018</v>
      </c>
      <c r="C15" s="12">
        <f t="shared" ref="C15:C41" si="8">C14</f>
        <v>2</v>
      </c>
      <c r="D15" s="12">
        <f t="shared" ref="D15:D42" si="9">D14*(1+$B$5)</f>
        <v>48.420574999999992</v>
      </c>
      <c r="E15" s="46">
        <f t="shared" si="5"/>
        <v>45.999546249999987</v>
      </c>
      <c r="F15" s="12">
        <f t="shared" ref="F15:F42" si="10">F14*(1+$B$5)</f>
        <v>22.664949999999997</v>
      </c>
      <c r="G15" s="46">
        <f t="shared" si="1"/>
        <v>20.398454999999998</v>
      </c>
      <c r="H15" s="46">
        <f t="shared" si="2"/>
        <v>66.398001249999993</v>
      </c>
      <c r="I15" s="12">
        <f t="shared" si="3"/>
        <v>64.398001249999993</v>
      </c>
      <c r="J15" s="12">
        <f t="shared" si="6"/>
        <v>1.5026296018031551</v>
      </c>
      <c r="K15" s="12">
        <f t="shared" si="7"/>
        <v>48.383171487603285</v>
      </c>
      <c r="L15" s="12">
        <f t="shared" si="0"/>
        <v>46.880541885800127</v>
      </c>
      <c r="M15" s="18"/>
    </row>
    <row r="16" spans="1:13" x14ac:dyDescent="0.3">
      <c r="A16" s="19">
        <f t="shared" si="4"/>
        <v>5</v>
      </c>
      <c r="B16" s="12">
        <f t="shared" si="4"/>
        <v>2019</v>
      </c>
      <c r="C16" s="12">
        <f t="shared" si="8"/>
        <v>2</v>
      </c>
      <c r="D16" s="12">
        <f t="shared" si="9"/>
        <v>49.146883624999987</v>
      </c>
      <c r="E16" s="46">
        <f t="shared" si="5"/>
        <v>46.689539443749986</v>
      </c>
      <c r="F16" s="12">
        <f t="shared" si="10"/>
        <v>23.004924249999995</v>
      </c>
      <c r="G16" s="46">
        <f t="shared" si="1"/>
        <v>20.704431824999997</v>
      </c>
      <c r="H16" s="46">
        <f t="shared" si="2"/>
        <v>67.393971268749979</v>
      </c>
      <c r="I16" s="12">
        <f t="shared" si="3"/>
        <v>65.393971268749979</v>
      </c>
      <c r="J16" s="12">
        <f t="shared" si="6"/>
        <v>1.366026910730141</v>
      </c>
      <c r="K16" s="12">
        <f t="shared" si="7"/>
        <v>44.664962276313069</v>
      </c>
      <c r="L16" s="12">
        <f t="shared" si="0"/>
        <v>43.298935365582928</v>
      </c>
      <c r="M16" s="18"/>
    </row>
    <row r="17" spans="1:13" x14ac:dyDescent="0.3">
      <c r="A17" s="19">
        <f t="shared" si="4"/>
        <v>6</v>
      </c>
      <c r="B17" s="12">
        <f t="shared" si="4"/>
        <v>2020</v>
      </c>
      <c r="C17" s="12">
        <f t="shared" si="8"/>
        <v>2</v>
      </c>
      <c r="D17" s="12">
        <f t="shared" si="9"/>
        <v>49.884086879374983</v>
      </c>
      <c r="E17" s="46">
        <f t="shared" si="5"/>
        <v>47.38988253540623</v>
      </c>
      <c r="F17" s="12">
        <f t="shared" si="10"/>
        <v>23.349998113749994</v>
      </c>
      <c r="G17" s="46">
        <f t="shared" si="1"/>
        <v>21.014998302374995</v>
      </c>
      <c r="H17" s="46">
        <f t="shared" si="2"/>
        <v>68.404880837781221</v>
      </c>
      <c r="I17" s="12">
        <f t="shared" si="3"/>
        <v>66.404880837781221</v>
      </c>
      <c r="J17" s="12">
        <f t="shared" si="6"/>
        <v>1.2418426461183099</v>
      </c>
      <c r="K17" s="12">
        <f t="shared" si="7"/>
        <v>41.232206467380642</v>
      </c>
      <c r="L17" s="12">
        <f t="shared" si="0"/>
        <v>39.990363821262335</v>
      </c>
      <c r="M17" s="18"/>
    </row>
    <row r="18" spans="1:13" x14ac:dyDescent="0.3">
      <c r="A18" s="19">
        <f t="shared" si="4"/>
        <v>7</v>
      </c>
      <c r="B18" s="12">
        <f t="shared" si="4"/>
        <v>2021</v>
      </c>
      <c r="C18" s="12">
        <f t="shared" si="8"/>
        <v>2</v>
      </c>
      <c r="D18" s="12">
        <f t="shared" si="9"/>
        <v>50.6323481825656</v>
      </c>
      <c r="E18" s="46">
        <f t="shared" si="5"/>
        <v>48.10073077343732</v>
      </c>
      <c r="F18" s="12">
        <f t="shared" si="10"/>
        <v>23.700248085456241</v>
      </c>
      <c r="G18" s="46">
        <f t="shared" si="1"/>
        <v>21.330223276910619</v>
      </c>
      <c r="H18" s="46">
        <f t="shared" si="2"/>
        <v>69.430954050347935</v>
      </c>
      <c r="I18" s="12">
        <f t="shared" si="3"/>
        <v>67.430954050347935</v>
      </c>
      <c r="J18" s="12">
        <f t="shared" si="6"/>
        <v>1.1289478601075544</v>
      </c>
      <c r="K18" s="12">
        <f t="shared" si="7"/>
        <v>38.063015640075562</v>
      </c>
      <c r="L18" s="12">
        <f t="shared" si="0"/>
        <v>36.934067779968011</v>
      </c>
      <c r="M18" s="18"/>
    </row>
    <row r="19" spans="1:13" x14ac:dyDescent="0.3">
      <c r="A19" s="19">
        <f t="shared" si="4"/>
        <v>8</v>
      </c>
      <c r="B19" s="12">
        <f t="shared" si="4"/>
        <v>2022</v>
      </c>
      <c r="C19" s="12">
        <f t="shared" si="8"/>
        <v>2</v>
      </c>
      <c r="D19" s="12">
        <f t="shared" si="9"/>
        <v>51.391833405304077</v>
      </c>
      <c r="E19" s="46">
        <f t="shared" si="5"/>
        <v>48.822241735038872</v>
      </c>
      <c r="F19" s="12">
        <f t="shared" si="10"/>
        <v>24.055751806738083</v>
      </c>
      <c r="G19" s="46">
        <f t="shared" si="1"/>
        <v>21.650176626064276</v>
      </c>
      <c r="H19" s="46">
        <f t="shared" si="2"/>
        <v>70.472418361103152</v>
      </c>
      <c r="I19" s="12">
        <f t="shared" si="3"/>
        <v>68.472418361103152</v>
      </c>
      <c r="J19" s="12">
        <f t="shared" si="6"/>
        <v>1.0263162364614129</v>
      </c>
      <c r="K19" s="12">
        <f t="shared" si="7"/>
        <v>35.137177356889367</v>
      </c>
      <c r="L19" s="12">
        <f t="shared" si="0"/>
        <v>34.110861120427955</v>
      </c>
      <c r="M19" s="18"/>
    </row>
    <row r="20" spans="1:13" x14ac:dyDescent="0.3">
      <c r="A20" s="19">
        <f t="shared" si="4"/>
        <v>9</v>
      </c>
      <c r="B20" s="12">
        <f t="shared" si="4"/>
        <v>2023</v>
      </c>
      <c r="C20" s="12">
        <f t="shared" si="8"/>
        <v>2</v>
      </c>
      <c r="D20" s="12">
        <f t="shared" si="9"/>
        <v>52.16271090638363</v>
      </c>
      <c r="E20" s="46">
        <f t="shared" si="5"/>
        <v>49.554575361064444</v>
      </c>
      <c r="F20" s="12">
        <f t="shared" si="10"/>
        <v>24.416588083839152</v>
      </c>
      <c r="G20" s="46">
        <f t="shared" si="1"/>
        <v>21.974929275455239</v>
      </c>
      <c r="H20" s="46">
        <f t="shared" si="2"/>
        <v>71.529504636519675</v>
      </c>
      <c r="I20" s="12">
        <f t="shared" si="3"/>
        <v>69.529504636519675</v>
      </c>
      <c r="J20" s="12">
        <f t="shared" si="6"/>
        <v>0.93301476041946629</v>
      </c>
      <c r="K20" s="12">
        <f t="shared" si="7"/>
        <v>32.436027055263288</v>
      </c>
      <c r="L20" s="12">
        <f t="shared" si="0"/>
        <v>31.50301229484382</v>
      </c>
      <c r="M20" s="18"/>
    </row>
    <row r="21" spans="1:13" x14ac:dyDescent="0.3">
      <c r="A21" s="19">
        <f t="shared" si="4"/>
        <v>10</v>
      </c>
      <c r="B21" s="12">
        <f t="shared" si="4"/>
        <v>2024</v>
      </c>
      <c r="C21" s="12">
        <f t="shared" si="8"/>
        <v>2</v>
      </c>
      <c r="D21" s="12">
        <f t="shared" si="9"/>
        <v>52.94515156997938</v>
      </c>
      <c r="E21" s="46">
        <f t="shared" si="5"/>
        <v>50.297893991480407</v>
      </c>
      <c r="F21" s="12">
        <f t="shared" si="10"/>
        <v>24.782836905096737</v>
      </c>
      <c r="G21" s="46">
        <f t="shared" si="1"/>
        <v>22.304553214587063</v>
      </c>
      <c r="H21" s="46">
        <f t="shared" si="2"/>
        <v>72.602447206067467</v>
      </c>
      <c r="I21" s="12">
        <f t="shared" si="3"/>
        <v>70.602447206067467</v>
      </c>
      <c r="J21" s="12">
        <f t="shared" si="6"/>
        <v>0.84819523674496933</v>
      </c>
      <c r="K21" s="12">
        <f t="shared" si="7"/>
        <v>29.942329711362298</v>
      </c>
      <c r="L21" s="12">
        <f t="shared" si="0"/>
        <v>29.094134474617327</v>
      </c>
      <c r="M21" s="18"/>
    </row>
    <row r="22" spans="1:13" x14ac:dyDescent="0.3">
      <c r="A22" s="19">
        <f t="shared" si="4"/>
        <v>11</v>
      </c>
      <c r="B22" s="12">
        <f t="shared" si="4"/>
        <v>2025</v>
      </c>
      <c r="C22" s="12">
        <f t="shared" si="8"/>
        <v>2</v>
      </c>
      <c r="D22" s="12">
        <f t="shared" si="9"/>
        <v>53.739328843529066</v>
      </c>
      <c r="E22" s="46">
        <f t="shared" si="5"/>
        <v>51.05236240135261</v>
      </c>
      <c r="F22" s="12">
        <f t="shared" si="10"/>
        <v>25.154579458673187</v>
      </c>
      <c r="G22" s="46">
        <f t="shared" si="1"/>
        <v>22.639121512805868</v>
      </c>
      <c r="H22" s="46">
        <f t="shared" si="2"/>
        <v>73.691483914158482</v>
      </c>
      <c r="I22" s="12">
        <f t="shared" si="3"/>
        <v>71.691483914158482</v>
      </c>
      <c r="J22" s="12">
        <f t="shared" si="6"/>
        <v>0.77108657885906295</v>
      </c>
      <c r="K22" s="12">
        <f t="shared" si="7"/>
        <v>27.640170532349003</v>
      </c>
      <c r="L22" s="12">
        <f t="shared" si="0"/>
        <v>26.869083953489941</v>
      </c>
      <c r="M22" s="18"/>
    </row>
    <row r="23" spans="1:13" x14ac:dyDescent="0.3">
      <c r="A23" s="19">
        <f t="shared" si="4"/>
        <v>12</v>
      </c>
      <c r="B23" s="12">
        <f t="shared" si="4"/>
        <v>2026</v>
      </c>
      <c r="C23" s="12">
        <f t="shared" si="8"/>
        <v>2</v>
      </c>
      <c r="D23" s="12">
        <f t="shared" si="9"/>
        <v>54.545418776181997</v>
      </c>
      <c r="E23" s="46">
        <f t="shared" si="5"/>
        <v>51.818147837372898</v>
      </c>
      <c r="F23" s="12">
        <f t="shared" si="10"/>
        <v>25.531898150553282</v>
      </c>
      <c r="G23" s="46">
        <f t="shared" si="1"/>
        <v>22.978708335497956</v>
      </c>
      <c r="H23" s="46">
        <f t="shared" si="2"/>
        <v>74.796856172870861</v>
      </c>
      <c r="I23" s="12">
        <f t="shared" si="3"/>
        <v>72.796856172870861</v>
      </c>
      <c r="J23" s="12">
        <f t="shared" si="6"/>
        <v>0.7009877989627844</v>
      </c>
      <c r="K23" s="12">
        <f t="shared" si="7"/>
        <v>25.514853990015563</v>
      </c>
      <c r="L23" s="12">
        <f t="shared" si="0"/>
        <v>24.813866191052778</v>
      </c>
      <c r="M23" s="18"/>
    </row>
    <row r="24" spans="1:13" x14ac:dyDescent="0.3">
      <c r="A24" s="19">
        <f t="shared" si="4"/>
        <v>13</v>
      </c>
      <c r="B24" s="12">
        <f t="shared" si="4"/>
        <v>2027</v>
      </c>
      <c r="C24" s="12">
        <f t="shared" si="8"/>
        <v>2</v>
      </c>
      <c r="D24" s="12">
        <f t="shared" si="9"/>
        <v>55.363600057824719</v>
      </c>
      <c r="E24" s="46">
        <f t="shared" si="5"/>
        <v>52.595420054933484</v>
      </c>
      <c r="F24" s="12">
        <f t="shared" si="10"/>
        <v>25.91487662281158</v>
      </c>
      <c r="G24" s="46">
        <f t="shared" si="1"/>
        <v>23.323388960530423</v>
      </c>
      <c r="H24" s="46">
        <f t="shared" si="2"/>
        <v>75.918809015463907</v>
      </c>
      <c r="I24" s="12">
        <f t="shared" si="3"/>
        <v>73.918809015463907</v>
      </c>
      <c r="J24" s="12">
        <f t="shared" si="6"/>
        <v>0.63726163542071312</v>
      </c>
      <c r="K24" s="12">
        <f t="shared" si="7"/>
        <v>23.55281056077294</v>
      </c>
      <c r="L24" s="12">
        <f t="shared" si="0"/>
        <v>22.915548925352226</v>
      </c>
      <c r="M24" s="18"/>
    </row>
    <row r="25" spans="1:13" x14ac:dyDescent="0.3">
      <c r="A25" s="19">
        <f t="shared" si="4"/>
        <v>14</v>
      </c>
      <c r="B25" s="12">
        <f t="shared" si="4"/>
        <v>2028</v>
      </c>
      <c r="C25" s="12">
        <f t="shared" si="8"/>
        <v>2</v>
      </c>
      <c r="D25" s="12">
        <f t="shared" si="9"/>
        <v>56.194054058692082</v>
      </c>
      <c r="E25" s="46">
        <f t="shared" si="5"/>
        <v>53.384351355757474</v>
      </c>
      <c r="F25" s="12">
        <f t="shared" si="10"/>
        <v>26.303599772153749</v>
      </c>
      <c r="G25" s="46">
        <f t="shared" si="1"/>
        <v>23.673239794938375</v>
      </c>
      <c r="H25" s="46">
        <f t="shared" si="2"/>
        <v>77.057591150695856</v>
      </c>
      <c r="I25" s="12">
        <f t="shared" si="3"/>
        <v>75.057591150695856</v>
      </c>
      <c r="J25" s="12">
        <f t="shared" si="6"/>
        <v>0.57932875947337559</v>
      </c>
      <c r="K25" s="12">
        <f t="shared" si="7"/>
        <v>21.74151058519622</v>
      </c>
      <c r="L25" s="12">
        <f t="shared" si="0"/>
        <v>21.162181825722843</v>
      </c>
      <c r="M25" s="18"/>
    </row>
    <row r="26" spans="1:13" x14ac:dyDescent="0.3">
      <c r="A26" s="19">
        <f t="shared" si="4"/>
        <v>15</v>
      </c>
      <c r="B26" s="12">
        <f t="shared" si="4"/>
        <v>2029</v>
      </c>
      <c r="C26" s="12">
        <f t="shared" si="8"/>
        <v>2</v>
      </c>
      <c r="D26" s="12">
        <f t="shared" si="9"/>
        <v>57.036964869572458</v>
      </c>
      <c r="E26" s="46">
        <f t="shared" si="5"/>
        <v>54.18511662609383</v>
      </c>
      <c r="F26" s="12">
        <f t="shared" si="10"/>
        <v>26.698153768736052</v>
      </c>
      <c r="G26" s="46">
        <f t="shared" si="1"/>
        <v>24.028338391862448</v>
      </c>
      <c r="H26" s="46">
        <f t="shared" si="2"/>
        <v>78.213455017956278</v>
      </c>
      <c r="I26" s="12">
        <f t="shared" si="3"/>
        <v>76.213455017956278</v>
      </c>
      <c r="J26" s="12">
        <f t="shared" si="6"/>
        <v>0.52666250861215946</v>
      </c>
      <c r="K26" s="12">
        <f t="shared" si="7"/>
        <v>20.069384704878413</v>
      </c>
      <c r="L26" s="12">
        <f t="shared" si="0"/>
        <v>19.542722196266254</v>
      </c>
      <c r="M26" s="18"/>
    </row>
    <row r="27" spans="1:13" x14ac:dyDescent="0.3">
      <c r="A27" s="19">
        <f t="shared" si="4"/>
        <v>16</v>
      </c>
      <c r="B27" s="12">
        <f t="shared" si="4"/>
        <v>2030</v>
      </c>
      <c r="C27" s="12">
        <f t="shared" si="8"/>
        <v>2</v>
      </c>
      <c r="D27" s="12">
        <f t="shared" si="9"/>
        <v>57.89251934261604</v>
      </c>
      <c r="E27" s="46">
        <f t="shared" si="5"/>
        <v>54.997893375485233</v>
      </c>
      <c r="F27" s="12">
        <f t="shared" si="10"/>
        <v>27.098626075267092</v>
      </c>
      <c r="G27" s="46">
        <f t="shared" si="1"/>
        <v>24.388763467740382</v>
      </c>
      <c r="H27" s="46">
        <f t="shared" si="2"/>
        <v>79.386656843225609</v>
      </c>
      <c r="I27" s="12">
        <f t="shared" si="3"/>
        <v>77.386656843225609</v>
      </c>
      <c r="J27" s="12">
        <f>(C27)/((1+0.1)^($A27-1))</f>
        <v>0.47878409873832678</v>
      </c>
      <c r="K27" s="12">
        <f>(H27)/((1+0.1)^($A27-1))</f>
        <v>19.004534474266297</v>
      </c>
      <c r="L27" s="12">
        <f t="shared" si="0"/>
        <v>18.52575037552797</v>
      </c>
      <c r="M27" s="18"/>
    </row>
    <row r="28" spans="1:13" x14ac:dyDescent="0.3">
      <c r="A28" s="19">
        <f t="shared" si="4"/>
        <v>17</v>
      </c>
      <c r="B28" s="12">
        <f t="shared" si="4"/>
        <v>2031</v>
      </c>
      <c r="C28" s="12">
        <f t="shared" si="8"/>
        <v>2</v>
      </c>
      <c r="D28" s="12">
        <f t="shared" si="9"/>
        <v>58.760907132755278</v>
      </c>
      <c r="E28" s="46">
        <f t="shared" si="5"/>
        <v>55.822861776117513</v>
      </c>
      <c r="F28" s="12">
        <f t="shared" si="10"/>
        <v>27.505105466396095</v>
      </c>
      <c r="G28" s="46">
        <f t="shared" si="1"/>
        <v>24.754594919756485</v>
      </c>
      <c r="H28" s="46">
        <f t="shared" si="2"/>
        <v>80.577456695873991</v>
      </c>
      <c r="I28" s="12">
        <f t="shared" si="3"/>
        <v>78.577456695873991</v>
      </c>
      <c r="J28" s="12">
        <f t="shared" ref="J28:J42" si="11">(C28)/((1+0.08)^($A28-1))</f>
        <v>0.58378093512201845</v>
      </c>
      <c r="K28" s="12">
        <f t="shared" ref="K28:K42" si="12">(H28)/((1+0.08)^($A28-1))</f>
        <v>23.519791509835635</v>
      </c>
      <c r="L28" s="12">
        <f t="shared" si="0"/>
        <v>22.936010574713617</v>
      </c>
      <c r="M28" s="18"/>
    </row>
    <row r="29" spans="1:13" x14ac:dyDescent="0.3">
      <c r="A29" s="19">
        <f t="shared" si="4"/>
        <v>18</v>
      </c>
      <c r="B29" s="12">
        <f t="shared" si="4"/>
        <v>2032</v>
      </c>
      <c r="C29" s="12">
        <f t="shared" si="8"/>
        <v>2</v>
      </c>
      <c r="D29" s="12">
        <f t="shared" si="9"/>
        <v>59.642320739746602</v>
      </c>
      <c r="E29" s="46">
        <f t="shared" si="5"/>
        <v>56.660204702759266</v>
      </c>
      <c r="F29" s="12">
        <f t="shared" si="10"/>
        <v>27.917682048392034</v>
      </c>
      <c r="G29" s="46">
        <f t="shared" si="1"/>
        <v>25.12591384355283</v>
      </c>
      <c r="H29" s="46">
        <f t="shared" si="2"/>
        <v>81.786118546312096</v>
      </c>
      <c r="I29" s="12">
        <f t="shared" si="3"/>
        <v>79.786118546312096</v>
      </c>
      <c r="J29" s="12">
        <f t="shared" si="11"/>
        <v>0.54053790289075787</v>
      </c>
      <c r="K29" s="12">
        <f t="shared" si="12"/>
        <v>22.104248502299228</v>
      </c>
      <c r="L29" s="12">
        <f t="shared" si="0"/>
        <v>21.56371059940847</v>
      </c>
      <c r="M29" s="18"/>
    </row>
    <row r="30" spans="1:13" x14ac:dyDescent="0.3">
      <c r="A30" s="19">
        <f t="shared" ref="A30:B42" si="13">A29+1</f>
        <v>19</v>
      </c>
      <c r="B30" s="12">
        <f t="shared" si="13"/>
        <v>2033</v>
      </c>
      <c r="C30" s="12">
        <f t="shared" si="8"/>
        <v>2</v>
      </c>
      <c r="D30" s="12">
        <f t="shared" si="9"/>
        <v>60.536955550842798</v>
      </c>
      <c r="E30" s="46">
        <f t="shared" si="5"/>
        <v>57.510107773300653</v>
      </c>
      <c r="F30" s="12">
        <f t="shared" si="10"/>
        <v>28.336447279117913</v>
      </c>
      <c r="G30" s="46">
        <f t="shared" si="1"/>
        <v>25.502802551206123</v>
      </c>
      <c r="H30" s="46">
        <f t="shared" si="2"/>
        <v>83.012910324506777</v>
      </c>
      <c r="I30" s="12">
        <f t="shared" si="3"/>
        <v>81.012910324506777</v>
      </c>
      <c r="J30" s="12">
        <f t="shared" si="11"/>
        <v>0.50049805823218307</v>
      </c>
      <c r="K30" s="12">
        <f t="shared" si="12"/>
        <v>20.773900212808993</v>
      </c>
      <c r="L30" s="12">
        <f t="shared" si="0"/>
        <v>20.273402154576811</v>
      </c>
      <c r="M30" s="18"/>
    </row>
    <row r="31" spans="1:13" x14ac:dyDescent="0.3">
      <c r="A31" s="19">
        <f t="shared" si="13"/>
        <v>20</v>
      </c>
      <c r="B31" s="12">
        <f t="shared" si="13"/>
        <v>2034</v>
      </c>
      <c r="C31" s="12">
        <f t="shared" si="8"/>
        <v>2</v>
      </c>
      <c r="D31" s="12">
        <f t="shared" si="9"/>
        <v>61.445009884105431</v>
      </c>
      <c r="E31" s="46">
        <f t="shared" si="5"/>
        <v>58.37275938990016</v>
      </c>
      <c r="F31" s="12">
        <f t="shared" si="10"/>
        <v>28.761493988304679</v>
      </c>
      <c r="G31" s="46">
        <f t="shared" si="1"/>
        <v>25.885344589474212</v>
      </c>
      <c r="H31" s="46">
        <f t="shared" si="2"/>
        <v>84.258103979374368</v>
      </c>
      <c r="I31" s="12">
        <f t="shared" si="3"/>
        <v>82.258103979374368</v>
      </c>
      <c r="J31" s="12">
        <f t="shared" si="11"/>
        <v>0.46342412799276211</v>
      </c>
      <c r="K31" s="12">
        <f t="shared" si="12"/>
        <v>19.523619181482523</v>
      </c>
      <c r="L31" s="12">
        <f t="shared" si="0"/>
        <v>19.06019505348976</v>
      </c>
      <c r="M31" s="18"/>
    </row>
    <row r="32" spans="1:13" x14ac:dyDescent="0.3">
      <c r="A32" s="19">
        <f t="shared" si="13"/>
        <v>21</v>
      </c>
      <c r="B32" s="12">
        <f t="shared" si="13"/>
        <v>2035</v>
      </c>
      <c r="C32" s="12">
        <f t="shared" si="8"/>
        <v>2</v>
      </c>
      <c r="D32" s="12">
        <f t="shared" si="9"/>
        <v>62.366685032367009</v>
      </c>
      <c r="E32" s="46">
        <f t="shared" si="5"/>
        <v>59.248350780748659</v>
      </c>
      <c r="F32" s="12">
        <f t="shared" si="10"/>
        <v>29.192916398129245</v>
      </c>
      <c r="G32" s="46">
        <f t="shared" si="1"/>
        <v>26.27362475831632</v>
      </c>
      <c r="H32" s="46">
        <f t="shared" si="2"/>
        <v>85.521975539064982</v>
      </c>
      <c r="I32" s="12">
        <f t="shared" si="3"/>
        <v>83.521975539064982</v>
      </c>
      <c r="J32" s="12">
        <f t="shared" si="11"/>
        <v>0.42909641480811306</v>
      </c>
      <c r="K32" s="12">
        <f t="shared" si="12"/>
        <v>18.348586545559964</v>
      </c>
      <c r="L32" s="12">
        <f t="shared" si="0"/>
        <v>17.91949013075185</v>
      </c>
      <c r="M32" s="18"/>
    </row>
    <row r="33" spans="1:13" x14ac:dyDescent="0.3">
      <c r="A33" s="19">
        <f t="shared" si="13"/>
        <v>22</v>
      </c>
      <c r="B33" s="12">
        <f t="shared" si="13"/>
        <v>2036</v>
      </c>
      <c r="C33" s="12">
        <f t="shared" si="8"/>
        <v>2</v>
      </c>
      <c r="D33" s="12">
        <f t="shared" si="9"/>
        <v>63.302185307852511</v>
      </c>
      <c r="E33" s="46">
        <f t="shared" si="5"/>
        <v>60.137076042459881</v>
      </c>
      <c r="F33" s="12">
        <f t="shared" si="10"/>
        <v>29.630810144101183</v>
      </c>
      <c r="G33" s="46">
        <f t="shared" si="1"/>
        <v>26.667729129691065</v>
      </c>
      <c r="H33" s="46">
        <f t="shared" si="2"/>
        <v>86.804805172150949</v>
      </c>
      <c r="I33" s="12">
        <f t="shared" si="3"/>
        <v>84.804805172150949</v>
      </c>
      <c r="J33" s="12">
        <f t="shared" si="11"/>
        <v>0.39731149519269726</v>
      </c>
      <c r="K33" s="12">
        <f t="shared" si="12"/>
        <v>17.244273466429039</v>
      </c>
      <c r="L33" s="12">
        <f t="shared" si="0"/>
        <v>16.846961971236343</v>
      </c>
      <c r="M33" s="18"/>
    </row>
    <row r="34" spans="1:13" x14ac:dyDescent="0.3">
      <c r="A34" s="19">
        <f t="shared" si="13"/>
        <v>23</v>
      </c>
      <c r="B34" s="12">
        <f t="shared" si="13"/>
        <v>2037</v>
      </c>
      <c r="C34" s="12">
        <f t="shared" si="8"/>
        <v>2</v>
      </c>
      <c r="D34" s="12">
        <f t="shared" si="9"/>
        <v>64.251718087470294</v>
      </c>
      <c r="E34" s="46">
        <f t="shared" si="5"/>
        <v>61.039132183096775</v>
      </c>
      <c r="F34" s="12">
        <f t="shared" si="10"/>
        <v>30.075272296262696</v>
      </c>
      <c r="G34" s="46">
        <f t="shared" si="1"/>
        <v>27.067745066636427</v>
      </c>
      <c r="H34" s="46">
        <f t="shared" si="2"/>
        <v>88.106877249733202</v>
      </c>
      <c r="I34" s="12">
        <f t="shared" si="3"/>
        <v>86.106877249733202</v>
      </c>
      <c r="J34" s="12">
        <f t="shared" si="11"/>
        <v>0.36788101406731222</v>
      </c>
      <c r="K34" s="12">
        <f t="shared" si="12"/>
        <v>16.206423674468027</v>
      </c>
      <c r="L34" s="12">
        <f t="shared" si="0"/>
        <v>15.838542660400716</v>
      </c>
      <c r="M34" s="18"/>
    </row>
    <row r="35" spans="1:13" x14ac:dyDescent="0.3">
      <c r="A35" s="19">
        <f t="shared" si="13"/>
        <v>24</v>
      </c>
      <c r="B35" s="12">
        <f t="shared" si="13"/>
        <v>2038</v>
      </c>
      <c r="C35" s="12">
        <f t="shared" si="8"/>
        <v>2</v>
      </c>
      <c r="D35" s="12">
        <f t="shared" si="9"/>
        <v>65.215493858782338</v>
      </c>
      <c r="E35" s="46">
        <f t="shared" si="5"/>
        <v>61.954719165843215</v>
      </c>
      <c r="F35" s="12">
        <f t="shared" si="10"/>
        <v>30.526401380706634</v>
      </c>
      <c r="G35" s="46">
        <f t="shared" si="1"/>
        <v>27.47376124263597</v>
      </c>
      <c r="H35" s="46">
        <f t="shared" si="2"/>
        <v>89.428480408479189</v>
      </c>
      <c r="I35" s="12">
        <f t="shared" si="3"/>
        <v>87.428480408479189</v>
      </c>
      <c r="J35" s="12">
        <f t="shared" si="11"/>
        <v>0.34063056858084467</v>
      </c>
      <c r="K35" s="12">
        <f t="shared" si="12"/>
        <v>15.231037064430597</v>
      </c>
      <c r="L35" s="12">
        <f t="shared" si="0"/>
        <v>14.890406495849751</v>
      </c>
      <c r="M35" s="18"/>
    </row>
    <row r="36" spans="1:13" x14ac:dyDescent="0.3">
      <c r="A36" s="19">
        <f t="shared" si="13"/>
        <v>25</v>
      </c>
      <c r="B36" s="12">
        <f t="shared" si="13"/>
        <v>2039</v>
      </c>
      <c r="C36" s="12">
        <f t="shared" si="8"/>
        <v>2</v>
      </c>
      <c r="D36" s="12">
        <f t="shared" si="9"/>
        <v>66.193726266664072</v>
      </c>
      <c r="E36" s="46">
        <f t="shared" si="5"/>
        <v>62.884039953330863</v>
      </c>
      <c r="F36" s="12">
        <f t="shared" si="10"/>
        <v>30.98429740141723</v>
      </c>
      <c r="G36" s="46">
        <f t="shared" si="1"/>
        <v>27.885867661275508</v>
      </c>
      <c r="H36" s="46">
        <f t="shared" si="2"/>
        <v>90.769907614606367</v>
      </c>
      <c r="I36" s="12">
        <f t="shared" si="3"/>
        <v>88.769907614606367</v>
      </c>
      <c r="J36" s="12">
        <f t="shared" si="11"/>
        <v>0.31539867461189319</v>
      </c>
      <c r="K36" s="12">
        <f t="shared" si="12"/>
        <v>14.314354278145421</v>
      </c>
      <c r="L36" s="12">
        <f t="shared" si="0"/>
        <v>13.998955603533528</v>
      </c>
      <c r="M36" s="18"/>
    </row>
    <row r="37" spans="1:13" x14ac:dyDescent="0.3">
      <c r="A37" s="19">
        <f t="shared" si="13"/>
        <v>26</v>
      </c>
      <c r="B37" s="12">
        <f t="shared" si="13"/>
        <v>2040</v>
      </c>
      <c r="C37" s="12">
        <f t="shared" si="8"/>
        <v>2</v>
      </c>
      <c r="D37" s="12">
        <f t="shared" si="9"/>
        <v>67.186632160664033</v>
      </c>
      <c r="E37" s="46">
        <f t="shared" si="5"/>
        <v>63.827300552630831</v>
      </c>
      <c r="F37" s="12">
        <f t="shared" si="10"/>
        <v>31.449061862438484</v>
      </c>
      <c r="G37" s="46">
        <f t="shared" si="1"/>
        <v>28.304155676194636</v>
      </c>
      <c r="H37" s="46">
        <f t="shared" si="2"/>
        <v>92.131456228825471</v>
      </c>
      <c r="I37" s="12">
        <f t="shared" si="3"/>
        <v>90.131456228825471</v>
      </c>
      <c r="J37" s="12">
        <f t="shared" si="11"/>
        <v>0.292035809825827</v>
      </c>
      <c r="K37" s="12">
        <f t="shared" si="12"/>
        <v>13.452842215108889</v>
      </c>
      <c r="L37" s="12">
        <f t="shared" si="0"/>
        <v>13.160806405283063</v>
      </c>
      <c r="M37" s="18"/>
    </row>
    <row r="38" spans="1:13" x14ac:dyDescent="0.3">
      <c r="A38" s="19">
        <f t="shared" si="13"/>
        <v>27</v>
      </c>
      <c r="B38" s="12">
        <f t="shared" si="13"/>
        <v>2041</v>
      </c>
      <c r="C38" s="12">
        <f t="shared" si="8"/>
        <v>2</v>
      </c>
      <c r="D38" s="12">
        <f t="shared" si="9"/>
        <v>68.194431643073983</v>
      </c>
      <c r="E38" s="46">
        <f t="shared" si="5"/>
        <v>64.784710060920276</v>
      </c>
      <c r="F38" s="12">
        <f t="shared" si="10"/>
        <v>31.920797790375058</v>
      </c>
      <c r="G38" s="46">
        <f t="shared" si="1"/>
        <v>28.728718011337552</v>
      </c>
      <c r="H38" s="46">
        <f t="shared" si="2"/>
        <v>93.513428072257824</v>
      </c>
      <c r="I38" s="12">
        <f t="shared" si="3"/>
        <v>91.513428072257824</v>
      </c>
      <c r="J38" s="12">
        <f t="shared" si="11"/>
        <v>0.27040352761650649</v>
      </c>
      <c r="K38" s="12">
        <f t="shared" si="12"/>
        <v>12.643180415125482</v>
      </c>
      <c r="L38" s="12">
        <f t="shared" si="0"/>
        <v>12.372776887508975</v>
      </c>
      <c r="M38" s="18"/>
    </row>
    <row r="39" spans="1:13" x14ac:dyDescent="0.3">
      <c r="A39" s="19">
        <f t="shared" si="13"/>
        <v>28</v>
      </c>
      <c r="B39" s="12">
        <f t="shared" si="13"/>
        <v>2042</v>
      </c>
      <c r="C39" s="12">
        <f t="shared" si="8"/>
        <v>2</v>
      </c>
      <c r="D39" s="12">
        <f t="shared" si="9"/>
        <v>69.217348117720093</v>
      </c>
      <c r="E39" s="46">
        <f t="shared" si="5"/>
        <v>65.756480711834087</v>
      </c>
      <c r="F39" s="12">
        <f t="shared" si="10"/>
        <v>32.399609757230678</v>
      </c>
      <c r="G39" s="46">
        <f t="shared" si="1"/>
        <v>29.15964878150761</v>
      </c>
      <c r="H39" s="46">
        <f t="shared" si="2"/>
        <v>94.9161294933417</v>
      </c>
      <c r="I39" s="12">
        <f t="shared" si="3"/>
        <v>92.9161294933417</v>
      </c>
      <c r="J39" s="12">
        <f t="shared" si="11"/>
        <v>0.25037363668195045</v>
      </c>
      <c r="K39" s="12">
        <f t="shared" si="12"/>
        <v>11.882248260511449</v>
      </c>
      <c r="L39" s="12">
        <f t="shared" si="0"/>
        <v>11.6318746238295</v>
      </c>
      <c r="M39" s="18"/>
    </row>
    <row r="40" spans="1:13" x14ac:dyDescent="0.3">
      <c r="A40" s="19">
        <f t="shared" si="13"/>
        <v>29</v>
      </c>
      <c r="B40" s="12">
        <f t="shared" si="13"/>
        <v>2043</v>
      </c>
      <c r="C40" s="12">
        <f t="shared" si="8"/>
        <v>2</v>
      </c>
      <c r="D40" s="12">
        <f t="shared" si="9"/>
        <v>70.255608339485889</v>
      </c>
      <c r="E40" s="46">
        <f t="shared" si="5"/>
        <v>66.742827922511594</v>
      </c>
      <c r="F40" s="12">
        <f t="shared" si="10"/>
        <v>32.885603903589136</v>
      </c>
      <c r="G40" s="46">
        <f t="shared" si="1"/>
        <v>29.597043513230222</v>
      </c>
      <c r="H40" s="46">
        <f t="shared" si="2"/>
        <v>96.339871435741813</v>
      </c>
      <c r="I40" s="12">
        <f t="shared" si="3"/>
        <v>94.339871435741813</v>
      </c>
      <c r="J40" s="12">
        <f t="shared" si="11"/>
        <v>0.23182744137217634</v>
      </c>
      <c r="K40" s="12">
        <f t="shared" si="12"/>
        <v>11.167112948536221</v>
      </c>
      <c r="L40" s="12">
        <f t="shared" si="0"/>
        <v>10.935285507164044</v>
      </c>
      <c r="M40" s="18"/>
    </row>
    <row r="41" spans="1:13" x14ac:dyDescent="0.3">
      <c r="A41" s="19">
        <f t="shared" si="13"/>
        <v>30</v>
      </c>
      <c r="B41" s="12">
        <f t="shared" si="13"/>
        <v>2044</v>
      </c>
      <c r="C41" s="12">
        <f t="shared" si="8"/>
        <v>2</v>
      </c>
      <c r="D41" s="12">
        <f t="shared" si="9"/>
        <v>71.309442464578169</v>
      </c>
      <c r="E41" s="46">
        <f t="shared" si="5"/>
        <v>67.743970341349254</v>
      </c>
      <c r="F41" s="12">
        <f t="shared" si="10"/>
        <v>33.378887962142969</v>
      </c>
      <c r="G41" s="46">
        <f t="shared" si="1"/>
        <v>30.040999165928671</v>
      </c>
      <c r="H41" s="46">
        <f t="shared" si="2"/>
        <v>97.784969507277921</v>
      </c>
      <c r="I41" s="12">
        <f t="shared" si="3"/>
        <v>95.784969507277921</v>
      </c>
      <c r="J41" s="12">
        <f t="shared" si="11"/>
        <v>0.21465503830757068</v>
      </c>
      <c r="K41" s="12">
        <f t="shared" si="12"/>
        <v>10.495018187744686</v>
      </c>
      <c r="L41" s="12">
        <f t="shared" si="0"/>
        <v>10.280363149437115</v>
      </c>
      <c r="M41" s="18"/>
    </row>
    <row r="42" spans="1:13" x14ac:dyDescent="0.3">
      <c r="A42" s="19">
        <f t="shared" si="13"/>
        <v>31</v>
      </c>
      <c r="B42" s="12">
        <f t="shared" si="13"/>
        <v>2045</v>
      </c>
      <c r="C42" s="12">
        <f>C41</f>
        <v>2</v>
      </c>
      <c r="D42" s="12">
        <f t="shared" si="9"/>
        <v>72.379084101546837</v>
      </c>
      <c r="E42" s="46">
        <f t="shared" si="5"/>
        <v>68.760129896469493</v>
      </c>
      <c r="F42" s="12">
        <f t="shared" si="10"/>
        <v>33.87957128157511</v>
      </c>
      <c r="G42" s="46">
        <f t="shared" si="1"/>
        <v>30.491614153417601</v>
      </c>
      <c r="H42" s="46">
        <f t="shared" si="2"/>
        <v>99.251744049887094</v>
      </c>
      <c r="I42" s="12">
        <f t="shared" si="3"/>
        <v>97.251744049887094</v>
      </c>
      <c r="J42" s="12">
        <f t="shared" si="11"/>
        <v>0.19875466509960246</v>
      </c>
      <c r="K42" s="12">
        <f t="shared" si="12"/>
        <v>9.8633735745933855</v>
      </c>
      <c r="L42" s="12">
        <f t="shared" si="0"/>
        <v>9.6646189094937824</v>
      </c>
      <c r="M42" s="18"/>
    </row>
    <row r="43" spans="1:13" x14ac:dyDescent="0.3">
      <c r="A43" s="12"/>
      <c r="B43" s="19" t="s">
        <v>19</v>
      </c>
      <c r="C43" s="19">
        <f t="shared" ref="C43:L43" si="14">SUM(C12:C42)</f>
        <v>560</v>
      </c>
      <c r="D43" s="19">
        <f>SUM(D12:D42)</f>
        <v>1764.3180242046792</v>
      </c>
      <c r="E43" s="47">
        <f>SUM(E12:E42)</f>
        <v>1676.1021229944454</v>
      </c>
      <c r="F43" s="47">
        <f t="shared" ref="F43:G43" si="15">SUM(F12:F42)</f>
        <v>825.85099005325424</v>
      </c>
      <c r="G43" s="47">
        <f t="shared" si="15"/>
        <v>743.2658910479289</v>
      </c>
      <c r="H43" s="47">
        <f>SUM(H12:H42)</f>
        <v>2419.3680140423739</v>
      </c>
      <c r="I43" s="19">
        <f t="shared" si="14"/>
        <v>1859.3680140423739</v>
      </c>
      <c r="J43" s="19">
        <f t="shared" si="14"/>
        <v>520.60876832301881</v>
      </c>
      <c r="K43" s="19">
        <f t="shared" si="14"/>
        <v>753.33542934225557</v>
      </c>
      <c r="L43" s="20">
        <f t="shared" si="14"/>
        <v>232.72666101923645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1.4470279318746286</v>
      </c>
      <c r="M44" s="40" t="s">
        <v>9</v>
      </c>
    </row>
    <row r="45" spans="1:13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3.8202728771457917E-2</v>
      </c>
      <c r="M45" s="40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58.2" x14ac:dyDescent="0.3">
      <c r="A66" s="34" t="s">
        <v>67</v>
      </c>
      <c r="B66" s="10">
        <v>1.4999999999999999E-2</v>
      </c>
      <c r="C66" s="30" t="s">
        <v>68</v>
      </c>
      <c r="D66" s="37" t="s">
        <v>59</v>
      </c>
      <c r="E66" s="25">
        <f>L107</f>
        <v>115.35961960760602</v>
      </c>
      <c r="F66" s="24" t="s">
        <v>7</v>
      </c>
    </row>
    <row r="67" spans="1:12" ht="46.8" x14ac:dyDescent="0.3">
      <c r="A67" s="34" t="s">
        <v>8</v>
      </c>
      <c r="B67" s="23" t="s">
        <v>48</v>
      </c>
      <c r="D67" s="37" t="s">
        <v>9</v>
      </c>
      <c r="E67" s="51">
        <f>L108</f>
        <v>1.223019103715558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11</v>
      </c>
      <c r="E68" s="26">
        <f>L109</f>
        <v>2.2193402146341468E-2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500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-500</v>
      </c>
      <c r="J76" s="12">
        <v>500</v>
      </c>
      <c r="K76" s="12">
        <v>0</v>
      </c>
      <c r="L76" s="12">
        <f t="shared" ref="L76:L106" si="16">K76-J76</f>
        <v>-500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7">F77*0.9</f>
        <v>19.8</v>
      </c>
      <c r="H77" s="46">
        <f t="shared" ref="H77:H106" si="18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si="16"/>
        <v>55.758928571428569</v>
      </c>
    </row>
    <row r="78" spans="1:12" x14ac:dyDescent="0.3">
      <c r="A78" s="19">
        <f t="shared" ref="A78:B93" si="19">A77+1</f>
        <v>3</v>
      </c>
      <c r="B78" s="12">
        <f t="shared" si="19"/>
        <v>2017</v>
      </c>
      <c r="C78" s="12">
        <f>C77</f>
        <v>2</v>
      </c>
      <c r="D78" s="12">
        <f>D77*(1+$B$66)</f>
        <v>47.704999999999998</v>
      </c>
      <c r="E78" s="46">
        <f t="shared" ref="E78:E106" si="20">D78*0.95</f>
        <v>45.319749999999999</v>
      </c>
      <c r="F78" s="12">
        <f>F77*(1+$B$66)</f>
        <v>22.33</v>
      </c>
      <c r="G78" s="46">
        <f t="shared" si="17"/>
        <v>20.096999999999998</v>
      </c>
      <c r="H78" s="46">
        <f t="shared" si="18"/>
        <v>65.416749999999993</v>
      </c>
      <c r="I78" s="12">
        <f t="shared" ref="I78:I106" si="21">H78-C78</f>
        <v>63.416749999999993</v>
      </c>
      <c r="J78" s="12">
        <f t="shared" ref="J78:J90" si="22">(C78)/((1+0.12)^($A78-1))</f>
        <v>1.5943877551020407</v>
      </c>
      <c r="K78" s="12">
        <f t="shared" ref="K78:K91" si="23">(H78)/((1+0.12)^($A78-1))</f>
        <v>52.149832589285701</v>
      </c>
      <c r="L78" s="12">
        <f t="shared" si="16"/>
        <v>50.55544483418366</v>
      </c>
    </row>
    <row r="79" spans="1:12" x14ac:dyDescent="0.3">
      <c r="A79" s="19">
        <f t="shared" si="19"/>
        <v>4</v>
      </c>
      <c r="B79" s="12">
        <f t="shared" si="19"/>
        <v>2018</v>
      </c>
      <c r="C79" s="12">
        <f t="shared" ref="C79:C105" si="24">C78</f>
        <v>2</v>
      </c>
      <c r="D79" s="12">
        <f t="shared" ref="D79:D106" si="25">D78*(1+$B$66)</f>
        <v>48.420574999999992</v>
      </c>
      <c r="E79" s="46">
        <f t="shared" si="20"/>
        <v>45.999546249999987</v>
      </c>
      <c r="F79" s="12">
        <f t="shared" ref="F79:F106" si="26">F78*(1+$B$66)</f>
        <v>22.664949999999997</v>
      </c>
      <c r="G79" s="46">
        <f t="shared" si="17"/>
        <v>20.398454999999998</v>
      </c>
      <c r="H79" s="46">
        <f t="shared" si="18"/>
        <v>66.398001249999993</v>
      </c>
      <c r="I79" s="12">
        <f t="shared" si="21"/>
        <v>64.398001249999993</v>
      </c>
      <c r="J79" s="12">
        <f t="shared" si="22"/>
        <v>1.4235604956268217</v>
      </c>
      <c r="K79" s="12">
        <f t="shared" si="23"/>
        <v>47.260785784040159</v>
      </c>
      <c r="L79" s="12">
        <f t="shared" si="16"/>
        <v>45.837225288413336</v>
      </c>
    </row>
    <row r="80" spans="1:12" x14ac:dyDescent="0.3">
      <c r="A80" s="19">
        <f t="shared" si="19"/>
        <v>5</v>
      </c>
      <c r="B80" s="12">
        <f t="shared" si="19"/>
        <v>2019</v>
      </c>
      <c r="C80" s="12">
        <f t="shared" si="24"/>
        <v>2</v>
      </c>
      <c r="D80" s="12">
        <f t="shared" si="25"/>
        <v>49.146883624999987</v>
      </c>
      <c r="E80" s="46">
        <f t="shared" si="20"/>
        <v>46.689539443749986</v>
      </c>
      <c r="F80" s="12">
        <f t="shared" si="26"/>
        <v>23.004924249999995</v>
      </c>
      <c r="G80" s="46">
        <f t="shared" si="17"/>
        <v>20.704431824999997</v>
      </c>
      <c r="H80" s="46">
        <f t="shared" si="18"/>
        <v>67.393971268749979</v>
      </c>
      <c r="I80" s="12">
        <f t="shared" si="21"/>
        <v>65.393971268749979</v>
      </c>
      <c r="J80" s="12">
        <f t="shared" si="22"/>
        <v>1.2710361568096624</v>
      </c>
      <c r="K80" s="12">
        <f t="shared" si="23"/>
        <v>42.830087116786387</v>
      </c>
      <c r="L80" s="12">
        <f t="shared" si="16"/>
        <v>41.559050959976723</v>
      </c>
    </row>
    <row r="81" spans="1:12" x14ac:dyDescent="0.3">
      <c r="A81" s="19">
        <f t="shared" si="19"/>
        <v>6</v>
      </c>
      <c r="B81" s="12">
        <f t="shared" si="19"/>
        <v>2020</v>
      </c>
      <c r="C81" s="12">
        <f t="shared" si="24"/>
        <v>2</v>
      </c>
      <c r="D81" s="12">
        <f t="shared" si="25"/>
        <v>49.884086879374983</v>
      </c>
      <c r="E81" s="46">
        <f t="shared" si="20"/>
        <v>47.38988253540623</v>
      </c>
      <c r="F81" s="12">
        <f t="shared" si="26"/>
        <v>23.349998113749994</v>
      </c>
      <c r="G81" s="46">
        <f t="shared" si="17"/>
        <v>21.014998302374995</v>
      </c>
      <c r="H81" s="46">
        <f t="shared" si="18"/>
        <v>68.404880837781221</v>
      </c>
      <c r="I81" s="12">
        <f t="shared" si="21"/>
        <v>66.404880837781221</v>
      </c>
      <c r="J81" s="12">
        <f t="shared" si="22"/>
        <v>1.1348537114371984</v>
      </c>
      <c r="K81" s="12">
        <f t="shared" si="23"/>
        <v>38.814766449587658</v>
      </c>
      <c r="L81" s="12">
        <f t="shared" si="16"/>
        <v>37.679912738150463</v>
      </c>
    </row>
    <row r="82" spans="1:12" x14ac:dyDescent="0.3">
      <c r="A82" s="19">
        <f t="shared" si="19"/>
        <v>7</v>
      </c>
      <c r="B82" s="12">
        <f t="shared" si="19"/>
        <v>2021</v>
      </c>
      <c r="C82" s="12">
        <f t="shared" si="24"/>
        <v>2</v>
      </c>
      <c r="D82" s="12">
        <f t="shared" si="25"/>
        <v>50.6323481825656</v>
      </c>
      <c r="E82" s="46">
        <f t="shared" si="20"/>
        <v>48.10073077343732</v>
      </c>
      <c r="F82" s="12">
        <f t="shared" si="26"/>
        <v>23.700248085456241</v>
      </c>
      <c r="G82" s="46">
        <f t="shared" si="17"/>
        <v>21.330223276910619</v>
      </c>
      <c r="H82" s="46">
        <f t="shared" si="18"/>
        <v>69.430954050347935</v>
      </c>
      <c r="I82" s="12">
        <f t="shared" si="21"/>
        <v>67.430954050347935</v>
      </c>
      <c r="J82" s="12">
        <f t="shared" si="22"/>
        <v>1.0132622423546414</v>
      </c>
      <c r="K82" s="12">
        <f t="shared" si="23"/>
        <v>35.175882094938807</v>
      </c>
      <c r="L82" s="12">
        <f t="shared" si="16"/>
        <v>34.162619852584164</v>
      </c>
    </row>
    <row r="83" spans="1:12" x14ac:dyDescent="0.3">
      <c r="A83" s="19">
        <f t="shared" si="19"/>
        <v>8</v>
      </c>
      <c r="B83" s="12">
        <f t="shared" si="19"/>
        <v>2022</v>
      </c>
      <c r="C83" s="12">
        <f t="shared" si="24"/>
        <v>2</v>
      </c>
      <c r="D83" s="12">
        <f t="shared" si="25"/>
        <v>51.391833405304077</v>
      </c>
      <c r="E83" s="46">
        <f t="shared" si="20"/>
        <v>48.822241735038872</v>
      </c>
      <c r="F83" s="12">
        <f t="shared" si="26"/>
        <v>24.055751806738083</v>
      </c>
      <c r="G83" s="46">
        <f t="shared" si="17"/>
        <v>21.650176626064276</v>
      </c>
      <c r="H83" s="46">
        <f t="shared" si="18"/>
        <v>70.472418361103152</v>
      </c>
      <c r="I83" s="12">
        <f t="shared" si="21"/>
        <v>68.472418361103152</v>
      </c>
      <c r="J83" s="12">
        <f t="shared" si="22"/>
        <v>0.90469843067378686</v>
      </c>
      <c r="K83" s="12">
        <f t="shared" si="23"/>
        <v>31.878143148538292</v>
      </c>
      <c r="L83" s="12">
        <f t="shared" si="16"/>
        <v>30.973444717864506</v>
      </c>
    </row>
    <row r="84" spans="1:12" x14ac:dyDescent="0.3">
      <c r="A84" s="19">
        <f t="shared" si="19"/>
        <v>9</v>
      </c>
      <c r="B84" s="12">
        <f t="shared" si="19"/>
        <v>2023</v>
      </c>
      <c r="C84" s="12">
        <f t="shared" si="24"/>
        <v>2</v>
      </c>
      <c r="D84" s="12">
        <f t="shared" si="25"/>
        <v>52.16271090638363</v>
      </c>
      <c r="E84" s="46">
        <f t="shared" si="20"/>
        <v>49.554575361064444</v>
      </c>
      <c r="F84" s="12">
        <f t="shared" si="26"/>
        <v>24.416588083839152</v>
      </c>
      <c r="G84" s="46">
        <f t="shared" si="17"/>
        <v>21.974929275455239</v>
      </c>
      <c r="H84" s="46">
        <f t="shared" si="18"/>
        <v>71.529504636519675</v>
      </c>
      <c r="I84" s="12">
        <f t="shared" si="21"/>
        <v>69.529504636519675</v>
      </c>
      <c r="J84" s="12">
        <f t="shared" si="22"/>
        <v>0.80776645595873819</v>
      </c>
      <c r="K84" s="12">
        <f t="shared" si="23"/>
        <v>28.889567228362818</v>
      </c>
      <c r="L84" s="12">
        <f t="shared" si="16"/>
        <v>28.08180077240408</v>
      </c>
    </row>
    <row r="85" spans="1:12" x14ac:dyDescent="0.3">
      <c r="A85" s="19">
        <f t="shared" si="19"/>
        <v>10</v>
      </c>
      <c r="B85" s="12">
        <f t="shared" si="19"/>
        <v>2024</v>
      </c>
      <c r="C85" s="12">
        <f t="shared" si="24"/>
        <v>2</v>
      </c>
      <c r="D85" s="12">
        <f t="shared" si="25"/>
        <v>52.94515156997938</v>
      </c>
      <c r="E85" s="46">
        <f t="shared" si="20"/>
        <v>50.297893991480407</v>
      </c>
      <c r="F85" s="12">
        <f t="shared" si="26"/>
        <v>24.782836905096737</v>
      </c>
      <c r="G85" s="46">
        <f t="shared" si="17"/>
        <v>22.304553214587063</v>
      </c>
      <c r="H85" s="46">
        <f t="shared" si="18"/>
        <v>72.602447206067467</v>
      </c>
      <c r="I85" s="12">
        <f t="shared" si="21"/>
        <v>70.602447206067467</v>
      </c>
      <c r="J85" s="12">
        <f t="shared" si="22"/>
        <v>0.72122004996315914</v>
      </c>
      <c r="K85" s="12">
        <f t="shared" si="23"/>
        <v>26.181170300703801</v>
      </c>
      <c r="L85" s="12">
        <f t="shared" si="16"/>
        <v>25.459950250740643</v>
      </c>
    </row>
    <row r="86" spans="1:12" x14ac:dyDescent="0.3">
      <c r="A86" s="19">
        <f t="shared" si="19"/>
        <v>11</v>
      </c>
      <c r="B86" s="12">
        <f t="shared" si="19"/>
        <v>2025</v>
      </c>
      <c r="C86" s="12">
        <f t="shared" si="24"/>
        <v>2</v>
      </c>
      <c r="D86" s="12">
        <f t="shared" si="25"/>
        <v>53.739328843529066</v>
      </c>
      <c r="E86" s="46">
        <f t="shared" si="20"/>
        <v>51.05236240135261</v>
      </c>
      <c r="F86" s="12">
        <f t="shared" si="26"/>
        <v>25.154579458673187</v>
      </c>
      <c r="G86" s="46">
        <f t="shared" si="17"/>
        <v>22.639121512805868</v>
      </c>
      <c r="H86" s="46">
        <f t="shared" si="18"/>
        <v>73.691483914158482</v>
      </c>
      <c r="I86" s="12">
        <f t="shared" si="21"/>
        <v>71.691483914158482</v>
      </c>
      <c r="J86" s="12">
        <f t="shared" si="22"/>
        <v>0.64394647318139198</v>
      </c>
      <c r="K86" s="12">
        <f t="shared" si="23"/>
        <v>23.726685585012817</v>
      </c>
      <c r="L86" s="12">
        <f t="shared" si="16"/>
        <v>23.082739111831426</v>
      </c>
    </row>
    <row r="87" spans="1:12" x14ac:dyDescent="0.3">
      <c r="A87" s="19">
        <f t="shared" si="19"/>
        <v>12</v>
      </c>
      <c r="B87" s="12">
        <f t="shared" si="19"/>
        <v>2026</v>
      </c>
      <c r="C87" s="12">
        <f t="shared" si="24"/>
        <v>2</v>
      </c>
      <c r="D87" s="12">
        <f t="shared" si="25"/>
        <v>54.545418776181997</v>
      </c>
      <c r="E87" s="46">
        <f t="shared" si="20"/>
        <v>51.818147837372898</v>
      </c>
      <c r="F87" s="12">
        <f t="shared" si="26"/>
        <v>25.531898150553282</v>
      </c>
      <c r="G87" s="46">
        <f t="shared" si="17"/>
        <v>22.978708335497956</v>
      </c>
      <c r="H87" s="46">
        <f t="shared" si="18"/>
        <v>74.796856172870861</v>
      </c>
      <c r="I87" s="12">
        <f t="shared" si="21"/>
        <v>72.796856172870861</v>
      </c>
      <c r="J87" s="12">
        <f t="shared" si="22"/>
        <v>0.57495220819767134</v>
      </c>
      <c r="K87" s="12">
        <f t="shared" si="23"/>
        <v>21.502308811417862</v>
      </c>
      <c r="L87" s="12">
        <f>K87-J87</f>
        <v>20.92735660322019</v>
      </c>
    </row>
    <row r="88" spans="1:12" x14ac:dyDescent="0.3">
      <c r="A88" s="19">
        <f t="shared" si="19"/>
        <v>13</v>
      </c>
      <c r="B88" s="12">
        <f t="shared" si="19"/>
        <v>2027</v>
      </c>
      <c r="C88" s="12">
        <f t="shared" si="24"/>
        <v>2</v>
      </c>
      <c r="D88" s="12">
        <f t="shared" si="25"/>
        <v>55.363600057824719</v>
      </c>
      <c r="E88" s="46">
        <f t="shared" si="20"/>
        <v>52.595420054933484</v>
      </c>
      <c r="F88" s="12">
        <f t="shared" si="26"/>
        <v>25.91487662281158</v>
      </c>
      <c r="G88" s="46">
        <f t="shared" si="17"/>
        <v>23.323388960530423</v>
      </c>
      <c r="H88" s="46">
        <f t="shared" si="18"/>
        <v>75.918809015463907</v>
      </c>
      <c r="I88" s="12">
        <f t="shared" si="21"/>
        <v>73.918809015463907</v>
      </c>
      <c r="J88" s="12">
        <f t="shared" si="22"/>
        <v>0.51335018589077808</v>
      </c>
      <c r="K88" s="12">
        <f t="shared" si="23"/>
        <v>19.486467360347437</v>
      </c>
      <c r="L88" s="12">
        <f t="shared" si="16"/>
        <v>18.973117174456657</v>
      </c>
    </row>
    <row r="89" spans="1:12" x14ac:dyDescent="0.3">
      <c r="A89" s="19">
        <f t="shared" si="19"/>
        <v>14</v>
      </c>
      <c r="B89" s="12">
        <f t="shared" si="19"/>
        <v>2028</v>
      </c>
      <c r="C89" s="12">
        <f t="shared" si="24"/>
        <v>2</v>
      </c>
      <c r="D89" s="12">
        <f t="shared" si="25"/>
        <v>56.194054058692082</v>
      </c>
      <c r="E89" s="46">
        <f t="shared" si="20"/>
        <v>53.384351355757474</v>
      </c>
      <c r="F89" s="12">
        <f t="shared" si="26"/>
        <v>26.303599772153749</v>
      </c>
      <c r="G89" s="46">
        <f t="shared" si="17"/>
        <v>23.673239794938375</v>
      </c>
      <c r="H89" s="46">
        <f t="shared" si="18"/>
        <v>77.057591150695856</v>
      </c>
      <c r="I89" s="12">
        <f t="shared" si="21"/>
        <v>75.057591150695856</v>
      </c>
      <c r="J89" s="12">
        <f t="shared" si="22"/>
        <v>0.45834838025962316</v>
      </c>
      <c r="K89" s="12">
        <f t="shared" si="23"/>
        <v>17.659611045314858</v>
      </c>
      <c r="L89" s="12">
        <f t="shared" si="16"/>
        <v>17.201262665055236</v>
      </c>
    </row>
    <row r="90" spans="1:12" x14ac:dyDescent="0.3">
      <c r="A90" s="19">
        <f t="shared" si="19"/>
        <v>15</v>
      </c>
      <c r="B90" s="12">
        <f t="shared" si="19"/>
        <v>2029</v>
      </c>
      <c r="C90" s="12">
        <f t="shared" si="24"/>
        <v>2</v>
      </c>
      <c r="D90" s="12">
        <f t="shared" si="25"/>
        <v>57.036964869572458</v>
      </c>
      <c r="E90" s="46">
        <f t="shared" si="20"/>
        <v>54.18511662609383</v>
      </c>
      <c r="F90" s="12">
        <f t="shared" si="26"/>
        <v>26.698153768736052</v>
      </c>
      <c r="G90" s="46">
        <f t="shared" si="17"/>
        <v>24.028338391862448</v>
      </c>
      <c r="H90" s="46">
        <f t="shared" si="18"/>
        <v>78.213455017956278</v>
      </c>
      <c r="I90" s="12">
        <f t="shared" si="21"/>
        <v>76.213455017956278</v>
      </c>
      <c r="J90" s="12">
        <f t="shared" si="22"/>
        <v>0.40923962523180635</v>
      </c>
      <c r="K90" s="12">
        <f t="shared" si="23"/>
        <v>16.004022509816586</v>
      </c>
      <c r="L90" s="12">
        <f t="shared" si="16"/>
        <v>15.594782884584779</v>
      </c>
    </row>
    <row r="91" spans="1:12" x14ac:dyDescent="0.3">
      <c r="A91" s="19">
        <f t="shared" si="19"/>
        <v>16</v>
      </c>
      <c r="B91" s="12">
        <f t="shared" si="19"/>
        <v>2030</v>
      </c>
      <c r="C91" s="12">
        <f t="shared" si="24"/>
        <v>2</v>
      </c>
      <c r="D91" s="12">
        <f t="shared" si="25"/>
        <v>57.89251934261604</v>
      </c>
      <c r="E91" s="46">
        <f t="shared" si="20"/>
        <v>54.997893375485233</v>
      </c>
      <c r="F91" s="12">
        <f t="shared" si="26"/>
        <v>27.098626075267092</v>
      </c>
      <c r="G91" s="46">
        <f t="shared" si="17"/>
        <v>24.388763467740382</v>
      </c>
      <c r="H91" s="46">
        <f t="shared" si="18"/>
        <v>79.386656843225609</v>
      </c>
      <c r="I91" s="12">
        <f t="shared" si="21"/>
        <v>77.386656843225609</v>
      </c>
      <c r="J91" s="12">
        <f>(C91)/((1+0.12)^($A91-1))</f>
        <v>0.36539252252839854</v>
      </c>
      <c r="K91" s="12">
        <f t="shared" si="23"/>
        <v>14.503645399521279</v>
      </c>
      <c r="L91" s="12">
        <f t="shared" si="16"/>
        <v>14.13825287699288</v>
      </c>
    </row>
    <row r="92" spans="1:12" x14ac:dyDescent="0.3">
      <c r="A92" s="19">
        <f t="shared" si="19"/>
        <v>17</v>
      </c>
      <c r="B92" s="12">
        <f t="shared" si="19"/>
        <v>2031</v>
      </c>
      <c r="C92" s="12">
        <f t="shared" si="24"/>
        <v>2</v>
      </c>
      <c r="D92" s="12">
        <f t="shared" si="25"/>
        <v>58.760907132755278</v>
      </c>
      <c r="E92" s="46">
        <f t="shared" si="20"/>
        <v>55.822861776117513</v>
      </c>
      <c r="F92" s="12">
        <f t="shared" si="26"/>
        <v>27.505105466396095</v>
      </c>
      <c r="G92" s="46">
        <f t="shared" si="17"/>
        <v>24.754594919756485</v>
      </c>
      <c r="H92" s="46">
        <f t="shared" si="18"/>
        <v>80.577456695873991</v>
      </c>
      <c r="I92" s="12">
        <f t="shared" si="21"/>
        <v>78.577456695873991</v>
      </c>
      <c r="J92" s="12">
        <f t="shared" ref="J92:J106" si="27">(C92)/((1+0.1)^($A92-1))</f>
        <v>0.43525827158029706</v>
      </c>
      <c r="K92" s="12">
        <f t="shared" ref="K92:K106" si="28">(H92)/((1+0.1)^($A92-1))</f>
        <v>17.536002264891174</v>
      </c>
      <c r="L92" s="12">
        <f t="shared" si="16"/>
        <v>17.100743993310878</v>
      </c>
    </row>
    <row r="93" spans="1:12" x14ac:dyDescent="0.3">
      <c r="A93" s="19">
        <f t="shared" si="19"/>
        <v>18</v>
      </c>
      <c r="B93" s="12">
        <f t="shared" si="19"/>
        <v>2032</v>
      </c>
      <c r="C93" s="12">
        <f t="shared" si="24"/>
        <v>2</v>
      </c>
      <c r="D93" s="12">
        <f t="shared" si="25"/>
        <v>59.642320739746602</v>
      </c>
      <c r="E93" s="46">
        <f t="shared" si="20"/>
        <v>56.660204702759266</v>
      </c>
      <c r="F93" s="12">
        <f t="shared" si="26"/>
        <v>27.917682048392034</v>
      </c>
      <c r="G93" s="46">
        <f t="shared" si="17"/>
        <v>25.12591384355283</v>
      </c>
      <c r="H93" s="46">
        <f t="shared" si="18"/>
        <v>81.786118546312096</v>
      </c>
      <c r="I93" s="12">
        <f t="shared" si="21"/>
        <v>79.786118546312096</v>
      </c>
      <c r="J93" s="12">
        <f t="shared" si="27"/>
        <v>0.39568933780027005</v>
      </c>
      <c r="K93" s="12">
        <f t="shared" si="28"/>
        <v>16.18094754442231</v>
      </c>
      <c r="L93" s="12">
        <f t="shared" si="16"/>
        <v>15.785258206622039</v>
      </c>
    </row>
    <row r="94" spans="1:12" x14ac:dyDescent="0.3">
      <c r="A94" s="19">
        <f t="shared" ref="A94:B106" si="29">A93+1</f>
        <v>19</v>
      </c>
      <c r="B94" s="12">
        <f t="shared" si="29"/>
        <v>2033</v>
      </c>
      <c r="C94" s="12">
        <f t="shared" si="24"/>
        <v>2</v>
      </c>
      <c r="D94" s="12">
        <f t="shared" si="25"/>
        <v>60.536955550842798</v>
      </c>
      <c r="E94" s="46">
        <f t="shared" si="20"/>
        <v>57.510107773300653</v>
      </c>
      <c r="F94" s="12">
        <f t="shared" si="26"/>
        <v>28.336447279117913</v>
      </c>
      <c r="G94" s="46">
        <f t="shared" si="17"/>
        <v>25.502802551206123</v>
      </c>
      <c r="H94" s="46">
        <f t="shared" si="18"/>
        <v>83.012910324506777</v>
      </c>
      <c r="I94" s="12">
        <f t="shared" si="21"/>
        <v>81.012910324506777</v>
      </c>
      <c r="J94" s="12">
        <f t="shared" si="27"/>
        <v>0.35971757981842728</v>
      </c>
      <c r="K94" s="12">
        <f t="shared" si="28"/>
        <v>14.930601597807858</v>
      </c>
      <c r="L94" s="12">
        <f t="shared" si="16"/>
        <v>14.57088401798943</v>
      </c>
    </row>
    <row r="95" spans="1:12" x14ac:dyDescent="0.3">
      <c r="A95" s="19">
        <f t="shared" si="29"/>
        <v>20</v>
      </c>
      <c r="B95" s="12">
        <f t="shared" si="29"/>
        <v>2034</v>
      </c>
      <c r="C95" s="12">
        <f t="shared" si="24"/>
        <v>2</v>
      </c>
      <c r="D95" s="12">
        <f t="shared" si="25"/>
        <v>61.445009884105431</v>
      </c>
      <c r="E95" s="46">
        <f t="shared" si="20"/>
        <v>58.37275938990016</v>
      </c>
      <c r="F95" s="12">
        <f t="shared" si="26"/>
        <v>28.761493988304679</v>
      </c>
      <c r="G95" s="46">
        <f t="shared" si="17"/>
        <v>25.885344589474212</v>
      </c>
      <c r="H95" s="46">
        <f t="shared" si="18"/>
        <v>84.258103979374368</v>
      </c>
      <c r="I95" s="12">
        <f t="shared" si="21"/>
        <v>82.258103979374368</v>
      </c>
      <c r="J95" s="12">
        <f t="shared" si="27"/>
        <v>0.32701598165311563</v>
      </c>
      <c r="K95" s="12">
        <f t="shared" si="28"/>
        <v>13.7768732925227</v>
      </c>
      <c r="L95" s="12">
        <f t="shared" si="16"/>
        <v>13.449857310869584</v>
      </c>
    </row>
    <row r="96" spans="1:12" x14ac:dyDescent="0.3">
      <c r="A96" s="19">
        <f t="shared" si="29"/>
        <v>21</v>
      </c>
      <c r="B96" s="12">
        <f t="shared" si="29"/>
        <v>2035</v>
      </c>
      <c r="C96" s="12">
        <f t="shared" si="24"/>
        <v>2</v>
      </c>
      <c r="D96" s="12">
        <f t="shared" si="25"/>
        <v>62.366685032367009</v>
      </c>
      <c r="E96" s="46">
        <f t="shared" si="20"/>
        <v>59.248350780748659</v>
      </c>
      <c r="F96" s="12">
        <f t="shared" si="26"/>
        <v>29.192916398129245</v>
      </c>
      <c r="G96" s="46">
        <f t="shared" si="17"/>
        <v>26.27362475831632</v>
      </c>
      <c r="H96" s="46">
        <f t="shared" si="18"/>
        <v>85.521975539064982</v>
      </c>
      <c r="I96" s="12">
        <f t="shared" si="21"/>
        <v>83.521975539064982</v>
      </c>
      <c r="J96" s="12">
        <f t="shared" si="27"/>
        <v>0.29728725604828699</v>
      </c>
      <c r="K96" s="12">
        <f t="shared" si="28"/>
        <v>12.712296719918672</v>
      </c>
      <c r="L96" s="12">
        <f t="shared" si="16"/>
        <v>12.415009463870385</v>
      </c>
    </row>
    <row r="97" spans="1:13" x14ac:dyDescent="0.3">
      <c r="A97" s="19">
        <f t="shared" si="29"/>
        <v>22</v>
      </c>
      <c r="B97" s="12">
        <f t="shared" si="29"/>
        <v>2036</v>
      </c>
      <c r="C97" s="12">
        <f t="shared" si="24"/>
        <v>2</v>
      </c>
      <c r="D97" s="12">
        <f t="shared" si="25"/>
        <v>63.302185307852511</v>
      </c>
      <c r="E97" s="46">
        <f t="shared" si="20"/>
        <v>60.137076042459881</v>
      </c>
      <c r="F97" s="12">
        <f t="shared" si="26"/>
        <v>29.630810144101183</v>
      </c>
      <c r="G97" s="46">
        <f t="shared" si="17"/>
        <v>26.667729129691065</v>
      </c>
      <c r="H97" s="46">
        <f t="shared" si="18"/>
        <v>86.804805172150949</v>
      </c>
      <c r="I97" s="12">
        <f t="shared" si="21"/>
        <v>84.804805172150949</v>
      </c>
      <c r="J97" s="12">
        <f t="shared" si="27"/>
        <v>0.27026114186207906</v>
      </c>
      <c r="K97" s="12">
        <f t="shared" si="28"/>
        <v>11.729982882470409</v>
      </c>
      <c r="L97" s="12">
        <f t="shared" si="16"/>
        <v>11.45972174060833</v>
      </c>
    </row>
    <row r="98" spans="1:13" x14ac:dyDescent="0.3">
      <c r="A98" s="19">
        <f t="shared" si="29"/>
        <v>23</v>
      </c>
      <c r="B98" s="12">
        <f t="shared" si="29"/>
        <v>2037</v>
      </c>
      <c r="C98" s="12">
        <f t="shared" si="24"/>
        <v>2</v>
      </c>
      <c r="D98" s="12">
        <f t="shared" si="25"/>
        <v>64.251718087470294</v>
      </c>
      <c r="E98" s="46">
        <f t="shared" si="20"/>
        <v>61.039132183096775</v>
      </c>
      <c r="F98" s="12">
        <f t="shared" si="26"/>
        <v>30.075272296262696</v>
      </c>
      <c r="G98" s="46">
        <f t="shared" si="17"/>
        <v>27.067745066636427</v>
      </c>
      <c r="H98" s="46">
        <f t="shared" si="18"/>
        <v>88.106877249733202</v>
      </c>
      <c r="I98" s="12">
        <f t="shared" si="21"/>
        <v>86.106877249733202</v>
      </c>
      <c r="J98" s="12">
        <f t="shared" si="27"/>
        <v>0.24569194714734455</v>
      </c>
      <c r="K98" s="12">
        <f t="shared" si="28"/>
        <v>10.823575114279512</v>
      </c>
      <c r="L98" s="12">
        <f t="shared" si="16"/>
        <v>10.577883167132168</v>
      </c>
    </row>
    <row r="99" spans="1:13" x14ac:dyDescent="0.3">
      <c r="A99" s="19">
        <f t="shared" si="29"/>
        <v>24</v>
      </c>
      <c r="B99" s="12">
        <f t="shared" si="29"/>
        <v>2038</v>
      </c>
      <c r="C99" s="12">
        <f t="shared" si="24"/>
        <v>2</v>
      </c>
      <c r="D99" s="12">
        <f t="shared" si="25"/>
        <v>65.215493858782338</v>
      </c>
      <c r="E99" s="46">
        <f t="shared" si="20"/>
        <v>61.954719165843215</v>
      </c>
      <c r="F99" s="12">
        <f t="shared" si="26"/>
        <v>30.526401380706634</v>
      </c>
      <c r="G99" s="46">
        <f t="shared" si="17"/>
        <v>27.47376124263597</v>
      </c>
      <c r="H99" s="46">
        <f t="shared" si="18"/>
        <v>89.428480408479189</v>
      </c>
      <c r="I99" s="12">
        <f t="shared" si="21"/>
        <v>87.428480408479189</v>
      </c>
      <c r="J99" s="12">
        <f t="shared" si="27"/>
        <v>0.22335631558849503</v>
      </c>
      <c r="K99" s="12">
        <f t="shared" si="28"/>
        <v>9.9872079463579109</v>
      </c>
      <c r="L99" s="12">
        <f t="shared" si="16"/>
        <v>9.7638516307694161</v>
      </c>
    </row>
    <row r="100" spans="1:13" x14ac:dyDescent="0.3">
      <c r="A100" s="19">
        <f t="shared" si="29"/>
        <v>25</v>
      </c>
      <c r="B100" s="12">
        <f t="shared" si="29"/>
        <v>2039</v>
      </c>
      <c r="C100" s="12">
        <f t="shared" si="24"/>
        <v>2</v>
      </c>
      <c r="D100" s="12">
        <f t="shared" si="25"/>
        <v>66.193726266664072</v>
      </c>
      <c r="E100" s="46">
        <f t="shared" si="20"/>
        <v>62.884039953330863</v>
      </c>
      <c r="F100" s="12">
        <f t="shared" si="26"/>
        <v>30.98429740141723</v>
      </c>
      <c r="G100" s="46">
        <f t="shared" si="17"/>
        <v>27.885867661275508</v>
      </c>
      <c r="H100" s="46">
        <f t="shared" si="18"/>
        <v>90.769907614606367</v>
      </c>
      <c r="I100" s="12">
        <f t="shared" si="21"/>
        <v>88.769907614606367</v>
      </c>
      <c r="J100" s="12">
        <f t="shared" si="27"/>
        <v>0.20305119598954097</v>
      </c>
      <c r="K100" s="12">
        <f t="shared" si="28"/>
        <v>9.2154691505029813</v>
      </c>
      <c r="L100" s="12">
        <f t="shared" si="16"/>
        <v>9.01241795451344</v>
      </c>
    </row>
    <row r="101" spans="1:13" x14ac:dyDescent="0.3">
      <c r="A101" s="19">
        <f t="shared" si="29"/>
        <v>26</v>
      </c>
      <c r="B101" s="12">
        <f t="shared" si="29"/>
        <v>2040</v>
      </c>
      <c r="C101" s="12">
        <f t="shared" si="24"/>
        <v>2</v>
      </c>
      <c r="D101" s="12">
        <f t="shared" si="25"/>
        <v>67.186632160664033</v>
      </c>
      <c r="E101" s="46">
        <f t="shared" si="20"/>
        <v>63.827300552630831</v>
      </c>
      <c r="F101" s="12">
        <f t="shared" si="26"/>
        <v>31.449061862438484</v>
      </c>
      <c r="G101" s="46">
        <f t="shared" si="17"/>
        <v>28.304155676194636</v>
      </c>
      <c r="H101" s="46">
        <f t="shared" si="18"/>
        <v>92.131456228825471</v>
      </c>
      <c r="I101" s="12">
        <f t="shared" si="21"/>
        <v>90.131456228825471</v>
      </c>
      <c r="J101" s="12">
        <f t="shared" si="27"/>
        <v>0.1845919963541281</v>
      </c>
      <c r="K101" s="12">
        <f t="shared" si="28"/>
        <v>8.5033647161459331</v>
      </c>
      <c r="L101" s="12">
        <f t="shared" si="16"/>
        <v>8.3187727197918058</v>
      </c>
    </row>
    <row r="102" spans="1:13" x14ac:dyDescent="0.3">
      <c r="A102" s="19">
        <f t="shared" si="29"/>
        <v>27</v>
      </c>
      <c r="B102" s="12">
        <f t="shared" si="29"/>
        <v>2041</v>
      </c>
      <c r="C102" s="12">
        <f t="shared" si="24"/>
        <v>2</v>
      </c>
      <c r="D102" s="12">
        <f t="shared" si="25"/>
        <v>68.194431643073983</v>
      </c>
      <c r="E102" s="46">
        <f t="shared" si="20"/>
        <v>64.784710060920276</v>
      </c>
      <c r="F102" s="12">
        <f t="shared" si="26"/>
        <v>31.920797790375058</v>
      </c>
      <c r="G102" s="46">
        <f t="shared" si="17"/>
        <v>28.728718011337552</v>
      </c>
      <c r="H102" s="46">
        <f t="shared" si="18"/>
        <v>93.513428072257824</v>
      </c>
      <c r="I102" s="12">
        <f t="shared" si="21"/>
        <v>91.513428072257824</v>
      </c>
      <c r="J102" s="12">
        <f t="shared" si="27"/>
        <v>0.16781090577648008</v>
      </c>
      <c r="K102" s="12">
        <f t="shared" si="28"/>
        <v>7.846286533534653</v>
      </c>
      <c r="L102" s="12">
        <f t="shared" si="16"/>
        <v>7.6784756277581732</v>
      </c>
    </row>
    <row r="103" spans="1:13" x14ac:dyDescent="0.3">
      <c r="A103" s="19">
        <f t="shared" si="29"/>
        <v>28</v>
      </c>
      <c r="B103" s="12">
        <f t="shared" si="29"/>
        <v>2042</v>
      </c>
      <c r="C103" s="12">
        <f t="shared" si="24"/>
        <v>2</v>
      </c>
      <c r="D103" s="12">
        <f t="shared" si="25"/>
        <v>69.217348117720093</v>
      </c>
      <c r="E103" s="46">
        <f t="shared" si="20"/>
        <v>65.756480711834087</v>
      </c>
      <c r="F103" s="12">
        <f t="shared" si="26"/>
        <v>32.399609757230678</v>
      </c>
      <c r="G103" s="46">
        <f t="shared" si="17"/>
        <v>29.15964878150761</v>
      </c>
      <c r="H103" s="46">
        <f t="shared" si="18"/>
        <v>94.9161294933417</v>
      </c>
      <c r="I103" s="12">
        <f t="shared" si="21"/>
        <v>92.9161294933417</v>
      </c>
      <c r="J103" s="12">
        <f t="shared" si="27"/>
        <v>0.15255536888770915</v>
      </c>
      <c r="K103" s="12">
        <f t="shared" si="28"/>
        <v>7.2399825741251567</v>
      </c>
      <c r="L103" s="12">
        <f t="shared" si="16"/>
        <v>7.0874272052374474</v>
      </c>
    </row>
    <row r="104" spans="1:13" x14ac:dyDescent="0.3">
      <c r="A104" s="19">
        <f t="shared" si="29"/>
        <v>29</v>
      </c>
      <c r="B104" s="12">
        <f t="shared" si="29"/>
        <v>2043</v>
      </c>
      <c r="C104" s="12">
        <f t="shared" si="24"/>
        <v>2</v>
      </c>
      <c r="D104" s="12">
        <f t="shared" si="25"/>
        <v>70.255608339485889</v>
      </c>
      <c r="E104" s="46">
        <f t="shared" si="20"/>
        <v>66.742827922511594</v>
      </c>
      <c r="F104" s="12">
        <f t="shared" si="26"/>
        <v>32.885603903589136</v>
      </c>
      <c r="G104" s="46">
        <f t="shared" si="17"/>
        <v>29.597043513230222</v>
      </c>
      <c r="H104" s="46">
        <f t="shared" si="18"/>
        <v>96.339871435741813</v>
      </c>
      <c r="I104" s="12">
        <f t="shared" si="21"/>
        <v>94.339871435741813</v>
      </c>
      <c r="J104" s="12">
        <f t="shared" si="27"/>
        <v>0.13868669898882649</v>
      </c>
      <c r="K104" s="12">
        <f t="shared" si="28"/>
        <v>6.6805293752154844</v>
      </c>
      <c r="L104" s="12">
        <f t="shared" si="16"/>
        <v>6.5418426762266577</v>
      </c>
    </row>
    <row r="105" spans="1:13" x14ac:dyDescent="0.3">
      <c r="A105" s="19">
        <f t="shared" si="29"/>
        <v>30</v>
      </c>
      <c r="B105" s="12">
        <f t="shared" si="29"/>
        <v>2044</v>
      </c>
      <c r="C105" s="12">
        <f t="shared" si="24"/>
        <v>2</v>
      </c>
      <c r="D105" s="12">
        <f t="shared" si="25"/>
        <v>71.309442464578169</v>
      </c>
      <c r="E105" s="46">
        <f t="shared" si="20"/>
        <v>67.743970341349254</v>
      </c>
      <c r="F105" s="12">
        <f t="shared" si="26"/>
        <v>33.378887962142969</v>
      </c>
      <c r="G105" s="46">
        <f t="shared" si="17"/>
        <v>30.040999165928671</v>
      </c>
      <c r="H105" s="46">
        <f t="shared" si="18"/>
        <v>97.784969507277921</v>
      </c>
      <c r="I105" s="12">
        <f t="shared" si="21"/>
        <v>95.784969507277921</v>
      </c>
      <c r="J105" s="12">
        <f t="shared" si="27"/>
        <v>0.12607881726256953</v>
      </c>
      <c r="K105" s="12">
        <f t="shared" si="28"/>
        <v>6.1643066507670143</v>
      </c>
      <c r="L105" s="12">
        <f t="shared" si="16"/>
        <v>6.038227833504445</v>
      </c>
    </row>
    <row r="106" spans="1:13" x14ac:dyDescent="0.3">
      <c r="A106" s="19">
        <f t="shared" si="29"/>
        <v>31</v>
      </c>
      <c r="B106" s="12">
        <f t="shared" si="29"/>
        <v>2045</v>
      </c>
      <c r="C106" s="12">
        <f>C105</f>
        <v>2</v>
      </c>
      <c r="D106" s="12">
        <f t="shared" si="25"/>
        <v>72.379084101546837</v>
      </c>
      <c r="E106" s="46">
        <f t="shared" si="20"/>
        <v>68.760129896469493</v>
      </c>
      <c r="F106" s="12">
        <f t="shared" si="26"/>
        <v>33.87957128157511</v>
      </c>
      <c r="G106" s="46">
        <f t="shared" si="17"/>
        <v>30.491614153417601</v>
      </c>
      <c r="H106" s="46">
        <f t="shared" si="18"/>
        <v>99.251744049887094</v>
      </c>
      <c r="I106" s="12">
        <f t="shared" si="21"/>
        <v>97.251744049887094</v>
      </c>
      <c r="J106" s="12">
        <f t="shared" si="27"/>
        <v>0.11461710660233593</v>
      </c>
      <c r="K106" s="12">
        <f t="shared" si="28"/>
        <v>5.6879738641168345</v>
      </c>
      <c r="L106" s="12">
        <f t="shared" si="16"/>
        <v>5.5733567575144987</v>
      </c>
    </row>
    <row r="107" spans="1:13" x14ac:dyDescent="0.3">
      <c r="A107" s="44"/>
      <c r="B107" s="19" t="s">
        <v>19</v>
      </c>
      <c r="C107" s="19">
        <f>SUM(C76:C106)</f>
        <v>560</v>
      </c>
      <c r="D107" s="19">
        <f>SUM(D76:D106)</f>
        <v>1764.3180242046792</v>
      </c>
      <c r="E107" s="47">
        <f>SUM(E76:E106)</f>
        <v>1676.1021229944454</v>
      </c>
      <c r="F107" s="47">
        <f t="shared" ref="F107:G107" si="30">SUM(F76:F106)</f>
        <v>825.85099005325424</v>
      </c>
      <c r="G107" s="47">
        <f t="shared" si="30"/>
        <v>743.2658910479289</v>
      </c>
      <c r="H107" s="47">
        <f>SUM(H76:H106)</f>
        <v>2419.3680140423739</v>
      </c>
      <c r="I107" s="19">
        <f>SUM(I76:I106)</f>
        <v>1859.3680140423739</v>
      </c>
      <c r="J107" s="19">
        <f>SUM(J76:J106)</f>
        <v>517.26339890028999</v>
      </c>
      <c r="K107" s="48">
        <f>SUM(K76:K106)</f>
        <v>632.62301850789584</v>
      </c>
      <c r="L107" s="20">
        <f>SUM(L76:L106)</f>
        <v>115.35961960760602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1.223019103715558</v>
      </c>
      <c r="M108" s="40" t="s">
        <v>9</v>
      </c>
    </row>
    <row r="109" spans="1:13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2.2193402146341468E-2</v>
      </c>
      <c r="M109" s="40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84B6-A43F-4415-A4D6-4C9C4339BE1D}">
  <sheetPr>
    <tabColor rgb="FFFFFF00"/>
  </sheetPr>
  <dimension ref="A1:M109"/>
  <sheetViews>
    <sheetView topLeftCell="A62" workbookViewId="0">
      <selection activeCell="H68" sqref="H68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69.599999999999994" x14ac:dyDescent="0.3">
      <c r="A5" s="34" t="s">
        <v>66</v>
      </c>
      <c r="B5" s="10">
        <v>1.2E-2</v>
      </c>
      <c r="C5" s="30" t="s">
        <v>69</v>
      </c>
      <c r="D5" s="5"/>
      <c r="E5" s="38" t="s">
        <v>59</v>
      </c>
      <c r="F5" s="12">
        <f>L43</f>
        <v>209.97528287281821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48</v>
      </c>
      <c r="C6" s="5"/>
      <c r="D6" s="5"/>
      <c r="E6" s="38" t="s">
        <v>9</v>
      </c>
      <c r="F6" s="67">
        <f>L44</f>
        <v>1.403326443289054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11</v>
      </c>
      <c r="F7" s="13">
        <f>L45</f>
        <v>3.5363022180808557E-2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500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-500</v>
      </c>
      <c r="J12" s="12">
        <v>500</v>
      </c>
      <c r="K12" s="12">
        <v>0</v>
      </c>
      <c r="L12" s="12">
        <f t="shared" ref="L12" si="0">K12-J12</f>
        <v>-500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1">F13*0.9</f>
        <v>19.8</v>
      </c>
      <c r="H13" s="46">
        <f t="shared" ref="H13:H42" si="2">E13+G13</f>
        <v>64.45</v>
      </c>
      <c r="I13" s="12">
        <f t="shared" ref="I13:I42" si="3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ref="L13:L42" si="4">K13-J13</f>
        <v>54.954545454545453</v>
      </c>
      <c r="M13" s="18"/>
    </row>
    <row r="14" spans="1:13" x14ac:dyDescent="0.3">
      <c r="A14" s="19">
        <f t="shared" ref="A14:B29" si="5">A13+1</f>
        <v>3</v>
      </c>
      <c r="B14" s="12">
        <f t="shared" si="5"/>
        <v>2017</v>
      </c>
      <c r="C14" s="12">
        <f>C13</f>
        <v>2</v>
      </c>
      <c r="D14" s="12">
        <f>D13*(1+$B$5)</f>
        <v>47.564</v>
      </c>
      <c r="E14" s="46">
        <f t="shared" ref="E14:E42" si="6">D14*0.95</f>
        <v>45.1858</v>
      </c>
      <c r="F14" s="12">
        <f>F13*(1+$B$5)</f>
        <v>22.263999999999999</v>
      </c>
      <c r="G14" s="46">
        <f t="shared" si="1"/>
        <v>20.037600000000001</v>
      </c>
      <c r="H14" s="46">
        <f t="shared" si="2"/>
        <v>65.223399999999998</v>
      </c>
      <c r="I14" s="12">
        <f t="shared" si="3"/>
        <v>63.223399999999998</v>
      </c>
      <c r="J14" s="12">
        <f t="shared" ref="J14:J26" si="7">(C14)/((1+0.1)^($A14-1))</f>
        <v>1.6528925619834709</v>
      </c>
      <c r="K14" s="12">
        <f t="shared" ref="K14:K26" si="8">(I14)/((1+0.1)^($A14-1))</f>
        <v>52.250743801652881</v>
      </c>
      <c r="L14" s="12">
        <f t="shared" si="4"/>
        <v>50.59785123966941</v>
      </c>
      <c r="M14" s="18"/>
    </row>
    <row r="15" spans="1:13" x14ac:dyDescent="0.3">
      <c r="A15" s="19">
        <f t="shared" si="5"/>
        <v>4</v>
      </c>
      <c r="B15" s="12">
        <f t="shared" si="5"/>
        <v>2018</v>
      </c>
      <c r="C15" s="12">
        <f t="shared" ref="C15:C41" si="9">C14</f>
        <v>2</v>
      </c>
      <c r="D15" s="12">
        <f t="shared" ref="D15:D42" si="10">D14*(1+$B$5)</f>
        <v>48.134768000000001</v>
      </c>
      <c r="E15" s="46">
        <f t="shared" si="6"/>
        <v>45.728029599999999</v>
      </c>
      <c r="F15" s="12">
        <f t="shared" ref="F15:F42" si="11">F14*(1+$B$5)</f>
        <v>22.531168000000001</v>
      </c>
      <c r="G15" s="46">
        <f t="shared" si="1"/>
        <v>20.2780512</v>
      </c>
      <c r="H15" s="46">
        <f t="shared" si="2"/>
        <v>66.006080800000007</v>
      </c>
      <c r="I15" s="12">
        <f t="shared" si="3"/>
        <v>64.006080800000007</v>
      </c>
      <c r="J15" s="12">
        <f t="shared" si="7"/>
        <v>1.5026296018031551</v>
      </c>
      <c r="K15" s="12">
        <f t="shared" si="8"/>
        <v>48.08871585274229</v>
      </c>
      <c r="L15" s="12">
        <f t="shared" si="4"/>
        <v>46.586086250939132</v>
      </c>
      <c r="M15" s="18"/>
    </row>
    <row r="16" spans="1:13" x14ac:dyDescent="0.3">
      <c r="A16" s="19">
        <f t="shared" si="5"/>
        <v>5</v>
      </c>
      <c r="B16" s="12">
        <f t="shared" si="5"/>
        <v>2019</v>
      </c>
      <c r="C16" s="12">
        <f t="shared" si="9"/>
        <v>2</v>
      </c>
      <c r="D16" s="12">
        <f t="shared" si="10"/>
        <v>48.712385216000001</v>
      </c>
      <c r="E16" s="46">
        <f t="shared" si="6"/>
        <v>46.276765955199998</v>
      </c>
      <c r="F16" s="12">
        <f t="shared" si="11"/>
        <v>22.801542016000003</v>
      </c>
      <c r="G16" s="46">
        <f t="shared" si="1"/>
        <v>20.521387814400004</v>
      </c>
      <c r="H16" s="46">
        <f t="shared" si="2"/>
        <v>66.798153769600006</v>
      </c>
      <c r="I16" s="12">
        <f t="shared" si="3"/>
        <v>64.798153769600006</v>
      </c>
      <c r="J16" s="12">
        <f t="shared" si="7"/>
        <v>1.366026910730141</v>
      </c>
      <c r="K16" s="12">
        <f t="shared" si="8"/>
        <v>44.25801090745167</v>
      </c>
      <c r="L16" s="12">
        <f t="shared" si="4"/>
        <v>42.891983996721528</v>
      </c>
      <c r="M16" s="18"/>
    </row>
    <row r="17" spans="1:13" x14ac:dyDescent="0.3">
      <c r="A17" s="19">
        <f t="shared" si="5"/>
        <v>6</v>
      </c>
      <c r="B17" s="12">
        <f t="shared" si="5"/>
        <v>2020</v>
      </c>
      <c r="C17" s="12">
        <f t="shared" si="9"/>
        <v>2</v>
      </c>
      <c r="D17" s="12">
        <f t="shared" si="10"/>
        <v>49.296933838592004</v>
      </c>
      <c r="E17" s="46">
        <f t="shared" si="6"/>
        <v>46.832087146662403</v>
      </c>
      <c r="F17" s="12">
        <f t="shared" si="11"/>
        <v>23.075160520192004</v>
      </c>
      <c r="G17" s="46">
        <f t="shared" si="1"/>
        <v>20.767644468172804</v>
      </c>
      <c r="H17" s="46">
        <f t="shared" si="2"/>
        <v>67.599731614835207</v>
      </c>
      <c r="I17" s="12">
        <f t="shared" si="3"/>
        <v>65.599731614835207</v>
      </c>
      <c r="J17" s="12">
        <f t="shared" si="7"/>
        <v>1.2418426461183099</v>
      </c>
      <c r="K17" s="12">
        <f t="shared" si="8"/>
        <v>40.732272146608956</v>
      </c>
      <c r="L17" s="12">
        <f t="shared" si="4"/>
        <v>39.490429500490649</v>
      </c>
      <c r="M17" s="18"/>
    </row>
    <row r="18" spans="1:13" x14ac:dyDescent="0.3">
      <c r="A18" s="19">
        <f t="shared" si="5"/>
        <v>7</v>
      </c>
      <c r="B18" s="12">
        <f t="shared" si="5"/>
        <v>2021</v>
      </c>
      <c r="C18" s="12">
        <f t="shared" si="9"/>
        <v>2</v>
      </c>
      <c r="D18" s="12">
        <f t="shared" si="10"/>
        <v>49.888497044655111</v>
      </c>
      <c r="E18" s="46">
        <f t="shared" si="6"/>
        <v>47.39407219242235</v>
      </c>
      <c r="F18" s="12">
        <f t="shared" si="11"/>
        <v>23.352062446434307</v>
      </c>
      <c r="G18" s="46">
        <f t="shared" si="1"/>
        <v>21.016856201790876</v>
      </c>
      <c r="H18" s="46">
        <f t="shared" si="2"/>
        <v>68.410928394213229</v>
      </c>
      <c r="I18" s="12">
        <f t="shared" si="3"/>
        <v>66.410928394213229</v>
      </c>
      <c r="J18" s="12">
        <f t="shared" si="7"/>
        <v>1.1289478601075544</v>
      </c>
      <c r="K18" s="12">
        <f t="shared" si="8"/>
        <v>37.487237749201519</v>
      </c>
      <c r="L18" s="12">
        <f t="shared" si="4"/>
        <v>36.358289889093967</v>
      </c>
      <c r="M18" s="18"/>
    </row>
    <row r="19" spans="1:13" x14ac:dyDescent="0.3">
      <c r="A19" s="19">
        <f t="shared" si="5"/>
        <v>8</v>
      </c>
      <c r="B19" s="12">
        <f t="shared" si="5"/>
        <v>2022</v>
      </c>
      <c r="C19" s="12">
        <f t="shared" si="9"/>
        <v>2</v>
      </c>
      <c r="D19" s="12">
        <f t="shared" si="10"/>
        <v>50.487159009190975</v>
      </c>
      <c r="E19" s="46">
        <f t="shared" si="6"/>
        <v>47.962801058731422</v>
      </c>
      <c r="F19" s="12">
        <f t="shared" si="11"/>
        <v>23.63228719579152</v>
      </c>
      <c r="G19" s="46">
        <f t="shared" si="1"/>
        <v>21.269058476212368</v>
      </c>
      <c r="H19" s="46">
        <f t="shared" si="2"/>
        <v>69.231859534943794</v>
      </c>
      <c r="I19" s="12">
        <f t="shared" si="3"/>
        <v>67.231859534943794</v>
      </c>
      <c r="J19" s="12">
        <f t="shared" si="7"/>
        <v>1.0263162364614129</v>
      </c>
      <c r="K19" s="12">
        <f t="shared" si="8"/>
        <v>34.500574524102937</v>
      </c>
      <c r="L19" s="12">
        <f t="shared" si="4"/>
        <v>33.474258287641526</v>
      </c>
      <c r="M19" s="18"/>
    </row>
    <row r="20" spans="1:13" x14ac:dyDescent="0.3">
      <c r="A20" s="19">
        <f t="shared" si="5"/>
        <v>9</v>
      </c>
      <c r="B20" s="12">
        <f t="shared" si="5"/>
        <v>2023</v>
      </c>
      <c r="C20" s="12">
        <f t="shared" si="9"/>
        <v>2</v>
      </c>
      <c r="D20" s="12">
        <f t="shared" si="10"/>
        <v>51.093004917301265</v>
      </c>
      <c r="E20" s="46">
        <f t="shared" si="6"/>
        <v>48.538354671436203</v>
      </c>
      <c r="F20" s="12">
        <f t="shared" si="11"/>
        <v>23.915874642141016</v>
      </c>
      <c r="G20" s="46">
        <f t="shared" si="1"/>
        <v>21.524287177926915</v>
      </c>
      <c r="H20" s="46">
        <f t="shared" si="2"/>
        <v>70.062641849363118</v>
      </c>
      <c r="I20" s="12">
        <f t="shared" si="3"/>
        <v>68.062641849363118</v>
      </c>
      <c r="J20" s="12">
        <f t="shared" si="7"/>
        <v>0.93301476041946629</v>
      </c>
      <c r="K20" s="12">
        <f t="shared" si="8"/>
        <v>31.751724739299735</v>
      </c>
      <c r="L20" s="12">
        <f t="shared" si="4"/>
        <v>30.818709978880268</v>
      </c>
      <c r="M20" s="18"/>
    </row>
    <row r="21" spans="1:13" x14ac:dyDescent="0.3">
      <c r="A21" s="19">
        <f t="shared" si="5"/>
        <v>10</v>
      </c>
      <c r="B21" s="12">
        <f t="shared" si="5"/>
        <v>2024</v>
      </c>
      <c r="C21" s="12">
        <f t="shared" si="9"/>
        <v>2</v>
      </c>
      <c r="D21" s="12">
        <f t="shared" si="10"/>
        <v>51.706120976308881</v>
      </c>
      <c r="E21" s="46">
        <f t="shared" si="6"/>
        <v>49.120814927493434</v>
      </c>
      <c r="F21" s="12">
        <f t="shared" si="11"/>
        <v>24.202865137846707</v>
      </c>
      <c r="G21" s="46">
        <f t="shared" si="1"/>
        <v>21.782578624062037</v>
      </c>
      <c r="H21" s="46">
        <f t="shared" si="2"/>
        <v>70.903393551555467</v>
      </c>
      <c r="I21" s="12">
        <f t="shared" si="3"/>
        <v>68.903393551555467</v>
      </c>
      <c r="J21" s="12">
        <f t="shared" si="7"/>
        <v>0.84819523674496933</v>
      </c>
      <c r="K21" s="12">
        <f t="shared" si="8"/>
        <v>29.221765102996692</v>
      </c>
      <c r="L21" s="12">
        <f t="shared" si="4"/>
        <v>28.373569866251721</v>
      </c>
      <c r="M21" s="18"/>
    </row>
    <row r="22" spans="1:13" x14ac:dyDescent="0.3">
      <c r="A22" s="19">
        <f t="shared" si="5"/>
        <v>11</v>
      </c>
      <c r="B22" s="12">
        <f t="shared" si="5"/>
        <v>2025</v>
      </c>
      <c r="C22" s="12">
        <f t="shared" si="9"/>
        <v>2</v>
      </c>
      <c r="D22" s="12">
        <f t="shared" si="10"/>
        <v>52.326594428024592</v>
      </c>
      <c r="E22" s="46">
        <f t="shared" si="6"/>
        <v>49.710264706623363</v>
      </c>
      <c r="F22" s="12">
        <f t="shared" si="11"/>
        <v>24.493299519500869</v>
      </c>
      <c r="G22" s="46">
        <f t="shared" si="1"/>
        <v>22.043969567550782</v>
      </c>
      <c r="H22" s="46">
        <f t="shared" si="2"/>
        <v>71.754234274174138</v>
      </c>
      <c r="I22" s="12">
        <f t="shared" si="3"/>
        <v>69.754234274174138</v>
      </c>
      <c r="J22" s="12">
        <f t="shared" si="7"/>
        <v>0.77108657885906295</v>
      </c>
      <c r="K22" s="12">
        <f t="shared" si="8"/>
        <v>26.893276933703262</v>
      </c>
      <c r="L22" s="12">
        <f t="shared" si="4"/>
        <v>26.1221903548442</v>
      </c>
      <c r="M22" s="18"/>
    </row>
    <row r="23" spans="1:13" x14ac:dyDescent="0.3">
      <c r="A23" s="19">
        <f t="shared" si="5"/>
        <v>12</v>
      </c>
      <c r="B23" s="12">
        <f t="shared" si="5"/>
        <v>2026</v>
      </c>
      <c r="C23" s="12">
        <f t="shared" si="9"/>
        <v>2</v>
      </c>
      <c r="D23" s="12">
        <f t="shared" si="10"/>
        <v>52.954513561160887</v>
      </c>
      <c r="E23" s="46">
        <f t="shared" si="6"/>
        <v>50.306787883102842</v>
      </c>
      <c r="F23" s="12">
        <f t="shared" si="11"/>
        <v>24.787219113734881</v>
      </c>
      <c r="G23" s="46">
        <f t="shared" si="1"/>
        <v>22.308497202361394</v>
      </c>
      <c r="H23" s="46">
        <f t="shared" si="2"/>
        <v>72.615285085464237</v>
      </c>
      <c r="I23" s="12">
        <f t="shared" si="3"/>
        <v>70.615285085464237</v>
      </c>
      <c r="J23" s="12">
        <f t="shared" si="7"/>
        <v>0.7009877989627844</v>
      </c>
      <c r="K23" s="12">
        <f t="shared" si="8"/>
        <v>24.750226632594554</v>
      </c>
      <c r="L23" s="12">
        <f t="shared" si="4"/>
        <v>24.049238833631769</v>
      </c>
      <c r="M23" s="18"/>
    </row>
    <row r="24" spans="1:13" x14ac:dyDescent="0.3">
      <c r="A24" s="19">
        <f t="shared" si="5"/>
        <v>13</v>
      </c>
      <c r="B24" s="12">
        <f t="shared" si="5"/>
        <v>2027</v>
      </c>
      <c r="C24" s="12">
        <f t="shared" si="9"/>
        <v>2</v>
      </c>
      <c r="D24" s="12">
        <f t="shared" si="10"/>
        <v>53.589967723894816</v>
      </c>
      <c r="E24" s="46">
        <f t="shared" si="6"/>
        <v>50.910469337700071</v>
      </c>
      <c r="F24" s="12">
        <f t="shared" si="11"/>
        <v>25.084665743099702</v>
      </c>
      <c r="G24" s="46">
        <f t="shared" si="1"/>
        <v>22.576199168789731</v>
      </c>
      <c r="H24" s="46">
        <f t="shared" si="2"/>
        <v>73.486668506489806</v>
      </c>
      <c r="I24" s="12">
        <f t="shared" si="3"/>
        <v>71.486668506489806</v>
      </c>
      <c r="J24" s="12">
        <f t="shared" si="7"/>
        <v>0.63726163542071312</v>
      </c>
      <c r="K24" s="12">
        <f t="shared" si="8"/>
        <v>22.777855641612039</v>
      </c>
      <c r="L24" s="12">
        <f t="shared" si="4"/>
        <v>22.140594006191325</v>
      </c>
      <c r="M24" s="18"/>
    </row>
    <row r="25" spans="1:13" x14ac:dyDescent="0.3">
      <c r="A25" s="19">
        <f t="shared" si="5"/>
        <v>14</v>
      </c>
      <c r="B25" s="12">
        <f t="shared" si="5"/>
        <v>2028</v>
      </c>
      <c r="C25" s="12">
        <f t="shared" si="9"/>
        <v>2</v>
      </c>
      <c r="D25" s="12">
        <f t="shared" si="10"/>
        <v>54.233047336581556</v>
      </c>
      <c r="E25" s="46">
        <f t="shared" si="6"/>
        <v>51.521394969752478</v>
      </c>
      <c r="F25" s="12">
        <f t="shared" si="11"/>
        <v>25.385681732016899</v>
      </c>
      <c r="G25" s="46">
        <f t="shared" si="1"/>
        <v>22.847113558815209</v>
      </c>
      <c r="H25" s="46">
        <f t="shared" si="2"/>
        <v>74.368508528567688</v>
      </c>
      <c r="I25" s="12">
        <f t="shared" si="3"/>
        <v>72.368508528567688</v>
      </c>
      <c r="J25" s="12">
        <f t="shared" si="7"/>
        <v>0.57932875947337559</v>
      </c>
      <c r="K25" s="12">
        <f t="shared" si="8"/>
        <v>20.962579135396759</v>
      </c>
      <c r="L25" s="12">
        <f t="shared" si="4"/>
        <v>20.383250375923382</v>
      </c>
      <c r="M25" s="18"/>
    </row>
    <row r="26" spans="1:13" x14ac:dyDescent="0.3">
      <c r="A26" s="19">
        <f t="shared" si="5"/>
        <v>15</v>
      </c>
      <c r="B26" s="12">
        <f t="shared" si="5"/>
        <v>2029</v>
      </c>
      <c r="C26" s="12">
        <f t="shared" si="9"/>
        <v>2</v>
      </c>
      <c r="D26" s="12">
        <f t="shared" si="10"/>
        <v>54.883843904620534</v>
      </c>
      <c r="E26" s="46">
        <f t="shared" si="6"/>
        <v>52.139651709389504</v>
      </c>
      <c r="F26" s="12">
        <f t="shared" si="11"/>
        <v>25.690309912801101</v>
      </c>
      <c r="G26" s="46">
        <f t="shared" si="1"/>
        <v>23.121278921520993</v>
      </c>
      <c r="H26" s="46">
        <f t="shared" si="2"/>
        <v>75.260930630910494</v>
      </c>
      <c r="I26" s="12">
        <f t="shared" si="3"/>
        <v>73.260930630910494</v>
      </c>
      <c r="J26" s="12">
        <f t="shared" si="7"/>
        <v>0.52666250861215946</v>
      </c>
      <c r="K26" s="12">
        <f t="shared" si="8"/>
        <v>19.291892754668357</v>
      </c>
      <c r="L26" s="12">
        <f t="shared" si="4"/>
        <v>18.765230246056198</v>
      </c>
      <c r="M26" s="18"/>
    </row>
    <row r="27" spans="1:13" x14ac:dyDescent="0.3">
      <c r="A27" s="19">
        <f t="shared" si="5"/>
        <v>16</v>
      </c>
      <c r="B27" s="12">
        <f t="shared" si="5"/>
        <v>2030</v>
      </c>
      <c r="C27" s="12">
        <f t="shared" si="9"/>
        <v>2</v>
      </c>
      <c r="D27" s="12">
        <f t="shared" si="10"/>
        <v>55.54245003147598</v>
      </c>
      <c r="E27" s="46">
        <f t="shared" si="6"/>
        <v>52.76532752990218</v>
      </c>
      <c r="F27" s="12">
        <f t="shared" si="11"/>
        <v>25.998593631754716</v>
      </c>
      <c r="G27" s="46">
        <f t="shared" si="1"/>
        <v>23.398734268579243</v>
      </c>
      <c r="H27" s="46">
        <f t="shared" si="2"/>
        <v>76.164061798481427</v>
      </c>
      <c r="I27" s="12">
        <f t="shared" si="3"/>
        <v>74.164061798481427</v>
      </c>
      <c r="J27" s="12">
        <f>(C27)/((1+0.1)^($A27-1))</f>
        <v>0.47878409873832678</v>
      </c>
      <c r="K27" s="12">
        <f>(H27)/((1+0.1)^($A27-1))</f>
        <v>18.233070842218076</v>
      </c>
      <c r="L27" s="12">
        <f t="shared" si="4"/>
        <v>17.754286743479749</v>
      </c>
      <c r="M27" s="18"/>
    </row>
    <row r="28" spans="1:13" x14ac:dyDescent="0.3">
      <c r="A28" s="19">
        <f t="shared" si="5"/>
        <v>17</v>
      </c>
      <c r="B28" s="12">
        <f t="shared" si="5"/>
        <v>2031</v>
      </c>
      <c r="C28" s="12">
        <f t="shared" si="9"/>
        <v>2</v>
      </c>
      <c r="D28" s="12">
        <f t="shared" si="10"/>
        <v>56.208959431853692</v>
      </c>
      <c r="E28" s="46">
        <f t="shared" si="6"/>
        <v>53.398511460261005</v>
      </c>
      <c r="F28" s="12">
        <f t="shared" si="11"/>
        <v>26.310576755335774</v>
      </c>
      <c r="G28" s="46">
        <f t="shared" si="1"/>
        <v>23.679519079802198</v>
      </c>
      <c r="H28" s="46">
        <f t="shared" si="2"/>
        <v>77.078030540063196</v>
      </c>
      <c r="I28" s="12">
        <f t="shared" si="3"/>
        <v>75.078030540063196</v>
      </c>
      <c r="J28" s="12">
        <f t="shared" ref="J28:J42" si="12">(C28)/((1+0.08)^($A28-1))</f>
        <v>0.58378093512201845</v>
      </c>
      <c r="K28" s="12">
        <f t="shared" ref="K28:K42" si="13">(H28)/((1+0.08)^($A28-1))</f>
        <v>22.498342373020794</v>
      </c>
      <c r="L28" s="12">
        <f t="shared" si="4"/>
        <v>21.914561437898776</v>
      </c>
      <c r="M28" s="18"/>
    </row>
    <row r="29" spans="1:13" x14ac:dyDescent="0.3">
      <c r="A29" s="19">
        <f t="shared" si="5"/>
        <v>18</v>
      </c>
      <c r="B29" s="12">
        <f t="shared" si="5"/>
        <v>2032</v>
      </c>
      <c r="C29" s="12">
        <f t="shared" si="9"/>
        <v>2</v>
      </c>
      <c r="D29" s="12">
        <f t="shared" si="10"/>
        <v>56.883466945035934</v>
      </c>
      <c r="E29" s="46">
        <f t="shared" si="6"/>
        <v>54.039293597784138</v>
      </c>
      <c r="F29" s="12">
        <f t="shared" si="11"/>
        <v>26.626303676399804</v>
      </c>
      <c r="G29" s="46">
        <f t="shared" si="1"/>
        <v>23.963673308759823</v>
      </c>
      <c r="H29" s="46">
        <f t="shared" si="2"/>
        <v>78.002966906543961</v>
      </c>
      <c r="I29" s="12">
        <f t="shared" si="3"/>
        <v>76.002966906543961</v>
      </c>
      <c r="J29" s="12">
        <f t="shared" si="12"/>
        <v>0.54053790289075787</v>
      </c>
      <c r="K29" s="12">
        <f t="shared" si="13"/>
        <v>21.081780075460227</v>
      </c>
      <c r="L29" s="12">
        <f t="shared" si="4"/>
        <v>20.541242172569468</v>
      </c>
      <c r="M29" s="18"/>
    </row>
    <row r="30" spans="1:13" x14ac:dyDescent="0.3">
      <c r="A30" s="19">
        <f t="shared" ref="A30:B42" si="14">A29+1</f>
        <v>19</v>
      </c>
      <c r="B30" s="12">
        <f t="shared" si="14"/>
        <v>2033</v>
      </c>
      <c r="C30" s="12">
        <f t="shared" si="9"/>
        <v>2</v>
      </c>
      <c r="D30" s="12">
        <f t="shared" si="10"/>
        <v>57.566068548376364</v>
      </c>
      <c r="E30" s="46">
        <f t="shared" si="6"/>
        <v>54.687765120957543</v>
      </c>
      <c r="F30" s="12">
        <f t="shared" si="11"/>
        <v>26.945819320516602</v>
      </c>
      <c r="G30" s="46">
        <f t="shared" si="1"/>
        <v>24.251237388464943</v>
      </c>
      <c r="H30" s="46">
        <f t="shared" si="2"/>
        <v>78.939002509422494</v>
      </c>
      <c r="I30" s="12">
        <f t="shared" si="3"/>
        <v>76.939002509422494</v>
      </c>
      <c r="J30" s="12">
        <f t="shared" si="12"/>
        <v>0.50049805823218307</v>
      </c>
      <c r="K30" s="12">
        <f t="shared" si="13"/>
        <v>19.754408737375694</v>
      </c>
      <c r="L30" s="12">
        <f t="shared" si="4"/>
        <v>19.253910679143512</v>
      </c>
      <c r="M30" s="18"/>
    </row>
    <row r="31" spans="1:13" x14ac:dyDescent="0.3">
      <c r="A31" s="19">
        <f t="shared" si="14"/>
        <v>20</v>
      </c>
      <c r="B31" s="12">
        <f t="shared" si="14"/>
        <v>2034</v>
      </c>
      <c r="C31" s="12">
        <f t="shared" si="9"/>
        <v>2</v>
      </c>
      <c r="D31" s="12">
        <f t="shared" si="10"/>
        <v>58.256861370956884</v>
      </c>
      <c r="E31" s="46">
        <f t="shared" si="6"/>
        <v>55.34401830240904</v>
      </c>
      <c r="F31" s="12">
        <f t="shared" si="11"/>
        <v>27.269169152362803</v>
      </c>
      <c r="G31" s="46">
        <f t="shared" si="1"/>
        <v>24.542252237126522</v>
      </c>
      <c r="H31" s="46">
        <f t="shared" si="2"/>
        <v>79.886270539535559</v>
      </c>
      <c r="I31" s="12">
        <f t="shared" si="3"/>
        <v>77.886270539535559</v>
      </c>
      <c r="J31" s="12">
        <f t="shared" si="12"/>
        <v>0.46342412799276211</v>
      </c>
      <c r="K31" s="12">
        <f t="shared" si="13"/>
        <v>18.510612631689074</v>
      </c>
      <c r="L31" s="12">
        <f t="shared" si="4"/>
        <v>18.047188503696312</v>
      </c>
      <c r="M31" s="18"/>
    </row>
    <row r="32" spans="1:13" x14ac:dyDescent="0.3">
      <c r="A32" s="19">
        <f t="shared" si="14"/>
        <v>21</v>
      </c>
      <c r="B32" s="12">
        <f t="shared" si="14"/>
        <v>2035</v>
      </c>
      <c r="C32" s="12">
        <f t="shared" si="9"/>
        <v>2</v>
      </c>
      <c r="D32" s="12">
        <f t="shared" si="10"/>
        <v>58.955943707408366</v>
      </c>
      <c r="E32" s="46">
        <f t="shared" si="6"/>
        <v>56.008146522037947</v>
      </c>
      <c r="F32" s="12">
        <f t="shared" si="11"/>
        <v>27.596399182191156</v>
      </c>
      <c r="G32" s="46">
        <f t="shared" si="1"/>
        <v>24.836759263972041</v>
      </c>
      <c r="H32" s="46">
        <f t="shared" si="2"/>
        <v>80.844905786009988</v>
      </c>
      <c r="I32" s="12">
        <f t="shared" si="3"/>
        <v>78.844905786009988</v>
      </c>
      <c r="J32" s="12">
        <f t="shared" si="12"/>
        <v>0.42909641480811306</v>
      </c>
      <c r="K32" s="12">
        <f t="shared" si="13"/>
        <v>17.345129614138283</v>
      </c>
      <c r="L32" s="12">
        <f t="shared" si="4"/>
        <v>16.916033199330169</v>
      </c>
      <c r="M32" s="18"/>
    </row>
    <row r="33" spans="1:13" x14ac:dyDescent="0.3">
      <c r="A33" s="19">
        <f t="shared" si="14"/>
        <v>22</v>
      </c>
      <c r="B33" s="12">
        <f t="shared" si="14"/>
        <v>2036</v>
      </c>
      <c r="C33" s="12">
        <f t="shared" si="9"/>
        <v>2</v>
      </c>
      <c r="D33" s="12">
        <f t="shared" si="10"/>
        <v>59.663415031897266</v>
      </c>
      <c r="E33" s="46">
        <f t="shared" si="6"/>
        <v>56.680244280302396</v>
      </c>
      <c r="F33" s="12">
        <f t="shared" si="11"/>
        <v>27.927555972377451</v>
      </c>
      <c r="G33" s="46">
        <f t="shared" si="1"/>
        <v>25.134800375139708</v>
      </c>
      <c r="H33" s="46">
        <f t="shared" si="2"/>
        <v>81.815044655442108</v>
      </c>
      <c r="I33" s="12">
        <f t="shared" si="3"/>
        <v>79.815044655442108</v>
      </c>
      <c r="J33" s="12">
        <f t="shared" si="12"/>
        <v>0.39731149519269726</v>
      </c>
      <c r="K33" s="12">
        <f t="shared" si="13"/>
        <v>16.253028860655501</v>
      </c>
      <c r="L33" s="12">
        <f t="shared" si="4"/>
        <v>15.855717365462803</v>
      </c>
      <c r="M33" s="18"/>
    </row>
    <row r="34" spans="1:13" x14ac:dyDescent="0.3">
      <c r="A34" s="19">
        <f t="shared" si="14"/>
        <v>23</v>
      </c>
      <c r="B34" s="12">
        <f t="shared" si="14"/>
        <v>2037</v>
      </c>
      <c r="C34" s="12">
        <f t="shared" si="9"/>
        <v>2</v>
      </c>
      <c r="D34" s="12">
        <f t="shared" si="10"/>
        <v>60.379376012280034</v>
      </c>
      <c r="E34" s="46">
        <f t="shared" si="6"/>
        <v>57.360407211666029</v>
      </c>
      <c r="F34" s="12">
        <f t="shared" si="11"/>
        <v>28.262686644045981</v>
      </c>
      <c r="G34" s="46">
        <f t="shared" si="1"/>
        <v>25.436417979641384</v>
      </c>
      <c r="H34" s="46">
        <f t="shared" si="2"/>
        <v>82.79682519130742</v>
      </c>
      <c r="I34" s="12">
        <f t="shared" si="3"/>
        <v>80.79682519130742</v>
      </c>
      <c r="J34" s="12">
        <f t="shared" si="12"/>
        <v>0.36788101406731222</v>
      </c>
      <c r="K34" s="12">
        <f t="shared" si="13"/>
        <v>15.229690006466079</v>
      </c>
      <c r="L34" s="12">
        <f t="shared" si="4"/>
        <v>14.861808992398768</v>
      </c>
      <c r="M34" s="18"/>
    </row>
    <row r="35" spans="1:13" x14ac:dyDescent="0.3">
      <c r="A35" s="19">
        <f t="shared" si="14"/>
        <v>24</v>
      </c>
      <c r="B35" s="12">
        <f t="shared" si="14"/>
        <v>2038</v>
      </c>
      <c r="C35" s="12">
        <f t="shared" si="9"/>
        <v>2</v>
      </c>
      <c r="D35" s="12">
        <f t="shared" si="10"/>
        <v>61.103928524427396</v>
      </c>
      <c r="E35" s="46">
        <f t="shared" si="6"/>
        <v>58.048732098206024</v>
      </c>
      <c r="F35" s="12">
        <f t="shared" si="11"/>
        <v>28.601838883774533</v>
      </c>
      <c r="G35" s="46">
        <f t="shared" si="1"/>
        <v>25.741654995397081</v>
      </c>
      <c r="H35" s="46">
        <f t="shared" si="2"/>
        <v>83.790387093603101</v>
      </c>
      <c r="I35" s="12">
        <f t="shared" si="3"/>
        <v>81.790387093603101</v>
      </c>
      <c r="J35" s="12">
        <f t="shared" si="12"/>
        <v>0.34063056858084467</v>
      </c>
      <c r="K35" s="12">
        <f t="shared" si="13"/>
        <v>14.270783598651546</v>
      </c>
      <c r="L35" s="12">
        <f t="shared" si="4"/>
        <v>13.9301530300707</v>
      </c>
      <c r="M35" s="18"/>
    </row>
    <row r="36" spans="1:13" x14ac:dyDescent="0.3">
      <c r="A36" s="19">
        <f t="shared" si="14"/>
        <v>25</v>
      </c>
      <c r="B36" s="12">
        <f t="shared" si="14"/>
        <v>2039</v>
      </c>
      <c r="C36" s="12">
        <f t="shared" si="9"/>
        <v>2</v>
      </c>
      <c r="D36" s="12">
        <f t="shared" si="10"/>
        <v>61.837175666720526</v>
      </c>
      <c r="E36" s="46">
        <f t="shared" si="6"/>
        <v>58.745316883384497</v>
      </c>
      <c r="F36" s="12">
        <f t="shared" si="11"/>
        <v>28.94506095037983</v>
      </c>
      <c r="G36" s="46">
        <f t="shared" si="1"/>
        <v>26.050554855341847</v>
      </c>
      <c r="H36" s="46">
        <f t="shared" si="2"/>
        <v>84.795871738726348</v>
      </c>
      <c r="I36" s="12">
        <f t="shared" si="3"/>
        <v>82.795871738726348</v>
      </c>
      <c r="J36" s="12">
        <f t="shared" si="12"/>
        <v>0.31539867461189319</v>
      </c>
      <c r="K36" s="12">
        <f t="shared" si="13"/>
        <v>13.372252779477192</v>
      </c>
      <c r="L36" s="12">
        <f t="shared" si="4"/>
        <v>13.056854104865298</v>
      </c>
      <c r="M36" s="18"/>
    </row>
    <row r="37" spans="1:13" x14ac:dyDescent="0.3">
      <c r="A37" s="19">
        <f t="shared" si="14"/>
        <v>26</v>
      </c>
      <c r="B37" s="12">
        <f t="shared" si="14"/>
        <v>2040</v>
      </c>
      <c r="C37" s="12">
        <f t="shared" si="9"/>
        <v>2</v>
      </c>
      <c r="D37" s="12">
        <f t="shared" si="10"/>
        <v>62.579221774721177</v>
      </c>
      <c r="E37" s="46">
        <f t="shared" si="6"/>
        <v>59.450260685985114</v>
      </c>
      <c r="F37" s="12">
        <f t="shared" si="11"/>
        <v>29.292401681784387</v>
      </c>
      <c r="G37" s="46">
        <f t="shared" si="1"/>
        <v>26.363161513605949</v>
      </c>
      <c r="H37" s="46">
        <f t="shared" si="2"/>
        <v>85.813422199591059</v>
      </c>
      <c r="I37" s="12">
        <f t="shared" si="3"/>
        <v>83.813422199591059</v>
      </c>
      <c r="J37" s="12">
        <f t="shared" si="12"/>
        <v>0.292035809825827</v>
      </c>
      <c r="K37" s="12">
        <f t="shared" si="13"/>
        <v>12.530296122991588</v>
      </c>
      <c r="L37" s="12">
        <f t="shared" si="4"/>
        <v>12.238260313165762</v>
      </c>
      <c r="M37" s="18"/>
    </row>
    <row r="38" spans="1:13" x14ac:dyDescent="0.3">
      <c r="A38" s="19">
        <f t="shared" si="14"/>
        <v>27</v>
      </c>
      <c r="B38" s="12">
        <f t="shared" si="14"/>
        <v>2041</v>
      </c>
      <c r="C38" s="12">
        <f t="shared" si="9"/>
        <v>2</v>
      </c>
      <c r="D38" s="12">
        <f t="shared" si="10"/>
        <v>63.330172436017833</v>
      </c>
      <c r="E38" s="46">
        <f t="shared" si="6"/>
        <v>60.163663814216939</v>
      </c>
      <c r="F38" s="12">
        <f t="shared" si="11"/>
        <v>29.643910501965799</v>
      </c>
      <c r="G38" s="46">
        <f t="shared" si="1"/>
        <v>26.67951945176922</v>
      </c>
      <c r="H38" s="46">
        <f t="shared" si="2"/>
        <v>86.843183265986156</v>
      </c>
      <c r="I38" s="12">
        <f t="shared" si="3"/>
        <v>84.843183265986156</v>
      </c>
      <c r="J38" s="12">
        <f t="shared" si="12"/>
        <v>0.27040352761650649</v>
      </c>
      <c r="K38" s="12">
        <f t="shared" si="13"/>
        <v>11.741351552284712</v>
      </c>
      <c r="L38" s="12">
        <f t="shared" si="4"/>
        <v>11.470948024668205</v>
      </c>
      <c r="M38" s="18"/>
    </row>
    <row r="39" spans="1:13" x14ac:dyDescent="0.3">
      <c r="A39" s="19">
        <f t="shared" si="14"/>
        <v>28</v>
      </c>
      <c r="B39" s="12">
        <f t="shared" si="14"/>
        <v>2042</v>
      </c>
      <c r="C39" s="12">
        <f t="shared" si="9"/>
        <v>2</v>
      </c>
      <c r="D39" s="12">
        <f t="shared" si="10"/>
        <v>64.090134505250049</v>
      </c>
      <c r="E39" s="46">
        <f t="shared" si="6"/>
        <v>60.885627779987544</v>
      </c>
      <c r="F39" s="12">
        <f t="shared" si="11"/>
        <v>29.999637427989388</v>
      </c>
      <c r="G39" s="46">
        <f t="shared" si="1"/>
        <v>26.999673685190448</v>
      </c>
      <c r="H39" s="46">
        <f t="shared" si="2"/>
        <v>87.885301465177989</v>
      </c>
      <c r="I39" s="12">
        <f t="shared" si="3"/>
        <v>85.885301465177989</v>
      </c>
      <c r="J39" s="12">
        <f t="shared" si="12"/>
        <v>0.25037363668195045</v>
      </c>
      <c r="K39" s="12">
        <f t="shared" si="13"/>
        <v>11.002081269363082</v>
      </c>
      <c r="L39" s="12">
        <f t="shared" si="4"/>
        <v>10.751707632681132</v>
      </c>
      <c r="M39" s="18"/>
    </row>
    <row r="40" spans="1:13" x14ac:dyDescent="0.3">
      <c r="A40" s="19">
        <f t="shared" si="14"/>
        <v>29</v>
      </c>
      <c r="B40" s="12">
        <f t="shared" si="14"/>
        <v>2043</v>
      </c>
      <c r="C40" s="12">
        <f t="shared" si="9"/>
        <v>2</v>
      </c>
      <c r="D40" s="12">
        <f t="shared" si="10"/>
        <v>64.859216119313047</v>
      </c>
      <c r="E40" s="46">
        <f t="shared" si="6"/>
        <v>61.616255313347388</v>
      </c>
      <c r="F40" s="12">
        <f t="shared" si="11"/>
        <v>30.35963307712526</v>
      </c>
      <c r="G40" s="46">
        <f t="shared" si="1"/>
        <v>27.323669769412735</v>
      </c>
      <c r="H40" s="46">
        <f t="shared" si="2"/>
        <v>88.939925082760126</v>
      </c>
      <c r="I40" s="12">
        <f t="shared" si="3"/>
        <v>86.939925082760126</v>
      </c>
      <c r="J40" s="12">
        <f t="shared" si="12"/>
        <v>0.23182744137217634</v>
      </c>
      <c r="K40" s="12">
        <f t="shared" si="13"/>
        <v>10.309357633884664</v>
      </c>
      <c r="L40" s="12">
        <f t="shared" si="4"/>
        <v>10.077530192512487</v>
      </c>
      <c r="M40" s="18"/>
    </row>
    <row r="41" spans="1:13" x14ac:dyDescent="0.3">
      <c r="A41" s="19">
        <f t="shared" si="14"/>
        <v>30</v>
      </c>
      <c r="B41" s="12">
        <f t="shared" si="14"/>
        <v>2044</v>
      </c>
      <c r="C41" s="12">
        <f t="shared" si="9"/>
        <v>2</v>
      </c>
      <c r="D41" s="12">
        <f t="shared" si="10"/>
        <v>65.637526712744801</v>
      </c>
      <c r="E41" s="46">
        <f t="shared" si="6"/>
        <v>62.355650377107558</v>
      </c>
      <c r="F41" s="12">
        <f t="shared" si="11"/>
        <v>30.723948674050764</v>
      </c>
      <c r="G41" s="46">
        <f t="shared" si="1"/>
        <v>27.651553806645687</v>
      </c>
      <c r="H41" s="46">
        <f t="shared" si="2"/>
        <v>90.007204183753245</v>
      </c>
      <c r="I41" s="12">
        <f t="shared" si="3"/>
        <v>88.007204183753245</v>
      </c>
      <c r="J41" s="12">
        <f t="shared" si="12"/>
        <v>0.21465503830757068</v>
      </c>
      <c r="K41" s="12">
        <f t="shared" si="13"/>
        <v>9.6602499310104442</v>
      </c>
      <c r="L41" s="12">
        <f t="shared" si="4"/>
        <v>9.4455948927028732</v>
      </c>
      <c r="M41" s="18"/>
    </row>
    <row r="42" spans="1:13" x14ac:dyDescent="0.3">
      <c r="A42" s="19">
        <f t="shared" si="14"/>
        <v>31</v>
      </c>
      <c r="B42" s="12">
        <f t="shared" si="14"/>
        <v>2045</v>
      </c>
      <c r="C42" s="12">
        <f>C41</f>
        <v>2</v>
      </c>
      <c r="D42" s="12">
        <f t="shared" si="10"/>
        <v>66.425177033297743</v>
      </c>
      <c r="E42" s="46">
        <f t="shared" si="6"/>
        <v>63.103918181632849</v>
      </c>
      <c r="F42" s="12">
        <f t="shared" si="11"/>
        <v>31.092636058139373</v>
      </c>
      <c r="G42" s="46">
        <f t="shared" si="1"/>
        <v>27.983372452325437</v>
      </c>
      <c r="H42" s="46">
        <f t="shared" si="2"/>
        <v>91.08729063395829</v>
      </c>
      <c r="I42" s="12">
        <f t="shared" si="3"/>
        <v>89.08729063395829</v>
      </c>
      <c r="J42" s="12">
        <f t="shared" si="12"/>
        <v>0.19875466509960246</v>
      </c>
      <c r="K42" s="12">
        <f t="shared" si="13"/>
        <v>9.0520119723912682</v>
      </c>
      <c r="L42" s="12">
        <f t="shared" si="4"/>
        <v>8.8532573072916652</v>
      </c>
      <c r="M42" s="18"/>
    </row>
    <row r="43" spans="1:13" x14ac:dyDescent="0.3">
      <c r="A43" s="12"/>
      <c r="B43" s="19" t="s">
        <v>19</v>
      </c>
      <c r="C43" s="19">
        <f t="shared" ref="C43:L43" si="15">SUM(C12:C42)</f>
        <v>560</v>
      </c>
      <c r="D43" s="19">
        <f>SUM(D12:D42)</f>
        <v>1685.1899298081078</v>
      </c>
      <c r="E43" s="47">
        <f>SUM(E12:E42)</f>
        <v>1600.9304333177022</v>
      </c>
      <c r="F43" s="47">
        <f t="shared" ref="F43:G43" si="16">SUM(F12:F42)</f>
        <v>788.81230756975276</v>
      </c>
      <c r="G43" s="47">
        <f t="shared" si="16"/>
        <v>709.93107681277741</v>
      </c>
      <c r="H43" s="47">
        <f>SUM(H12:H42)</f>
        <v>2310.8615101304799</v>
      </c>
      <c r="I43" s="19">
        <f t="shared" si="15"/>
        <v>1750.8615101304795</v>
      </c>
      <c r="J43" s="19">
        <f t="shared" si="15"/>
        <v>520.60876832301881</v>
      </c>
      <c r="K43" s="19">
        <f t="shared" si="15"/>
        <v>730.58405119583711</v>
      </c>
      <c r="L43" s="20">
        <f t="shared" si="15"/>
        <v>209.97528287281821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1.403326443289054</v>
      </c>
      <c r="M44" s="40" t="s">
        <v>9</v>
      </c>
    </row>
    <row r="45" spans="1:13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3.5363022180808557E-2</v>
      </c>
      <c r="M45" s="40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69.599999999999994" x14ac:dyDescent="0.3">
      <c r="A66" s="34" t="s">
        <v>67</v>
      </c>
      <c r="B66" s="10">
        <v>1.2E-2</v>
      </c>
      <c r="C66" s="30" t="s">
        <v>69</v>
      </c>
      <c r="D66" s="37" t="s">
        <v>59</v>
      </c>
      <c r="E66" s="25">
        <f>L107</f>
        <v>98.757578549861663</v>
      </c>
      <c r="F66" s="24" t="s">
        <v>7</v>
      </c>
    </row>
    <row r="67" spans="1:12" ht="46.8" x14ac:dyDescent="0.3">
      <c r="A67" s="34" t="s">
        <v>8</v>
      </c>
      <c r="B67" s="23" t="s">
        <v>48</v>
      </c>
      <c r="D67" s="37" t="s">
        <v>9</v>
      </c>
      <c r="E67" s="51">
        <f>L108</f>
        <v>1.1909231906990168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53</v>
      </c>
      <c r="E68" s="26">
        <f>L109</f>
        <v>1.9443010699816243E-2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500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-500</v>
      </c>
      <c r="J76" s="12">
        <v>500</v>
      </c>
      <c r="K76" s="12">
        <v>0</v>
      </c>
      <c r="L76" s="12">
        <f t="shared" ref="L76" si="17">K76-J76</f>
        <v>-500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8">F77*0.9</f>
        <v>19.8</v>
      </c>
      <c r="H77" s="46">
        <f t="shared" ref="H77:H106" si="19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ref="L77:L106" si="20">K77-J77</f>
        <v>55.758928571428569</v>
      </c>
    </row>
    <row r="78" spans="1:12" x14ac:dyDescent="0.3">
      <c r="A78" s="19">
        <f t="shared" ref="A78:B93" si="21">A77+1</f>
        <v>3</v>
      </c>
      <c r="B78" s="12">
        <f t="shared" si="21"/>
        <v>2017</v>
      </c>
      <c r="C78" s="12">
        <f>C77</f>
        <v>2</v>
      </c>
      <c r="D78" s="12">
        <f>D77*(1+$B$66)</f>
        <v>47.564</v>
      </c>
      <c r="E78" s="46">
        <f t="shared" ref="E78:E106" si="22">D78*0.95</f>
        <v>45.1858</v>
      </c>
      <c r="F78" s="12">
        <f>F77*(1+$B$66)</f>
        <v>22.263999999999999</v>
      </c>
      <c r="G78" s="46">
        <f t="shared" si="18"/>
        <v>20.037600000000001</v>
      </c>
      <c r="H78" s="46">
        <f t="shared" si="19"/>
        <v>65.223399999999998</v>
      </c>
      <c r="I78" s="12">
        <f t="shared" ref="I78:I106" si="23">H78-C78</f>
        <v>63.223399999999998</v>
      </c>
      <c r="J78" s="12">
        <f t="shared" ref="J78:J90" si="24">(C78)/((1+0.12)^($A78-1))</f>
        <v>1.5943877551020407</v>
      </c>
      <c r="K78" s="12">
        <f t="shared" ref="K78:K91" si="25">(H78)/((1+0.12)^($A78-1))</f>
        <v>51.995695153061213</v>
      </c>
      <c r="L78" s="12">
        <f t="shared" si="20"/>
        <v>50.401307397959172</v>
      </c>
    </row>
    <row r="79" spans="1:12" x14ac:dyDescent="0.3">
      <c r="A79" s="19">
        <f t="shared" si="21"/>
        <v>4</v>
      </c>
      <c r="B79" s="12">
        <f t="shared" si="21"/>
        <v>2018</v>
      </c>
      <c r="C79" s="12">
        <f t="shared" ref="C79:C105" si="26">C78</f>
        <v>2</v>
      </c>
      <c r="D79" s="12">
        <f t="shared" ref="D79:D106" si="27">D78*(1+$B$66)</f>
        <v>48.134768000000001</v>
      </c>
      <c r="E79" s="46">
        <f t="shared" si="22"/>
        <v>45.728029599999999</v>
      </c>
      <c r="F79" s="12">
        <f t="shared" ref="F79:F106" si="28">F78*(1+$B$66)</f>
        <v>22.531168000000001</v>
      </c>
      <c r="G79" s="46">
        <f t="shared" si="18"/>
        <v>20.2780512</v>
      </c>
      <c r="H79" s="46">
        <f t="shared" si="19"/>
        <v>66.006080800000007</v>
      </c>
      <c r="I79" s="12">
        <f t="shared" si="23"/>
        <v>64.006080800000007</v>
      </c>
      <c r="J79" s="12">
        <f t="shared" si="24"/>
        <v>1.4235604956268217</v>
      </c>
      <c r="K79" s="12">
        <f t="shared" si="25"/>
        <v>46.981824549016025</v>
      </c>
      <c r="L79" s="12">
        <f t="shared" si="20"/>
        <v>45.558264053389202</v>
      </c>
    </row>
    <row r="80" spans="1:12" x14ac:dyDescent="0.3">
      <c r="A80" s="19">
        <f t="shared" si="21"/>
        <v>5</v>
      </c>
      <c r="B80" s="12">
        <f t="shared" si="21"/>
        <v>2019</v>
      </c>
      <c r="C80" s="12">
        <f t="shared" si="26"/>
        <v>2</v>
      </c>
      <c r="D80" s="12">
        <f t="shared" si="27"/>
        <v>48.712385216000001</v>
      </c>
      <c r="E80" s="46">
        <f t="shared" si="22"/>
        <v>46.276765955199998</v>
      </c>
      <c r="F80" s="12">
        <f t="shared" si="28"/>
        <v>22.801542016000003</v>
      </c>
      <c r="G80" s="46">
        <f t="shared" si="18"/>
        <v>20.521387814400004</v>
      </c>
      <c r="H80" s="46">
        <f t="shared" si="19"/>
        <v>66.798153769600006</v>
      </c>
      <c r="I80" s="12">
        <f t="shared" si="23"/>
        <v>64.798153769600006</v>
      </c>
      <c r="J80" s="12">
        <f t="shared" si="24"/>
        <v>1.2710361568096624</v>
      </c>
      <c r="K80" s="12">
        <f t="shared" si="25"/>
        <v>42.451434324646627</v>
      </c>
      <c r="L80" s="12">
        <f t="shared" si="20"/>
        <v>41.180398167836962</v>
      </c>
    </row>
    <row r="81" spans="1:12" x14ac:dyDescent="0.3">
      <c r="A81" s="19">
        <f t="shared" si="21"/>
        <v>6</v>
      </c>
      <c r="B81" s="12">
        <f t="shared" si="21"/>
        <v>2020</v>
      </c>
      <c r="C81" s="12">
        <f t="shared" si="26"/>
        <v>2</v>
      </c>
      <c r="D81" s="12">
        <f t="shared" si="27"/>
        <v>49.296933838592004</v>
      </c>
      <c r="E81" s="46">
        <f t="shared" si="22"/>
        <v>46.832087146662403</v>
      </c>
      <c r="F81" s="12">
        <f t="shared" si="28"/>
        <v>23.075160520192004</v>
      </c>
      <c r="G81" s="46">
        <f t="shared" si="18"/>
        <v>20.767644468172804</v>
      </c>
      <c r="H81" s="46">
        <f t="shared" si="19"/>
        <v>67.599731614835207</v>
      </c>
      <c r="I81" s="12">
        <f t="shared" si="23"/>
        <v>65.599731614835207</v>
      </c>
      <c r="J81" s="12">
        <f t="shared" si="24"/>
        <v>1.1348537114371984</v>
      </c>
      <c r="K81" s="12">
        <f t="shared" si="25"/>
        <v>38.357903157627128</v>
      </c>
      <c r="L81" s="12">
        <f t="shared" si="20"/>
        <v>37.223049446189933</v>
      </c>
    </row>
    <row r="82" spans="1:12" x14ac:dyDescent="0.3">
      <c r="A82" s="19">
        <f t="shared" si="21"/>
        <v>7</v>
      </c>
      <c r="B82" s="12">
        <f t="shared" si="21"/>
        <v>2021</v>
      </c>
      <c r="C82" s="12">
        <f t="shared" si="26"/>
        <v>2</v>
      </c>
      <c r="D82" s="12">
        <f t="shared" si="27"/>
        <v>49.888497044655111</v>
      </c>
      <c r="E82" s="46">
        <f t="shared" si="22"/>
        <v>47.39407219242235</v>
      </c>
      <c r="F82" s="12">
        <f t="shared" si="28"/>
        <v>23.352062446434307</v>
      </c>
      <c r="G82" s="46">
        <f t="shared" si="18"/>
        <v>21.016856201790876</v>
      </c>
      <c r="H82" s="46">
        <f t="shared" si="19"/>
        <v>68.410928394213229</v>
      </c>
      <c r="I82" s="12">
        <f t="shared" si="23"/>
        <v>66.410928394213229</v>
      </c>
      <c r="J82" s="12">
        <f t="shared" si="24"/>
        <v>1.0132622423546414</v>
      </c>
      <c r="K82" s="12">
        <f t="shared" si="25"/>
        <v>34.659105353141648</v>
      </c>
      <c r="L82" s="12">
        <f t="shared" si="20"/>
        <v>33.645843110787006</v>
      </c>
    </row>
    <row r="83" spans="1:12" x14ac:dyDescent="0.3">
      <c r="A83" s="19">
        <f t="shared" si="21"/>
        <v>8</v>
      </c>
      <c r="B83" s="12">
        <f t="shared" si="21"/>
        <v>2022</v>
      </c>
      <c r="C83" s="12">
        <f t="shared" si="26"/>
        <v>2</v>
      </c>
      <c r="D83" s="12">
        <f t="shared" si="27"/>
        <v>50.487159009190975</v>
      </c>
      <c r="E83" s="46">
        <f t="shared" si="22"/>
        <v>47.962801058731422</v>
      </c>
      <c r="F83" s="12">
        <f t="shared" si="28"/>
        <v>23.63228719579152</v>
      </c>
      <c r="G83" s="46">
        <f t="shared" si="18"/>
        <v>21.269058476212368</v>
      </c>
      <c r="H83" s="46">
        <f t="shared" si="19"/>
        <v>69.231859534943794</v>
      </c>
      <c r="I83" s="12">
        <f t="shared" si="23"/>
        <v>67.231859534943794</v>
      </c>
      <c r="J83" s="12">
        <f t="shared" si="24"/>
        <v>0.90469843067378686</v>
      </c>
      <c r="K83" s="12">
        <f t="shared" si="25"/>
        <v>31.31697733694585</v>
      </c>
      <c r="L83" s="12">
        <f t="shared" si="20"/>
        <v>30.412278906272064</v>
      </c>
    </row>
    <row r="84" spans="1:12" x14ac:dyDescent="0.3">
      <c r="A84" s="19">
        <f t="shared" si="21"/>
        <v>9</v>
      </c>
      <c r="B84" s="12">
        <f t="shared" si="21"/>
        <v>2023</v>
      </c>
      <c r="C84" s="12">
        <f t="shared" si="26"/>
        <v>2</v>
      </c>
      <c r="D84" s="12">
        <f t="shared" si="27"/>
        <v>51.093004917301265</v>
      </c>
      <c r="E84" s="46">
        <f t="shared" si="22"/>
        <v>48.538354671436203</v>
      </c>
      <c r="F84" s="12">
        <f t="shared" si="28"/>
        <v>23.915874642141016</v>
      </c>
      <c r="G84" s="46">
        <f t="shared" si="18"/>
        <v>21.524287177926915</v>
      </c>
      <c r="H84" s="46">
        <f t="shared" si="19"/>
        <v>70.062641849363118</v>
      </c>
      <c r="I84" s="12">
        <f t="shared" si="23"/>
        <v>68.062641849363118</v>
      </c>
      <c r="J84" s="12">
        <f t="shared" si="24"/>
        <v>0.80776645595873819</v>
      </c>
      <c r="K84" s="12">
        <f t="shared" si="25"/>
        <v>28.297125950883213</v>
      </c>
      <c r="L84" s="12">
        <f t="shared" si="20"/>
        <v>27.489359494924475</v>
      </c>
    </row>
    <row r="85" spans="1:12" x14ac:dyDescent="0.3">
      <c r="A85" s="19">
        <f t="shared" si="21"/>
        <v>10</v>
      </c>
      <c r="B85" s="12">
        <f t="shared" si="21"/>
        <v>2024</v>
      </c>
      <c r="C85" s="12">
        <f t="shared" si="26"/>
        <v>2</v>
      </c>
      <c r="D85" s="12">
        <f t="shared" si="27"/>
        <v>51.706120976308881</v>
      </c>
      <c r="E85" s="46">
        <f t="shared" si="22"/>
        <v>49.120814927493434</v>
      </c>
      <c r="F85" s="12">
        <f t="shared" si="28"/>
        <v>24.202865137846707</v>
      </c>
      <c r="G85" s="46">
        <f t="shared" si="18"/>
        <v>21.782578624062037</v>
      </c>
      <c r="H85" s="46">
        <f t="shared" si="19"/>
        <v>70.903393551555467</v>
      </c>
      <c r="I85" s="12">
        <f t="shared" si="23"/>
        <v>68.903393551555467</v>
      </c>
      <c r="J85" s="12">
        <f t="shared" si="24"/>
        <v>0.72122004996315914</v>
      </c>
      <c r="K85" s="12">
        <f t="shared" si="25"/>
        <v>25.568474519905184</v>
      </c>
      <c r="L85" s="12">
        <f t="shared" si="20"/>
        <v>24.847254469942026</v>
      </c>
    </row>
    <row r="86" spans="1:12" x14ac:dyDescent="0.3">
      <c r="A86" s="19">
        <f t="shared" si="21"/>
        <v>11</v>
      </c>
      <c r="B86" s="12">
        <f t="shared" si="21"/>
        <v>2025</v>
      </c>
      <c r="C86" s="12">
        <f t="shared" si="26"/>
        <v>2</v>
      </c>
      <c r="D86" s="12">
        <f t="shared" si="27"/>
        <v>52.326594428024592</v>
      </c>
      <c r="E86" s="46">
        <f t="shared" si="22"/>
        <v>49.710264706623363</v>
      </c>
      <c r="F86" s="12">
        <f t="shared" si="28"/>
        <v>24.493299519500869</v>
      </c>
      <c r="G86" s="46">
        <f t="shared" si="18"/>
        <v>22.043969567550782</v>
      </c>
      <c r="H86" s="46">
        <f t="shared" si="19"/>
        <v>71.754234274174138</v>
      </c>
      <c r="I86" s="12">
        <f t="shared" si="23"/>
        <v>69.754234274174138</v>
      </c>
      <c r="J86" s="12">
        <f t="shared" si="24"/>
        <v>0.64394647318139198</v>
      </c>
      <c r="K86" s="12">
        <f t="shared" si="25"/>
        <v>23.102943048342897</v>
      </c>
      <c r="L86" s="12">
        <f t="shared" si="20"/>
        <v>22.458996575161507</v>
      </c>
    </row>
    <row r="87" spans="1:12" x14ac:dyDescent="0.3">
      <c r="A87" s="19">
        <f t="shared" si="21"/>
        <v>12</v>
      </c>
      <c r="B87" s="12">
        <f t="shared" si="21"/>
        <v>2026</v>
      </c>
      <c r="C87" s="12">
        <f t="shared" si="26"/>
        <v>2</v>
      </c>
      <c r="D87" s="12">
        <f t="shared" si="27"/>
        <v>52.954513561160887</v>
      </c>
      <c r="E87" s="46">
        <f t="shared" si="22"/>
        <v>50.306787883102842</v>
      </c>
      <c r="F87" s="12">
        <f t="shared" si="28"/>
        <v>24.787219113734881</v>
      </c>
      <c r="G87" s="46">
        <f t="shared" si="18"/>
        <v>22.308497202361394</v>
      </c>
      <c r="H87" s="46">
        <f t="shared" si="19"/>
        <v>72.615285085464237</v>
      </c>
      <c r="I87" s="12">
        <f t="shared" si="23"/>
        <v>70.615285085464237</v>
      </c>
      <c r="J87" s="12">
        <f t="shared" si="24"/>
        <v>0.57495220819767134</v>
      </c>
      <c r="K87" s="12">
        <f t="shared" si="25"/>
        <v>20.875159254395545</v>
      </c>
      <c r="L87" s="12">
        <f>K87-J87</f>
        <v>20.300207046197873</v>
      </c>
    </row>
    <row r="88" spans="1:12" x14ac:dyDescent="0.3">
      <c r="A88" s="19">
        <f t="shared" si="21"/>
        <v>13</v>
      </c>
      <c r="B88" s="12">
        <f t="shared" si="21"/>
        <v>2027</v>
      </c>
      <c r="C88" s="12">
        <f t="shared" si="26"/>
        <v>2</v>
      </c>
      <c r="D88" s="12">
        <f t="shared" si="27"/>
        <v>53.589967723894816</v>
      </c>
      <c r="E88" s="46">
        <f t="shared" si="22"/>
        <v>50.910469337700071</v>
      </c>
      <c r="F88" s="12">
        <f t="shared" si="28"/>
        <v>25.084665743099702</v>
      </c>
      <c r="G88" s="46">
        <f t="shared" si="18"/>
        <v>22.576199168789731</v>
      </c>
      <c r="H88" s="46">
        <f t="shared" si="19"/>
        <v>73.486668506489806</v>
      </c>
      <c r="I88" s="12">
        <f t="shared" si="23"/>
        <v>71.486668506489806</v>
      </c>
      <c r="J88" s="12">
        <f t="shared" si="24"/>
        <v>0.51335018589077808</v>
      </c>
      <c r="K88" s="12">
        <f t="shared" si="25"/>
        <v>18.862197469150264</v>
      </c>
      <c r="L88" s="12">
        <f t="shared" si="20"/>
        <v>18.348847283259484</v>
      </c>
    </row>
    <row r="89" spans="1:12" x14ac:dyDescent="0.3">
      <c r="A89" s="19">
        <f t="shared" si="21"/>
        <v>14</v>
      </c>
      <c r="B89" s="12">
        <f t="shared" si="21"/>
        <v>2028</v>
      </c>
      <c r="C89" s="12">
        <f t="shared" si="26"/>
        <v>2</v>
      </c>
      <c r="D89" s="12">
        <f t="shared" si="27"/>
        <v>54.233047336581556</v>
      </c>
      <c r="E89" s="46">
        <f t="shared" si="22"/>
        <v>51.521394969752478</v>
      </c>
      <c r="F89" s="12">
        <f t="shared" si="28"/>
        <v>25.385681732016899</v>
      </c>
      <c r="G89" s="46">
        <f t="shared" si="18"/>
        <v>22.847113558815209</v>
      </c>
      <c r="H89" s="46">
        <f t="shared" si="19"/>
        <v>74.368508528567688</v>
      </c>
      <c r="I89" s="12">
        <f t="shared" si="23"/>
        <v>72.368508528567688</v>
      </c>
      <c r="J89" s="12">
        <f t="shared" si="24"/>
        <v>0.45834838025962316</v>
      </c>
      <c r="K89" s="12">
        <f t="shared" si="25"/>
        <v>17.043342713196484</v>
      </c>
      <c r="L89" s="12">
        <f t="shared" si="20"/>
        <v>16.584994332936862</v>
      </c>
    </row>
    <row r="90" spans="1:12" x14ac:dyDescent="0.3">
      <c r="A90" s="19">
        <f t="shared" si="21"/>
        <v>15</v>
      </c>
      <c r="B90" s="12">
        <f t="shared" si="21"/>
        <v>2029</v>
      </c>
      <c r="C90" s="12">
        <f t="shared" si="26"/>
        <v>2</v>
      </c>
      <c r="D90" s="12">
        <f t="shared" si="27"/>
        <v>54.883843904620534</v>
      </c>
      <c r="E90" s="46">
        <f t="shared" si="22"/>
        <v>52.139651709389504</v>
      </c>
      <c r="F90" s="12">
        <f t="shared" si="28"/>
        <v>25.690309912801101</v>
      </c>
      <c r="G90" s="46">
        <f t="shared" si="18"/>
        <v>23.121278921520993</v>
      </c>
      <c r="H90" s="46">
        <f t="shared" si="19"/>
        <v>75.260930630910494</v>
      </c>
      <c r="I90" s="12">
        <f t="shared" si="23"/>
        <v>73.260930630910494</v>
      </c>
      <c r="J90" s="12">
        <f t="shared" si="24"/>
        <v>0.40923962523180635</v>
      </c>
      <c r="K90" s="12">
        <f t="shared" si="25"/>
        <v>15.399877522995393</v>
      </c>
      <c r="L90" s="12">
        <f t="shared" si="20"/>
        <v>14.990637897763586</v>
      </c>
    </row>
    <row r="91" spans="1:12" x14ac:dyDescent="0.3">
      <c r="A91" s="19">
        <f t="shared" si="21"/>
        <v>16</v>
      </c>
      <c r="B91" s="12">
        <f t="shared" si="21"/>
        <v>2030</v>
      </c>
      <c r="C91" s="12">
        <f t="shared" si="26"/>
        <v>2</v>
      </c>
      <c r="D91" s="12">
        <f t="shared" si="27"/>
        <v>55.54245003147598</v>
      </c>
      <c r="E91" s="46">
        <f t="shared" si="22"/>
        <v>52.76532752990218</v>
      </c>
      <c r="F91" s="12">
        <f t="shared" si="28"/>
        <v>25.998593631754716</v>
      </c>
      <c r="G91" s="46">
        <f t="shared" si="18"/>
        <v>23.398734268579243</v>
      </c>
      <c r="H91" s="46">
        <f t="shared" si="19"/>
        <v>76.164061798481427</v>
      </c>
      <c r="I91" s="12">
        <f t="shared" si="23"/>
        <v>74.164061798481427</v>
      </c>
      <c r="J91" s="12">
        <f>(C91)/((1+0.12)^($A91-1))</f>
        <v>0.36539252252839854</v>
      </c>
      <c r="K91" s="12">
        <f t="shared" si="25"/>
        <v>13.914889333277982</v>
      </c>
      <c r="L91" s="12">
        <f t="shared" si="20"/>
        <v>13.549496810749583</v>
      </c>
    </row>
    <row r="92" spans="1:12" x14ac:dyDescent="0.3">
      <c r="A92" s="19">
        <f t="shared" si="21"/>
        <v>17</v>
      </c>
      <c r="B92" s="12">
        <f t="shared" si="21"/>
        <v>2031</v>
      </c>
      <c r="C92" s="12">
        <f t="shared" si="26"/>
        <v>2</v>
      </c>
      <c r="D92" s="12">
        <f t="shared" si="27"/>
        <v>56.208959431853692</v>
      </c>
      <c r="E92" s="46">
        <f t="shared" si="22"/>
        <v>53.398511460261005</v>
      </c>
      <c r="F92" s="12">
        <f t="shared" si="28"/>
        <v>26.310576755335774</v>
      </c>
      <c r="G92" s="46">
        <f t="shared" si="18"/>
        <v>23.679519079802198</v>
      </c>
      <c r="H92" s="46">
        <f t="shared" si="19"/>
        <v>77.078030540063196</v>
      </c>
      <c r="I92" s="12">
        <f t="shared" si="23"/>
        <v>75.078030540063196</v>
      </c>
      <c r="J92" s="12">
        <f t="shared" ref="J92:J106" si="29">(C92)/((1+0.1)^($A92-1))</f>
        <v>0.43525827158029706</v>
      </c>
      <c r="K92" s="12">
        <f t="shared" ref="K92:K106" si="30">(H92)/((1+0.1)^($A92-1))</f>
        <v>16.77442517484063</v>
      </c>
      <c r="L92" s="12">
        <f t="shared" si="20"/>
        <v>16.339166903260335</v>
      </c>
    </row>
    <row r="93" spans="1:12" x14ac:dyDescent="0.3">
      <c r="A93" s="19">
        <f t="shared" si="21"/>
        <v>18</v>
      </c>
      <c r="B93" s="12">
        <f t="shared" si="21"/>
        <v>2032</v>
      </c>
      <c r="C93" s="12">
        <f t="shared" si="26"/>
        <v>2</v>
      </c>
      <c r="D93" s="12">
        <f t="shared" si="27"/>
        <v>56.883466945035934</v>
      </c>
      <c r="E93" s="46">
        <f t="shared" si="22"/>
        <v>54.039293597784138</v>
      </c>
      <c r="F93" s="12">
        <f t="shared" si="28"/>
        <v>26.626303676399804</v>
      </c>
      <c r="G93" s="46">
        <f t="shared" si="18"/>
        <v>23.963673308759823</v>
      </c>
      <c r="H93" s="46">
        <f t="shared" si="19"/>
        <v>78.002966906543961</v>
      </c>
      <c r="I93" s="12">
        <f t="shared" si="23"/>
        <v>76.002966906543961</v>
      </c>
      <c r="J93" s="12">
        <f t="shared" si="29"/>
        <v>0.39568933780027005</v>
      </c>
      <c r="K93" s="12">
        <f t="shared" si="30"/>
        <v>15.43247116085338</v>
      </c>
      <c r="L93" s="12">
        <f t="shared" si="20"/>
        <v>15.03678182305311</v>
      </c>
    </row>
    <row r="94" spans="1:12" x14ac:dyDescent="0.3">
      <c r="A94" s="19">
        <f t="shared" ref="A94:B106" si="31">A93+1</f>
        <v>19</v>
      </c>
      <c r="B94" s="12">
        <f t="shared" si="31"/>
        <v>2033</v>
      </c>
      <c r="C94" s="12">
        <f t="shared" si="26"/>
        <v>2</v>
      </c>
      <c r="D94" s="12">
        <f t="shared" si="27"/>
        <v>57.566068548376364</v>
      </c>
      <c r="E94" s="46">
        <f t="shared" si="22"/>
        <v>54.687765120957543</v>
      </c>
      <c r="F94" s="12">
        <f t="shared" si="28"/>
        <v>26.945819320516602</v>
      </c>
      <c r="G94" s="46">
        <f t="shared" si="18"/>
        <v>24.251237388464943</v>
      </c>
      <c r="H94" s="46">
        <f t="shared" si="19"/>
        <v>78.939002509422494</v>
      </c>
      <c r="I94" s="12">
        <f t="shared" si="23"/>
        <v>76.939002509422494</v>
      </c>
      <c r="J94" s="12">
        <f t="shared" si="29"/>
        <v>0.35971757981842728</v>
      </c>
      <c r="K94" s="12">
        <f t="shared" si="30"/>
        <v>14.19787346798511</v>
      </c>
      <c r="L94" s="12">
        <f t="shared" si="20"/>
        <v>13.838155888166682</v>
      </c>
    </row>
    <row r="95" spans="1:12" x14ac:dyDescent="0.3">
      <c r="A95" s="19">
        <f t="shared" si="31"/>
        <v>20</v>
      </c>
      <c r="B95" s="12">
        <f t="shared" si="31"/>
        <v>2034</v>
      </c>
      <c r="C95" s="12">
        <f t="shared" si="26"/>
        <v>2</v>
      </c>
      <c r="D95" s="12">
        <f t="shared" si="27"/>
        <v>58.256861370956884</v>
      </c>
      <c r="E95" s="46">
        <f t="shared" si="22"/>
        <v>55.34401830240904</v>
      </c>
      <c r="F95" s="12">
        <f t="shared" si="28"/>
        <v>27.269169152362803</v>
      </c>
      <c r="G95" s="46">
        <f t="shared" si="18"/>
        <v>24.542252237126522</v>
      </c>
      <c r="H95" s="46">
        <f t="shared" si="19"/>
        <v>79.886270539535559</v>
      </c>
      <c r="I95" s="12">
        <f t="shared" si="23"/>
        <v>77.886270539535559</v>
      </c>
      <c r="J95" s="12">
        <f t="shared" si="29"/>
        <v>0.32701598165311563</v>
      </c>
      <c r="K95" s="12">
        <f t="shared" si="30"/>
        <v>13.062043590546297</v>
      </c>
      <c r="L95" s="12">
        <f t="shared" si="20"/>
        <v>12.735027608893182</v>
      </c>
    </row>
    <row r="96" spans="1:12" x14ac:dyDescent="0.3">
      <c r="A96" s="19">
        <f t="shared" si="31"/>
        <v>21</v>
      </c>
      <c r="B96" s="12">
        <f t="shared" si="31"/>
        <v>2035</v>
      </c>
      <c r="C96" s="12">
        <f t="shared" si="26"/>
        <v>2</v>
      </c>
      <c r="D96" s="12">
        <f t="shared" si="27"/>
        <v>58.955943707408366</v>
      </c>
      <c r="E96" s="46">
        <f t="shared" si="22"/>
        <v>56.008146522037947</v>
      </c>
      <c r="F96" s="12">
        <f t="shared" si="28"/>
        <v>27.596399182191156</v>
      </c>
      <c r="G96" s="46">
        <f t="shared" si="18"/>
        <v>24.836759263972041</v>
      </c>
      <c r="H96" s="46">
        <f t="shared" si="19"/>
        <v>80.844905786009988</v>
      </c>
      <c r="I96" s="12">
        <f t="shared" si="23"/>
        <v>78.844905786009988</v>
      </c>
      <c r="J96" s="12">
        <f t="shared" si="29"/>
        <v>0.29728725604828699</v>
      </c>
      <c r="K96" s="12">
        <f t="shared" si="30"/>
        <v>12.017080103302595</v>
      </c>
      <c r="L96" s="12">
        <f t="shared" si="20"/>
        <v>11.719792847254308</v>
      </c>
    </row>
    <row r="97" spans="1:13" x14ac:dyDescent="0.3">
      <c r="A97" s="19">
        <f t="shared" si="31"/>
        <v>22</v>
      </c>
      <c r="B97" s="12">
        <f t="shared" si="31"/>
        <v>2036</v>
      </c>
      <c r="C97" s="12">
        <f t="shared" si="26"/>
        <v>2</v>
      </c>
      <c r="D97" s="12">
        <f t="shared" si="27"/>
        <v>59.663415031897266</v>
      </c>
      <c r="E97" s="46">
        <f t="shared" si="22"/>
        <v>56.680244280302396</v>
      </c>
      <c r="F97" s="12">
        <f t="shared" si="28"/>
        <v>27.927555972377451</v>
      </c>
      <c r="G97" s="46">
        <f t="shared" si="18"/>
        <v>25.134800375139708</v>
      </c>
      <c r="H97" s="46">
        <f t="shared" si="19"/>
        <v>81.815044655442108</v>
      </c>
      <c r="I97" s="12">
        <f t="shared" si="23"/>
        <v>79.815044655442108</v>
      </c>
      <c r="J97" s="12">
        <f t="shared" si="29"/>
        <v>0.27026114186207906</v>
      </c>
      <c r="K97" s="12">
        <f t="shared" si="30"/>
        <v>11.055713695038385</v>
      </c>
      <c r="L97" s="12">
        <f t="shared" si="20"/>
        <v>10.785452553176306</v>
      </c>
    </row>
    <row r="98" spans="1:13" x14ac:dyDescent="0.3">
      <c r="A98" s="19">
        <f t="shared" si="31"/>
        <v>23</v>
      </c>
      <c r="B98" s="12">
        <f t="shared" si="31"/>
        <v>2037</v>
      </c>
      <c r="C98" s="12">
        <f t="shared" si="26"/>
        <v>2</v>
      </c>
      <c r="D98" s="12">
        <f t="shared" si="27"/>
        <v>60.379376012280034</v>
      </c>
      <c r="E98" s="46">
        <f t="shared" si="22"/>
        <v>57.360407211666029</v>
      </c>
      <c r="F98" s="12">
        <f t="shared" si="28"/>
        <v>28.262686644045981</v>
      </c>
      <c r="G98" s="46">
        <f t="shared" si="18"/>
        <v>25.436417979641384</v>
      </c>
      <c r="H98" s="46">
        <f t="shared" si="19"/>
        <v>82.79682519130742</v>
      </c>
      <c r="I98" s="12">
        <f t="shared" si="23"/>
        <v>80.79682519130742</v>
      </c>
      <c r="J98" s="12">
        <f t="shared" si="29"/>
        <v>0.24569194714734455</v>
      </c>
      <c r="K98" s="12">
        <f t="shared" si="30"/>
        <v>10.171256599435313</v>
      </c>
      <c r="L98" s="12">
        <f t="shared" si="20"/>
        <v>9.925564652287969</v>
      </c>
    </row>
    <row r="99" spans="1:13" x14ac:dyDescent="0.3">
      <c r="A99" s="19">
        <f t="shared" si="31"/>
        <v>24</v>
      </c>
      <c r="B99" s="12">
        <f t="shared" si="31"/>
        <v>2038</v>
      </c>
      <c r="C99" s="12">
        <f t="shared" si="26"/>
        <v>2</v>
      </c>
      <c r="D99" s="12">
        <f t="shared" si="27"/>
        <v>61.103928524427396</v>
      </c>
      <c r="E99" s="46">
        <f t="shared" si="22"/>
        <v>58.048732098206024</v>
      </c>
      <c r="F99" s="12">
        <f t="shared" si="28"/>
        <v>28.601838883774533</v>
      </c>
      <c r="G99" s="46">
        <f t="shared" si="18"/>
        <v>25.741654995397081</v>
      </c>
      <c r="H99" s="46">
        <f t="shared" si="19"/>
        <v>83.790387093603101</v>
      </c>
      <c r="I99" s="12">
        <f t="shared" si="23"/>
        <v>81.790387093603101</v>
      </c>
      <c r="J99" s="12">
        <f t="shared" si="29"/>
        <v>0.22335631558849503</v>
      </c>
      <c r="K99" s="12">
        <f t="shared" si="30"/>
        <v>9.357556071480488</v>
      </c>
      <c r="L99" s="12">
        <f t="shared" si="20"/>
        <v>9.1341997558919932</v>
      </c>
    </row>
    <row r="100" spans="1:13" x14ac:dyDescent="0.3">
      <c r="A100" s="19">
        <f t="shared" si="31"/>
        <v>25</v>
      </c>
      <c r="B100" s="12">
        <f t="shared" si="31"/>
        <v>2039</v>
      </c>
      <c r="C100" s="12">
        <f t="shared" si="26"/>
        <v>2</v>
      </c>
      <c r="D100" s="12">
        <f t="shared" si="27"/>
        <v>61.837175666720526</v>
      </c>
      <c r="E100" s="46">
        <f t="shared" si="22"/>
        <v>58.745316883384497</v>
      </c>
      <c r="F100" s="12">
        <f t="shared" si="28"/>
        <v>28.94506095037983</v>
      </c>
      <c r="G100" s="46">
        <f t="shared" si="18"/>
        <v>26.050554855341847</v>
      </c>
      <c r="H100" s="46">
        <f t="shared" si="19"/>
        <v>84.795871738726348</v>
      </c>
      <c r="I100" s="12">
        <f t="shared" si="23"/>
        <v>82.795871738726348</v>
      </c>
      <c r="J100" s="12">
        <f t="shared" si="29"/>
        <v>0.20305119598954097</v>
      </c>
      <c r="K100" s="12">
        <f t="shared" si="30"/>
        <v>8.6089515857620498</v>
      </c>
      <c r="L100" s="12">
        <f t="shared" si="20"/>
        <v>8.4059003897725084</v>
      </c>
    </row>
    <row r="101" spans="1:13" x14ac:dyDescent="0.3">
      <c r="A101" s="19">
        <f t="shared" si="31"/>
        <v>26</v>
      </c>
      <c r="B101" s="12">
        <f t="shared" si="31"/>
        <v>2040</v>
      </c>
      <c r="C101" s="12">
        <f t="shared" si="26"/>
        <v>2</v>
      </c>
      <c r="D101" s="12">
        <f t="shared" si="27"/>
        <v>62.579221774721177</v>
      </c>
      <c r="E101" s="46">
        <f t="shared" si="22"/>
        <v>59.450260685985114</v>
      </c>
      <c r="F101" s="12">
        <f t="shared" si="28"/>
        <v>29.292401681784387</v>
      </c>
      <c r="G101" s="46">
        <f t="shared" si="18"/>
        <v>26.363161513605949</v>
      </c>
      <c r="H101" s="46">
        <f t="shared" si="19"/>
        <v>85.813422199591059</v>
      </c>
      <c r="I101" s="12">
        <f t="shared" si="23"/>
        <v>83.813422199591059</v>
      </c>
      <c r="J101" s="12">
        <f t="shared" si="29"/>
        <v>0.1845919963541281</v>
      </c>
      <c r="K101" s="12">
        <f t="shared" si="30"/>
        <v>7.9202354589010842</v>
      </c>
      <c r="L101" s="12">
        <f t="shared" si="20"/>
        <v>7.7356434625469559</v>
      </c>
    </row>
    <row r="102" spans="1:13" x14ac:dyDescent="0.3">
      <c r="A102" s="19">
        <f t="shared" si="31"/>
        <v>27</v>
      </c>
      <c r="B102" s="12">
        <f t="shared" si="31"/>
        <v>2041</v>
      </c>
      <c r="C102" s="12">
        <f t="shared" si="26"/>
        <v>2</v>
      </c>
      <c r="D102" s="12">
        <f t="shared" si="27"/>
        <v>63.330172436017833</v>
      </c>
      <c r="E102" s="46">
        <f t="shared" si="22"/>
        <v>60.163663814216939</v>
      </c>
      <c r="F102" s="12">
        <f t="shared" si="28"/>
        <v>29.643910501965799</v>
      </c>
      <c r="G102" s="46">
        <f t="shared" si="18"/>
        <v>26.67951945176922</v>
      </c>
      <c r="H102" s="46">
        <f t="shared" si="19"/>
        <v>86.843183265986156</v>
      </c>
      <c r="I102" s="12">
        <f t="shared" si="23"/>
        <v>84.843183265986156</v>
      </c>
      <c r="J102" s="12">
        <f t="shared" si="29"/>
        <v>0.16781090577648008</v>
      </c>
      <c r="K102" s="12">
        <f t="shared" si="30"/>
        <v>7.2866166221889976</v>
      </c>
      <c r="L102" s="12">
        <f t="shared" si="20"/>
        <v>7.1188057164125178</v>
      </c>
    </row>
    <row r="103" spans="1:13" x14ac:dyDescent="0.3">
      <c r="A103" s="19">
        <f t="shared" si="31"/>
        <v>28</v>
      </c>
      <c r="B103" s="12">
        <f t="shared" si="31"/>
        <v>2042</v>
      </c>
      <c r="C103" s="12">
        <f t="shared" si="26"/>
        <v>2</v>
      </c>
      <c r="D103" s="12">
        <f t="shared" si="27"/>
        <v>64.090134505250049</v>
      </c>
      <c r="E103" s="46">
        <f t="shared" si="22"/>
        <v>60.885627779987544</v>
      </c>
      <c r="F103" s="12">
        <f t="shared" si="28"/>
        <v>29.999637427989388</v>
      </c>
      <c r="G103" s="46">
        <f t="shared" si="18"/>
        <v>26.999673685190448</v>
      </c>
      <c r="H103" s="46">
        <f t="shared" si="19"/>
        <v>87.885301465177989</v>
      </c>
      <c r="I103" s="12">
        <f t="shared" si="23"/>
        <v>85.885301465177989</v>
      </c>
      <c r="J103" s="12">
        <f t="shared" si="29"/>
        <v>0.15255536888770915</v>
      </c>
      <c r="K103" s="12">
        <f t="shared" si="30"/>
        <v>6.7036872924138766</v>
      </c>
      <c r="L103" s="12">
        <f t="shared" si="20"/>
        <v>6.5511319235261674</v>
      </c>
    </row>
    <row r="104" spans="1:13" x14ac:dyDescent="0.3">
      <c r="A104" s="19">
        <f t="shared" si="31"/>
        <v>29</v>
      </c>
      <c r="B104" s="12">
        <f t="shared" si="31"/>
        <v>2043</v>
      </c>
      <c r="C104" s="12">
        <f t="shared" si="26"/>
        <v>2</v>
      </c>
      <c r="D104" s="12">
        <f t="shared" si="27"/>
        <v>64.859216119313047</v>
      </c>
      <c r="E104" s="46">
        <f t="shared" si="22"/>
        <v>61.616255313347388</v>
      </c>
      <c r="F104" s="12">
        <f t="shared" si="28"/>
        <v>30.35963307712526</v>
      </c>
      <c r="G104" s="46">
        <f t="shared" si="18"/>
        <v>27.323669769412735</v>
      </c>
      <c r="H104" s="46">
        <f t="shared" si="19"/>
        <v>88.939925082760126</v>
      </c>
      <c r="I104" s="12">
        <f t="shared" si="23"/>
        <v>86.939925082760126</v>
      </c>
      <c r="J104" s="12">
        <f t="shared" si="29"/>
        <v>0.13868669898882649</v>
      </c>
      <c r="K104" s="12">
        <f t="shared" si="30"/>
        <v>6.1673923090207667</v>
      </c>
      <c r="L104" s="12">
        <f t="shared" si="20"/>
        <v>6.0287056100319401</v>
      </c>
    </row>
    <row r="105" spans="1:13" x14ac:dyDescent="0.3">
      <c r="A105" s="19">
        <f t="shared" si="31"/>
        <v>30</v>
      </c>
      <c r="B105" s="12">
        <f t="shared" si="31"/>
        <v>2044</v>
      </c>
      <c r="C105" s="12">
        <f t="shared" si="26"/>
        <v>2</v>
      </c>
      <c r="D105" s="12">
        <f t="shared" si="27"/>
        <v>65.637526712744801</v>
      </c>
      <c r="E105" s="46">
        <f t="shared" si="22"/>
        <v>62.355650377107558</v>
      </c>
      <c r="F105" s="12">
        <f t="shared" si="28"/>
        <v>30.723948674050764</v>
      </c>
      <c r="G105" s="46">
        <f t="shared" si="18"/>
        <v>27.651553806645687</v>
      </c>
      <c r="H105" s="46">
        <f t="shared" si="19"/>
        <v>90.007204183753245</v>
      </c>
      <c r="I105" s="12">
        <f t="shared" si="23"/>
        <v>88.007204183753245</v>
      </c>
      <c r="J105" s="12">
        <f t="shared" si="29"/>
        <v>0.12607881726256953</v>
      </c>
      <c r="K105" s="12">
        <f t="shared" si="30"/>
        <v>5.6740009242991052</v>
      </c>
      <c r="L105" s="12">
        <f t="shared" si="20"/>
        <v>5.5479221070365359</v>
      </c>
    </row>
    <row r="106" spans="1:13" x14ac:dyDescent="0.3">
      <c r="A106" s="19">
        <f t="shared" si="31"/>
        <v>31</v>
      </c>
      <c r="B106" s="12">
        <f t="shared" si="31"/>
        <v>2045</v>
      </c>
      <c r="C106" s="12">
        <f>C105</f>
        <v>2</v>
      </c>
      <c r="D106" s="12">
        <f t="shared" si="27"/>
        <v>66.425177033297743</v>
      </c>
      <c r="E106" s="46">
        <f t="shared" si="22"/>
        <v>63.103918181632849</v>
      </c>
      <c r="F106" s="12">
        <f t="shared" si="28"/>
        <v>31.092636058139373</v>
      </c>
      <c r="G106" s="46">
        <f t="shared" si="18"/>
        <v>27.983372452325437</v>
      </c>
      <c r="H106" s="46">
        <f t="shared" si="19"/>
        <v>91.08729063395829</v>
      </c>
      <c r="I106" s="12">
        <f t="shared" si="23"/>
        <v>89.08729063395829</v>
      </c>
      <c r="J106" s="12">
        <f t="shared" si="29"/>
        <v>0.11461710660233593</v>
      </c>
      <c r="K106" s="12">
        <f t="shared" si="30"/>
        <v>5.2200808503551759</v>
      </c>
      <c r="L106" s="12">
        <f t="shared" si="20"/>
        <v>5.1054637437528401</v>
      </c>
    </row>
    <row r="107" spans="1:13" x14ac:dyDescent="0.3">
      <c r="A107" s="44"/>
      <c r="B107" s="19" t="s">
        <v>19</v>
      </c>
      <c r="C107" s="19">
        <f>SUM(C76:C106)</f>
        <v>560</v>
      </c>
      <c r="D107" s="19">
        <f>SUM(D76:D106)</f>
        <v>1685.1899298081078</v>
      </c>
      <c r="E107" s="47">
        <f>SUM(E76:E106)</f>
        <v>1600.9304333177022</v>
      </c>
      <c r="F107" s="47">
        <f t="shared" ref="F107:G107" si="32">SUM(F76:F106)</f>
        <v>788.81230756975276</v>
      </c>
      <c r="G107" s="47">
        <f t="shared" si="32"/>
        <v>709.93107681277741</v>
      </c>
      <c r="H107" s="47">
        <f>SUM(H76:H106)</f>
        <v>2310.8615101304799</v>
      </c>
      <c r="I107" s="19">
        <f>SUM(I76:I106)</f>
        <v>1750.8615101304795</v>
      </c>
      <c r="J107" s="19">
        <f>SUM(J76:J106)</f>
        <v>517.26339890028999</v>
      </c>
      <c r="K107" s="48">
        <f>SUM(K76:K106)</f>
        <v>616.02097745015158</v>
      </c>
      <c r="L107" s="20">
        <f>SUM(L76:L106)</f>
        <v>98.757578549861663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1.1909231906990168</v>
      </c>
      <c r="M108" s="40" t="s">
        <v>9</v>
      </c>
    </row>
    <row r="109" spans="1:13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1.9443010699816243E-2</v>
      </c>
      <c r="M109" s="40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7568-3734-47FA-BB60-11C6407B01FC}">
  <sheetPr>
    <tabColor rgb="FFFFFF00"/>
  </sheetPr>
  <dimension ref="A1:M109"/>
  <sheetViews>
    <sheetView workbookViewId="0">
      <selection activeCell="H67" sqref="H67"/>
    </sheetView>
  </sheetViews>
  <sheetFormatPr defaultRowHeight="14.4" x14ac:dyDescent="0.3"/>
  <cols>
    <col min="1" max="1" width="28.21875" customWidth="1"/>
    <col min="2" max="2" width="32.77734375" customWidth="1"/>
    <col min="4" max="4" width="10.33203125" customWidth="1"/>
    <col min="5" max="5" width="25" customWidth="1"/>
    <col min="6" max="6" width="13.21875" customWidth="1"/>
    <col min="7" max="7" width="15.88671875" customWidth="1"/>
    <col min="8" max="8" width="14.5546875" customWidth="1"/>
    <col min="9" max="9" width="15.44140625" customWidth="1"/>
    <col min="10" max="10" width="10.88671875" customWidth="1"/>
    <col min="11" max="11" width="12.77734375" customWidth="1"/>
    <col min="12" max="12" width="11.77734375" customWidth="1"/>
  </cols>
  <sheetData>
    <row r="1" spans="1:13" x14ac:dyDescent="0.3">
      <c r="B1" s="5"/>
      <c r="C1" s="5"/>
      <c r="D1" s="50" t="s">
        <v>51</v>
      </c>
      <c r="E1" s="5"/>
      <c r="F1" s="5"/>
      <c r="G1" s="5"/>
      <c r="H1" s="5"/>
      <c r="M1" s="5"/>
    </row>
    <row r="2" spans="1:13" x14ac:dyDescent="0.3">
      <c r="A2" s="7" t="s">
        <v>0</v>
      </c>
      <c r="B2" s="5"/>
      <c r="C2" s="5"/>
      <c r="D2" s="5"/>
      <c r="E2" s="5"/>
      <c r="F2" s="5"/>
      <c r="G2" s="5"/>
      <c r="J2" s="5"/>
      <c r="K2" s="5"/>
      <c r="L2" s="5"/>
      <c r="M2" s="5"/>
    </row>
    <row r="3" spans="1:13" ht="34.200000000000003" x14ac:dyDescent="0.3">
      <c r="A3" s="34" t="s">
        <v>39</v>
      </c>
      <c r="B3" s="9">
        <v>47</v>
      </c>
      <c r="C3" s="5"/>
      <c r="D3" s="5"/>
      <c r="G3" s="5"/>
      <c r="K3" s="5"/>
      <c r="L3" s="5"/>
      <c r="M3" s="5"/>
    </row>
    <row r="4" spans="1:13" ht="45.6" x14ac:dyDescent="0.3">
      <c r="A4" s="34" t="s">
        <v>40</v>
      </c>
      <c r="B4" s="9">
        <v>22</v>
      </c>
      <c r="C4" s="5"/>
      <c r="D4" s="5"/>
      <c r="E4" s="35" t="s">
        <v>3</v>
      </c>
      <c r="F4" s="62" t="s">
        <v>2</v>
      </c>
      <c r="G4" s="35" t="s">
        <v>4</v>
      </c>
      <c r="K4" s="5"/>
      <c r="L4" s="5"/>
      <c r="M4" s="5"/>
    </row>
    <row r="5" spans="1:13" ht="57" x14ac:dyDescent="0.3">
      <c r="A5" s="34" t="s">
        <v>66</v>
      </c>
      <c r="B5" s="10">
        <v>0</v>
      </c>
      <c r="C5" s="30"/>
      <c r="D5" s="5"/>
      <c r="E5" s="38" t="s">
        <v>59</v>
      </c>
      <c r="F5" s="12">
        <f>L43</f>
        <v>128.77541597238798</v>
      </c>
      <c r="G5" s="24" t="s">
        <v>7</v>
      </c>
      <c r="K5" s="5"/>
      <c r="L5" s="5"/>
      <c r="M5" s="5"/>
    </row>
    <row r="6" spans="1:13" ht="48.6" customHeight="1" x14ac:dyDescent="0.3">
      <c r="A6" s="34" t="s">
        <v>8</v>
      </c>
      <c r="B6" s="23" t="s">
        <v>48</v>
      </c>
      <c r="C6" s="5"/>
      <c r="D6" s="5"/>
      <c r="E6" s="38" t="s">
        <v>9</v>
      </c>
      <c r="F6" s="67">
        <f>L44</f>
        <v>1.2473554496348545</v>
      </c>
      <c r="G6" s="24" t="s">
        <v>10</v>
      </c>
      <c r="K6" s="5"/>
      <c r="L6" s="5"/>
      <c r="M6" s="5"/>
    </row>
    <row r="7" spans="1:13" ht="33.6" customHeight="1" x14ac:dyDescent="0.3">
      <c r="A7" s="34" t="s">
        <v>1</v>
      </c>
      <c r="B7" s="11" t="s">
        <v>47</v>
      </c>
      <c r="C7" s="5"/>
      <c r="D7" s="5"/>
      <c r="E7" s="37" t="s">
        <v>11</v>
      </c>
      <c r="F7" s="13">
        <f>L45</f>
        <v>2.3960433834444128E-2</v>
      </c>
      <c r="G7" s="24" t="s">
        <v>12</v>
      </c>
      <c r="K7" s="14"/>
      <c r="L7" s="14"/>
      <c r="M7" s="14"/>
    </row>
    <row r="8" spans="1:13" ht="22.8" x14ac:dyDescent="0.3">
      <c r="A8" s="34" t="s">
        <v>37</v>
      </c>
      <c r="B8" s="28" t="s">
        <v>57</v>
      </c>
      <c r="C8" s="5"/>
      <c r="D8" s="5"/>
      <c r="E8" s="5"/>
      <c r="F8" s="5"/>
      <c r="G8" s="5"/>
      <c r="H8" s="5"/>
      <c r="I8" s="15"/>
      <c r="J8" s="14"/>
      <c r="K8" s="14"/>
      <c r="L8" s="14"/>
      <c r="M8" s="14"/>
    </row>
    <row r="9" spans="1:13" x14ac:dyDescent="0.3">
      <c r="A9" s="34" t="s">
        <v>60</v>
      </c>
      <c r="B9" s="8" t="s">
        <v>41</v>
      </c>
      <c r="C9" s="5"/>
      <c r="D9" s="5"/>
      <c r="E9" s="5"/>
      <c r="F9" s="5"/>
      <c r="G9" s="5"/>
      <c r="H9" s="5"/>
      <c r="I9" s="15"/>
      <c r="J9" s="14"/>
      <c r="K9" s="14"/>
      <c r="L9" s="14"/>
      <c r="M9" s="14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16"/>
    </row>
    <row r="11" spans="1:13" ht="49.2" customHeight="1" x14ac:dyDescent="0.3">
      <c r="A11" s="29" t="s">
        <v>13</v>
      </c>
      <c r="B11" s="29" t="s">
        <v>14</v>
      </c>
      <c r="C11" s="29" t="s">
        <v>15</v>
      </c>
      <c r="D11" s="36" t="s">
        <v>42</v>
      </c>
      <c r="E11" s="36" t="s">
        <v>61</v>
      </c>
      <c r="F11" s="36" t="s">
        <v>44</v>
      </c>
      <c r="G11" s="36" t="s">
        <v>62</v>
      </c>
      <c r="H11" s="36" t="s">
        <v>63</v>
      </c>
      <c r="I11" s="36" t="s">
        <v>16</v>
      </c>
      <c r="J11" s="36" t="s">
        <v>17</v>
      </c>
      <c r="K11" s="36" t="s">
        <v>18</v>
      </c>
      <c r="L11" s="36" t="s">
        <v>7</v>
      </c>
      <c r="M11" s="17"/>
    </row>
    <row r="12" spans="1:13" x14ac:dyDescent="0.3">
      <c r="A12" s="19">
        <v>1</v>
      </c>
      <c r="B12" s="12">
        <v>2015</v>
      </c>
      <c r="C12" s="12">
        <v>500</v>
      </c>
      <c r="D12" s="12">
        <v>0</v>
      </c>
      <c r="E12" s="12">
        <v>0</v>
      </c>
      <c r="F12" s="12">
        <v>0</v>
      </c>
      <c r="G12" s="12">
        <v>0</v>
      </c>
      <c r="H12" s="46">
        <f>E12+G12</f>
        <v>0</v>
      </c>
      <c r="I12" s="12">
        <f>H12-C12</f>
        <v>-500</v>
      </c>
      <c r="J12" s="12">
        <v>500</v>
      </c>
      <c r="K12" s="12">
        <v>0</v>
      </c>
      <c r="L12" s="12">
        <f t="shared" ref="L12" si="0">K12-J12</f>
        <v>-500</v>
      </c>
      <c r="M12" s="5"/>
    </row>
    <row r="13" spans="1:13" x14ac:dyDescent="0.3">
      <c r="A13" s="19">
        <f>A12+1</f>
        <v>2</v>
      </c>
      <c r="B13" s="12">
        <f>B12+1</f>
        <v>2016</v>
      </c>
      <c r="C13" s="12">
        <v>2</v>
      </c>
      <c r="D13" s="12">
        <f>B3</f>
        <v>47</v>
      </c>
      <c r="E13" s="46">
        <f>D13*0.95</f>
        <v>44.65</v>
      </c>
      <c r="F13" s="12">
        <v>22</v>
      </c>
      <c r="G13" s="46">
        <f t="shared" ref="G13:G42" si="1">F13*0.9</f>
        <v>19.8</v>
      </c>
      <c r="H13" s="46">
        <f t="shared" ref="H13:H42" si="2">E13+G13</f>
        <v>64.45</v>
      </c>
      <c r="I13" s="12">
        <f t="shared" ref="I13:I42" si="3">H13-C13</f>
        <v>62.45</v>
      </c>
      <c r="J13" s="12">
        <f>(C13)/((1+0.1)^($A13-1))</f>
        <v>1.8181818181818181</v>
      </c>
      <c r="K13" s="12">
        <f>(I13)/((1+0.1)^($A13-1))</f>
        <v>56.772727272727273</v>
      </c>
      <c r="L13" s="12">
        <f t="shared" ref="L13:L42" si="4">K13-J13</f>
        <v>54.954545454545453</v>
      </c>
      <c r="M13" s="18"/>
    </row>
    <row r="14" spans="1:13" x14ac:dyDescent="0.3">
      <c r="A14" s="19">
        <f t="shared" ref="A14:B29" si="5">A13+1</f>
        <v>3</v>
      </c>
      <c r="B14" s="12">
        <f t="shared" si="5"/>
        <v>2017</v>
      </c>
      <c r="C14" s="12">
        <f>C13</f>
        <v>2</v>
      </c>
      <c r="D14" s="12">
        <f>D13*(1+$B$5)</f>
        <v>47</v>
      </c>
      <c r="E14" s="46">
        <f t="shared" ref="E14:E42" si="6">D14*0.95</f>
        <v>44.65</v>
      </c>
      <c r="F14" s="12">
        <f>F13*(1+$B$5)</f>
        <v>22</v>
      </c>
      <c r="G14" s="46">
        <f t="shared" si="1"/>
        <v>19.8</v>
      </c>
      <c r="H14" s="46">
        <f t="shared" si="2"/>
        <v>64.45</v>
      </c>
      <c r="I14" s="12">
        <f t="shared" si="3"/>
        <v>62.45</v>
      </c>
      <c r="J14" s="12">
        <f t="shared" ref="J14:J26" si="7">(C14)/((1+0.1)^($A14-1))</f>
        <v>1.6528925619834709</v>
      </c>
      <c r="K14" s="12">
        <f t="shared" ref="K14:K26" si="8">(I14)/((1+0.1)^($A14-1))</f>
        <v>51.611570247933876</v>
      </c>
      <c r="L14" s="12">
        <f t="shared" si="4"/>
        <v>49.958677685950406</v>
      </c>
      <c r="M14" s="18"/>
    </row>
    <row r="15" spans="1:13" x14ac:dyDescent="0.3">
      <c r="A15" s="19">
        <f t="shared" si="5"/>
        <v>4</v>
      </c>
      <c r="B15" s="12">
        <f t="shared" si="5"/>
        <v>2018</v>
      </c>
      <c r="C15" s="12">
        <f t="shared" ref="C15:C41" si="9">C14</f>
        <v>2</v>
      </c>
      <c r="D15" s="12">
        <f t="shared" ref="D15:D42" si="10">D14*(1+$B$5)</f>
        <v>47</v>
      </c>
      <c r="E15" s="46">
        <f t="shared" si="6"/>
        <v>44.65</v>
      </c>
      <c r="F15" s="12">
        <f t="shared" ref="F15:F42" si="11">F14*(1+$B$5)</f>
        <v>22</v>
      </c>
      <c r="G15" s="46">
        <f t="shared" si="1"/>
        <v>19.8</v>
      </c>
      <c r="H15" s="46">
        <f t="shared" si="2"/>
        <v>64.45</v>
      </c>
      <c r="I15" s="12">
        <f t="shared" si="3"/>
        <v>62.45</v>
      </c>
      <c r="J15" s="12">
        <f t="shared" si="7"/>
        <v>1.5026296018031551</v>
      </c>
      <c r="K15" s="12">
        <f t="shared" si="8"/>
        <v>46.919609316303521</v>
      </c>
      <c r="L15" s="12">
        <f t="shared" si="4"/>
        <v>45.416979714500364</v>
      </c>
      <c r="M15" s="18"/>
    </row>
    <row r="16" spans="1:13" x14ac:dyDescent="0.3">
      <c r="A16" s="19">
        <f t="shared" si="5"/>
        <v>5</v>
      </c>
      <c r="B16" s="12">
        <f t="shared" si="5"/>
        <v>2019</v>
      </c>
      <c r="C16" s="12">
        <f t="shared" si="9"/>
        <v>2</v>
      </c>
      <c r="D16" s="12">
        <f t="shared" si="10"/>
        <v>47</v>
      </c>
      <c r="E16" s="46">
        <f t="shared" si="6"/>
        <v>44.65</v>
      </c>
      <c r="F16" s="12">
        <f t="shared" si="11"/>
        <v>22</v>
      </c>
      <c r="G16" s="46">
        <f t="shared" si="1"/>
        <v>19.8</v>
      </c>
      <c r="H16" s="46">
        <f t="shared" si="2"/>
        <v>64.45</v>
      </c>
      <c r="I16" s="12">
        <f t="shared" si="3"/>
        <v>62.45</v>
      </c>
      <c r="J16" s="12">
        <f t="shared" si="7"/>
        <v>1.366026910730141</v>
      </c>
      <c r="K16" s="12">
        <f t="shared" si="8"/>
        <v>42.654190287548658</v>
      </c>
      <c r="L16" s="12">
        <f t="shared" si="4"/>
        <v>41.288163376818517</v>
      </c>
      <c r="M16" s="18"/>
    </row>
    <row r="17" spans="1:13" x14ac:dyDescent="0.3">
      <c r="A17" s="19">
        <f t="shared" si="5"/>
        <v>6</v>
      </c>
      <c r="B17" s="12">
        <f t="shared" si="5"/>
        <v>2020</v>
      </c>
      <c r="C17" s="12">
        <f t="shared" si="9"/>
        <v>2</v>
      </c>
      <c r="D17" s="12">
        <f t="shared" si="10"/>
        <v>47</v>
      </c>
      <c r="E17" s="46">
        <f t="shared" si="6"/>
        <v>44.65</v>
      </c>
      <c r="F17" s="12">
        <f t="shared" si="11"/>
        <v>22</v>
      </c>
      <c r="G17" s="46">
        <f t="shared" si="1"/>
        <v>19.8</v>
      </c>
      <c r="H17" s="46">
        <f t="shared" si="2"/>
        <v>64.45</v>
      </c>
      <c r="I17" s="12">
        <f t="shared" si="3"/>
        <v>62.45</v>
      </c>
      <c r="J17" s="12">
        <f t="shared" si="7"/>
        <v>1.2418426461183099</v>
      </c>
      <c r="K17" s="12">
        <f t="shared" si="8"/>
        <v>38.77653662504423</v>
      </c>
      <c r="L17" s="12">
        <f t="shared" si="4"/>
        <v>37.534693978925922</v>
      </c>
      <c r="M17" s="18"/>
    </row>
    <row r="18" spans="1:13" x14ac:dyDescent="0.3">
      <c r="A18" s="19">
        <f t="shared" si="5"/>
        <v>7</v>
      </c>
      <c r="B18" s="12">
        <f t="shared" si="5"/>
        <v>2021</v>
      </c>
      <c r="C18" s="12">
        <f t="shared" si="9"/>
        <v>2</v>
      </c>
      <c r="D18" s="12">
        <f t="shared" si="10"/>
        <v>47</v>
      </c>
      <c r="E18" s="46">
        <f t="shared" si="6"/>
        <v>44.65</v>
      </c>
      <c r="F18" s="12">
        <f t="shared" si="11"/>
        <v>22</v>
      </c>
      <c r="G18" s="46">
        <f t="shared" si="1"/>
        <v>19.8</v>
      </c>
      <c r="H18" s="46">
        <f t="shared" si="2"/>
        <v>64.45</v>
      </c>
      <c r="I18" s="12">
        <f t="shared" si="3"/>
        <v>62.45</v>
      </c>
      <c r="J18" s="12">
        <f t="shared" si="7"/>
        <v>1.1289478601075544</v>
      </c>
      <c r="K18" s="12">
        <f t="shared" si="8"/>
        <v>35.251396931858388</v>
      </c>
      <c r="L18" s="12">
        <f t="shared" si="4"/>
        <v>34.122449071750836</v>
      </c>
      <c r="M18" s="18"/>
    </row>
    <row r="19" spans="1:13" x14ac:dyDescent="0.3">
      <c r="A19" s="19">
        <f t="shared" si="5"/>
        <v>8</v>
      </c>
      <c r="B19" s="12">
        <f t="shared" si="5"/>
        <v>2022</v>
      </c>
      <c r="C19" s="12">
        <f t="shared" si="9"/>
        <v>2</v>
      </c>
      <c r="D19" s="12">
        <f t="shared" si="10"/>
        <v>47</v>
      </c>
      <c r="E19" s="46">
        <f t="shared" si="6"/>
        <v>44.65</v>
      </c>
      <c r="F19" s="12">
        <f t="shared" si="11"/>
        <v>22</v>
      </c>
      <c r="G19" s="46">
        <f t="shared" si="1"/>
        <v>19.8</v>
      </c>
      <c r="H19" s="46">
        <f t="shared" si="2"/>
        <v>64.45</v>
      </c>
      <c r="I19" s="12">
        <f t="shared" si="3"/>
        <v>62.45</v>
      </c>
      <c r="J19" s="12">
        <f t="shared" si="7"/>
        <v>1.0263162364614129</v>
      </c>
      <c r="K19" s="12">
        <f t="shared" si="8"/>
        <v>32.046724483507617</v>
      </c>
      <c r="L19" s="12">
        <f t="shared" si="4"/>
        <v>31.020408247046205</v>
      </c>
      <c r="M19" s="18"/>
    </row>
    <row r="20" spans="1:13" x14ac:dyDescent="0.3">
      <c r="A20" s="19">
        <f t="shared" si="5"/>
        <v>9</v>
      </c>
      <c r="B20" s="12">
        <f t="shared" si="5"/>
        <v>2023</v>
      </c>
      <c r="C20" s="12">
        <f t="shared" si="9"/>
        <v>2</v>
      </c>
      <c r="D20" s="12">
        <f t="shared" si="10"/>
        <v>47</v>
      </c>
      <c r="E20" s="46">
        <f t="shared" si="6"/>
        <v>44.65</v>
      </c>
      <c r="F20" s="12">
        <f t="shared" si="11"/>
        <v>22</v>
      </c>
      <c r="G20" s="46">
        <f t="shared" si="1"/>
        <v>19.8</v>
      </c>
      <c r="H20" s="46">
        <f t="shared" si="2"/>
        <v>64.45</v>
      </c>
      <c r="I20" s="12">
        <f t="shared" si="3"/>
        <v>62.45</v>
      </c>
      <c r="J20" s="12">
        <f t="shared" si="7"/>
        <v>0.93301476041946629</v>
      </c>
      <c r="K20" s="12">
        <f t="shared" si="8"/>
        <v>29.133385894097838</v>
      </c>
      <c r="L20" s="12">
        <f t="shared" si="4"/>
        <v>28.20037113367837</v>
      </c>
      <c r="M20" s="18"/>
    </row>
    <row r="21" spans="1:13" x14ac:dyDescent="0.3">
      <c r="A21" s="19">
        <f t="shared" si="5"/>
        <v>10</v>
      </c>
      <c r="B21" s="12">
        <f t="shared" si="5"/>
        <v>2024</v>
      </c>
      <c r="C21" s="12">
        <f t="shared" si="9"/>
        <v>2</v>
      </c>
      <c r="D21" s="12">
        <f t="shared" si="10"/>
        <v>47</v>
      </c>
      <c r="E21" s="46">
        <f t="shared" si="6"/>
        <v>44.65</v>
      </c>
      <c r="F21" s="12">
        <f t="shared" si="11"/>
        <v>22</v>
      </c>
      <c r="G21" s="46">
        <f t="shared" si="1"/>
        <v>19.8</v>
      </c>
      <c r="H21" s="46">
        <f t="shared" si="2"/>
        <v>64.45</v>
      </c>
      <c r="I21" s="12">
        <f t="shared" si="3"/>
        <v>62.45</v>
      </c>
      <c r="J21" s="12">
        <f t="shared" si="7"/>
        <v>0.84819523674496933</v>
      </c>
      <c r="K21" s="12">
        <f t="shared" si="8"/>
        <v>26.48489626736167</v>
      </c>
      <c r="L21" s="12">
        <f t="shared" si="4"/>
        <v>25.636701030616699</v>
      </c>
      <c r="M21" s="18"/>
    </row>
    <row r="22" spans="1:13" x14ac:dyDescent="0.3">
      <c r="A22" s="19">
        <f t="shared" si="5"/>
        <v>11</v>
      </c>
      <c r="B22" s="12">
        <f t="shared" si="5"/>
        <v>2025</v>
      </c>
      <c r="C22" s="12">
        <f t="shared" si="9"/>
        <v>2</v>
      </c>
      <c r="D22" s="12">
        <f t="shared" si="10"/>
        <v>47</v>
      </c>
      <c r="E22" s="46">
        <f t="shared" si="6"/>
        <v>44.65</v>
      </c>
      <c r="F22" s="12">
        <f t="shared" si="11"/>
        <v>22</v>
      </c>
      <c r="G22" s="46">
        <f t="shared" si="1"/>
        <v>19.8</v>
      </c>
      <c r="H22" s="46">
        <f t="shared" si="2"/>
        <v>64.45</v>
      </c>
      <c r="I22" s="12">
        <f t="shared" si="3"/>
        <v>62.45</v>
      </c>
      <c r="J22" s="12">
        <f t="shared" si="7"/>
        <v>0.77108657885906295</v>
      </c>
      <c r="K22" s="12">
        <f t="shared" si="8"/>
        <v>24.077178424874241</v>
      </c>
      <c r="L22" s="12">
        <f t="shared" si="4"/>
        <v>23.306091846015178</v>
      </c>
      <c r="M22" s="18"/>
    </row>
    <row r="23" spans="1:13" x14ac:dyDescent="0.3">
      <c r="A23" s="19">
        <f t="shared" si="5"/>
        <v>12</v>
      </c>
      <c r="B23" s="12">
        <f t="shared" si="5"/>
        <v>2026</v>
      </c>
      <c r="C23" s="12">
        <f t="shared" si="9"/>
        <v>2</v>
      </c>
      <c r="D23" s="12">
        <f t="shared" si="10"/>
        <v>47</v>
      </c>
      <c r="E23" s="46">
        <f t="shared" si="6"/>
        <v>44.65</v>
      </c>
      <c r="F23" s="12">
        <f t="shared" si="11"/>
        <v>22</v>
      </c>
      <c r="G23" s="46">
        <f t="shared" si="1"/>
        <v>19.8</v>
      </c>
      <c r="H23" s="46">
        <f t="shared" si="2"/>
        <v>64.45</v>
      </c>
      <c r="I23" s="12">
        <f t="shared" si="3"/>
        <v>62.45</v>
      </c>
      <c r="J23" s="12">
        <f t="shared" si="7"/>
        <v>0.7009877989627844</v>
      </c>
      <c r="K23" s="12">
        <f t="shared" si="8"/>
        <v>21.888344022612944</v>
      </c>
      <c r="L23" s="12">
        <f t="shared" si="4"/>
        <v>21.187356223650159</v>
      </c>
      <c r="M23" s="18"/>
    </row>
    <row r="24" spans="1:13" x14ac:dyDescent="0.3">
      <c r="A24" s="19">
        <f t="shared" si="5"/>
        <v>13</v>
      </c>
      <c r="B24" s="12">
        <f t="shared" si="5"/>
        <v>2027</v>
      </c>
      <c r="C24" s="12">
        <f t="shared" si="9"/>
        <v>2</v>
      </c>
      <c r="D24" s="12">
        <f t="shared" si="10"/>
        <v>47</v>
      </c>
      <c r="E24" s="46">
        <f t="shared" si="6"/>
        <v>44.65</v>
      </c>
      <c r="F24" s="12">
        <f t="shared" si="11"/>
        <v>22</v>
      </c>
      <c r="G24" s="46">
        <f t="shared" si="1"/>
        <v>19.8</v>
      </c>
      <c r="H24" s="46">
        <f t="shared" si="2"/>
        <v>64.45</v>
      </c>
      <c r="I24" s="12">
        <f t="shared" si="3"/>
        <v>62.45</v>
      </c>
      <c r="J24" s="12">
        <f t="shared" si="7"/>
        <v>0.63726163542071312</v>
      </c>
      <c r="K24" s="12">
        <f t="shared" si="8"/>
        <v>19.898494566011767</v>
      </c>
      <c r="L24" s="12">
        <f t="shared" si="4"/>
        <v>19.261232930591053</v>
      </c>
      <c r="M24" s="18"/>
    </row>
    <row r="25" spans="1:13" x14ac:dyDescent="0.3">
      <c r="A25" s="19">
        <f t="shared" si="5"/>
        <v>14</v>
      </c>
      <c r="B25" s="12">
        <f t="shared" si="5"/>
        <v>2028</v>
      </c>
      <c r="C25" s="12">
        <f t="shared" si="9"/>
        <v>2</v>
      </c>
      <c r="D25" s="12">
        <f t="shared" si="10"/>
        <v>47</v>
      </c>
      <c r="E25" s="46">
        <f t="shared" si="6"/>
        <v>44.65</v>
      </c>
      <c r="F25" s="12">
        <f t="shared" si="11"/>
        <v>22</v>
      </c>
      <c r="G25" s="46">
        <f t="shared" si="1"/>
        <v>19.8</v>
      </c>
      <c r="H25" s="46">
        <f t="shared" si="2"/>
        <v>64.45</v>
      </c>
      <c r="I25" s="12">
        <f t="shared" si="3"/>
        <v>62.45</v>
      </c>
      <c r="J25" s="12">
        <f t="shared" si="7"/>
        <v>0.57932875947337559</v>
      </c>
      <c r="K25" s="12">
        <f t="shared" si="8"/>
        <v>18.089540514556152</v>
      </c>
      <c r="L25" s="12">
        <f t="shared" si="4"/>
        <v>17.510211755082775</v>
      </c>
      <c r="M25" s="18"/>
    </row>
    <row r="26" spans="1:13" x14ac:dyDescent="0.3">
      <c r="A26" s="19">
        <f t="shared" si="5"/>
        <v>15</v>
      </c>
      <c r="B26" s="12">
        <f t="shared" si="5"/>
        <v>2029</v>
      </c>
      <c r="C26" s="12">
        <f t="shared" si="9"/>
        <v>2</v>
      </c>
      <c r="D26" s="12">
        <f t="shared" si="10"/>
        <v>47</v>
      </c>
      <c r="E26" s="46">
        <f t="shared" si="6"/>
        <v>44.65</v>
      </c>
      <c r="F26" s="12">
        <f t="shared" si="11"/>
        <v>22</v>
      </c>
      <c r="G26" s="46">
        <f t="shared" si="1"/>
        <v>19.8</v>
      </c>
      <c r="H26" s="46">
        <f t="shared" si="2"/>
        <v>64.45</v>
      </c>
      <c r="I26" s="12">
        <f t="shared" si="3"/>
        <v>62.45</v>
      </c>
      <c r="J26" s="12">
        <f t="shared" si="7"/>
        <v>0.52666250861215946</v>
      </c>
      <c r="K26" s="12">
        <f t="shared" si="8"/>
        <v>16.445036831414679</v>
      </c>
      <c r="L26" s="12">
        <f t="shared" si="4"/>
        <v>15.918374322802521</v>
      </c>
      <c r="M26" s="18"/>
    </row>
    <row r="27" spans="1:13" x14ac:dyDescent="0.3">
      <c r="A27" s="19">
        <f t="shared" si="5"/>
        <v>16</v>
      </c>
      <c r="B27" s="12">
        <f t="shared" si="5"/>
        <v>2030</v>
      </c>
      <c r="C27" s="12">
        <f t="shared" si="9"/>
        <v>2</v>
      </c>
      <c r="D27" s="12">
        <f t="shared" si="10"/>
        <v>47</v>
      </c>
      <c r="E27" s="46">
        <f t="shared" si="6"/>
        <v>44.65</v>
      </c>
      <c r="F27" s="12">
        <f t="shared" si="11"/>
        <v>22</v>
      </c>
      <c r="G27" s="46">
        <f t="shared" si="1"/>
        <v>19.8</v>
      </c>
      <c r="H27" s="46">
        <f t="shared" si="2"/>
        <v>64.45</v>
      </c>
      <c r="I27" s="12">
        <f t="shared" si="3"/>
        <v>62.45</v>
      </c>
      <c r="J27" s="12">
        <f>(C27)/((1+0.1)^($A27-1))</f>
        <v>0.47878409873832678</v>
      </c>
      <c r="K27" s="12">
        <f>(H27)/((1+0.1)^($A27-1))</f>
        <v>15.428817581842582</v>
      </c>
      <c r="L27" s="12">
        <f t="shared" si="4"/>
        <v>14.950033483104255</v>
      </c>
      <c r="M27" s="18"/>
    </row>
    <row r="28" spans="1:13" x14ac:dyDescent="0.3">
      <c r="A28" s="19">
        <f t="shared" si="5"/>
        <v>17</v>
      </c>
      <c r="B28" s="12">
        <f t="shared" si="5"/>
        <v>2031</v>
      </c>
      <c r="C28" s="12">
        <f t="shared" si="9"/>
        <v>2</v>
      </c>
      <c r="D28" s="12">
        <f t="shared" si="10"/>
        <v>47</v>
      </c>
      <c r="E28" s="46">
        <f t="shared" si="6"/>
        <v>44.65</v>
      </c>
      <c r="F28" s="12">
        <f t="shared" si="11"/>
        <v>22</v>
      </c>
      <c r="G28" s="46">
        <f t="shared" si="1"/>
        <v>19.8</v>
      </c>
      <c r="H28" s="46">
        <f t="shared" si="2"/>
        <v>64.45</v>
      </c>
      <c r="I28" s="12">
        <f t="shared" si="3"/>
        <v>62.45</v>
      </c>
      <c r="J28" s="12">
        <f t="shared" ref="J28:J42" si="12">(C28)/((1+0.08)^($A28-1))</f>
        <v>0.58378093512201845</v>
      </c>
      <c r="K28" s="12">
        <f t="shared" ref="K28:K42" si="13">(H28)/((1+0.08)^($A28-1))</f>
        <v>18.812340634307045</v>
      </c>
      <c r="L28" s="12">
        <f t="shared" si="4"/>
        <v>18.228559699185027</v>
      </c>
      <c r="M28" s="18"/>
    </row>
    <row r="29" spans="1:13" x14ac:dyDescent="0.3">
      <c r="A29" s="19">
        <f t="shared" si="5"/>
        <v>18</v>
      </c>
      <c r="B29" s="12">
        <f t="shared" si="5"/>
        <v>2032</v>
      </c>
      <c r="C29" s="12">
        <f t="shared" si="9"/>
        <v>2</v>
      </c>
      <c r="D29" s="12">
        <f t="shared" si="10"/>
        <v>47</v>
      </c>
      <c r="E29" s="46">
        <f t="shared" si="6"/>
        <v>44.65</v>
      </c>
      <c r="F29" s="12">
        <f t="shared" si="11"/>
        <v>22</v>
      </c>
      <c r="G29" s="46">
        <f t="shared" si="1"/>
        <v>19.8</v>
      </c>
      <c r="H29" s="46">
        <f t="shared" si="2"/>
        <v>64.45</v>
      </c>
      <c r="I29" s="12">
        <f t="shared" si="3"/>
        <v>62.45</v>
      </c>
      <c r="J29" s="12">
        <f t="shared" si="12"/>
        <v>0.54053790289075787</v>
      </c>
      <c r="K29" s="12">
        <f t="shared" si="13"/>
        <v>17.41883392065467</v>
      </c>
      <c r="L29" s="12">
        <f t="shared" si="4"/>
        <v>16.878296017763912</v>
      </c>
      <c r="M29" s="18"/>
    </row>
    <row r="30" spans="1:13" x14ac:dyDescent="0.3">
      <c r="A30" s="19">
        <f t="shared" ref="A30:B42" si="14">A29+1</f>
        <v>19</v>
      </c>
      <c r="B30" s="12">
        <f t="shared" si="14"/>
        <v>2033</v>
      </c>
      <c r="C30" s="12">
        <f t="shared" si="9"/>
        <v>2</v>
      </c>
      <c r="D30" s="12">
        <f t="shared" si="10"/>
        <v>47</v>
      </c>
      <c r="E30" s="46">
        <f t="shared" si="6"/>
        <v>44.65</v>
      </c>
      <c r="F30" s="12">
        <f t="shared" si="11"/>
        <v>22</v>
      </c>
      <c r="G30" s="46">
        <f t="shared" si="1"/>
        <v>19.8</v>
      </c>
      <c r="H30" s="46">
        <f t="shared" si="2"/>
        <v>64.45</v>
      </c>
      <c r="I30" s="12">
        <f t="shared" si="3"/>
        <v>62.45</v>
      </c>
      <c r="J30" s="12">
        <f t="shared" si="12"/>
        <v>0.50049805823218307</v>
      </c>
      <c r="K30" s="12">
        <f t="shared" si="13"/>
        <v>16.128549926532102</v>
      </c>
      <c r="L30" s="12">
        <f t="shared" si="4"/>
        <v>15.628051868299918</v>
      </c>
      <c r="M30" s="18"/>
    </row>
    <row r="31" spans="1:13" x14ac:dyDescent="0.3">
      <c r="A31" s="19">
        <f t="shared" si="14"/>
        <v>20</v>
      </c>
      <c r="B31" s="12">
        <f t="shared" si="14"/>
        <v>2034</v>
      </c>
      <c r="C31" s="12">
        <f t="shared" si="9"/>
        <v>2</v>
      </c>
      <c r="D31" s="12">
        <f t="shared" si="10"/>
        <v>47</v>
      </c>
      <c r="E31" s="46">
        <f t="shared" si="6"/>
        <v>44.65</v>
      </c>
      <c r="F31" s="12">
        <f t="shared" si="11"/>
        <v>22</v>
      </c>
      <c r="G31" s="46">
        <f t="shared" si="1"/>
        <v>19.8</v>
      </c>
      <c r="H31" s="46">
        <f t="shared" si="2"/>
        <v>64.45</v>
      </c>
      <c r="I31" s="12">
        <f t="shared" si="3"/>
        <v>62.45</v>
      </c>
      <c r="J31" s="12">
        <f t="shared" si="12"/>
        <v>0.46342412799276211</v>
      </c>
      <c r="K31" s="12">
        <f t="shared" si="13"/>
        <v>14.93384252456676</v>
      </c>
      <c r="L31" s="12">
        <f t="shared" si="4"/>
        <v>14.470418396573997</v>
      </c>
      <c r="M31" s="18"/>
    </row>
    <row r="32" spans="1:13" x14ac:dyDescent="0.3">
      <c r="A32" s="19">
        <f t="shared" si="14"/>
        <v>21</v>
      </c>
      <c r="B32" s="12">
        <f t="shared" si="14"/>
        <v>2035</v>
      </c>
      <c r="C32" s="12">
        <f t="shared" si="9"/>
        <v>2</v>
      </c>
      <c r="D32" s="12">
        <f t="shared" si="10"/>
        <v>47</v>
      </c>
      <c r="E32" s="46">
        <f t="shared" si="6"/>
        <v>44.65</v>
      </c>
      <c r="F32" s="12">
        <f t="shared" si="11"/>
        <v>22</v>
      </c>
      <c r="G32" s="46">
        <f t="shared" si="1"/>
        <v>19.8</v>
      </c>
      <c r="H32" s="46">
        <f t="shared" si="2"/>
        <v>64.45</v>
      </c>
      <c r="I32" s="12">
        <f t="shared" si="3"/>
        <v>62.45</v>
      </c>
      <c r="J32" s="12">
        <f t="shared" si="12"/>
        <v>0.42909641480811306</v>
      </c>
      <c r="K32" s="12">
        <f t="shared" si="13"/>
        <v>13.827631967191445</v>
      </c>
      <c r="L32" s="12">
        <f t="shared" si="4"/>
        <v>13.398535552383333</v>
      </c>
      <c r="M32" s="18"/>
    </row>
    <row r="33" spans="1:13" x14ac:dyDescent="0.3">
      <c r="A33" s="19">
        <f t="shared" si="14"/>
        <v>22</v>
      </c>
      <c r="B33" s="12">
        <f t="shared" si="14"/>
        <v>2036</v>
      </c>
      <c r="C33" s="12">
        <f t="shared" si="9"/>
        <v>2</v>
      </c>
      <c r="D33" s="12">
        <f t="shared" si="10"/>
        <v>47</v>
      </c>
      <c r="E33" s="46">
        <f t="shared" si="6"/>
        <v>44.65</v>
      </c>
      <c r="F33" s="12">
        <f t="shared" si="11"/>
        <v>22</v>
      </c>
      <c r="G33" s="46">
        <f t="shared" si="1"/>
        <v>19.8</v>
      </c>
      <c r="H33" s="46">
        <f t="shared" si="2"/>
        <v>64.45</v>
      </c>
      <c r="I33" s="12">
        <f t="shared" si="3"/>
        <v>62.45</v>
      </c>
      <c r="J33" s="12">
        <f t="shared" si="12"/>
        <v>0.39731149519269726</v>
      </c>
      <c r="K33" s="12">
        <f t="shared" si="13"/>
        <v>12.803362932584671</v>
      </c>
      <c r="L33" s="12">
        <f t="shared" si="4"/>
        <v>12.406051437391973</v>
      </c>
      <c r="M33" s="18"/>
    </row>
    <row r="34" spans="1:13" x14ac:dyDescent="0.3">
      <c r="A34" s="19">
        <f t="shared" si="14"/>
        <v>23</v>
      </c>
      <c r="B34" s="12">
        <f t="shared" si="14"/>
        <v>2037</v>
      </c>
      <c r="C34" s="12">
        <f t="shared" si="9"/>
        <v>2</v>
      </c>
      <c r="D34" s="12">
        <f t="shared" si="10"/>
        <v>47</v>
      </c>
      <c r="E34" s="46">
        <f t="shared" si="6"/>
        <v>44.65</v>
      </c>
      <c r="F34" s="12">
        <f t="shared" si="11"/>
        <v>22</v>
      </c>
      <c r="G34" s="46">
        <f t="shared" si="1"/>
        <v>19.8</v>
      </c>
      <c r="H34" s="46">
        <f t="shared" si="2"/>
        <v>64.45</v>
      </c>
      <c r="I34" s="12">
        <f t="shared" si="3"/>
        <v>62.45</v>
      </c>
      <c r="J34" s="12">
        <f t="shared" si="12"/>
        <v>0.36788101406731222</v>
      </c>
      <c r="K34" s="12">
        <f t="shared" si="13"/>
        <v>11.854965678319138</v>
      </c>
      <c r="L34" s="12">
        <f t="shared" si="4"/>
        <v>11.487084664251826</v>
      </c>
      <c r="M34" s="18"/>
    </row>
    <row r="35" spans="1:13" x14ac:dyDescent="0.3">
      <c r="A35" s="19">
        <f t="shared" si="14"/>
        <v>24</v>
      </c>
      <c r="B35" s="12">
        <f t="shared" si="14"/>
        <v>2038</v>
      </c>
      <c r="C35" s="12">
        <f t="shared" si="9"/>
        <v>2</v>
      </c>
      <c r="D35" s="12">
        <f t="shared" si="10"/>
        <v>47</v>
      </c>
      <c r="E35" s="46">
        <f t="shared" si="6"/>
        <v>44.65</v>
      </c>
      <c r="F35" s="12">
        <f t="shared" si="11"/>
        <v>22</v>
      </c>
      <c r="G35" s="46">
        <f t="shared" si="1"/>
        <v>19.8</v>
      </c>
      <c r="H35" s="46">
        <f t="shared" si="2"/>
        <v>64.45</v>
      </c>
      <c r="I35" s="12">
        <f t="shared" si="3"/>
        <v>62.45</v>
      </c>
      <c r="J35" s="12">
        <f t="shared" si="12"/>
        <v>0.34063056858084467</v>
      </c>
      <c r="K35" s="12">
        <f t="shared" si="13"/>
        <v>10.97682007251772</v>
      </c>
      <c r="L35" s="12">
        <f t="shared" si="4"/>
        <v>10.636189503936874</v>
      </c>
      <c r="M35" s="18"/>
    </row>
    <row r="36" spans="1:13" x14ac:dyDescent="0.3">
      <c r="A36" s="19">
        <f t="shared" si="14"/>
        <v>25</v>
      </c>
      <c r="B36" s="12">
        <f t="shared" si="14"/>
        <v>2039</v>
      </c>
      <c r="C36" s="12">
        <f t="shared" si="9"/>
        <v>2</v>
      </c>
      <c r="D36" s="12">
        <f t="shared" si="10"/>
        <v>47</v>
      </c>
      <c r="E36" s="46">
        <f t="shared" si="6"/>
        <v>44.65</v>
      </c>
      <c r="F36" s="12">
        <f t="shared" si="11"/>
        <v>22</v>
      </c>
      <c r="G36" s="46">
        <f t="shared" si="1"/>
        <v>19.8</v>
      </c>
      <c r="H36" s="46">
        <f t="shared" si="2"/>
        <v>64.45</v>
      </c>
      <c r="I36" s="12">
        <f t="shared" si="3"/>
        <v>62.45</v>
      </c>
      <c r="J36" s="12">
        <f t="shared" si="12"/>
        <v>0.31539867461189319</v>
      </c>
      <c r="K36" s="12">
        <f t="shared" si="13"/>
        <v>10.163722289368259</v>
      </c>
      <c r="L36" s="12">
        <f t="shared" si="4"/>
        <v>9.8483236147563655</v>
      </c>
      <c r="M36" s="18"/>
    </row>
    <row r="37" spans="1:13" x14ac:dyDescent="0.3">
      <c r="A37" s="19">
        <f t="shared" si="14"/>
        <v>26</v>
      </c>
      <c r="B37" s="12">
        <f t="shared" si="14"/>
        <v>2040</v>
      </c>
      <c r="C37" s="12">
        <f t="shared" si="9"/>
        <v>2</v>
      </c>
      <c r="D37" s="12">
        <f t="shared" si="10"/>
        <v>47</v>
      </c>
      <c r="E37" s="46">
        <f t="shared" si="6"/>
        <v>44.65</v>
      </c>
      <c r="F37" s="12">
        <f t="shared" si="11"/>
        <v>22</v>
      </c>
      <c r="G37" s="46">
        <f t="shared" si="1"/>
        <v>19.8</v>
      </c>
      <c r="H37" s="46">
        <f t="shared" si="2"/>
        <v>64.45</v>
      </c>
      <c r="I37" s="12">
        <f t="shared" si="3"/>
        <v>62.45</v>
      </c>
      <c r="J37" s="12">
        <f t="shared" si="12"/>
        <v>0.292035809825827</v>
      </c>
      <c r="K37" s="12">
        <f t="shared" si="13"/>
        <v>9.410853971637275</v>
      </c>
      <c r="L37" s="12">
        <f t="shared" si="4"/>
        <v>9.1188181618114488</v>
      </c>
      <c r="M37" s="18"/>
    </row>
    <row r="38" spans="1:13" x14ac:dyDescent="0.3">
      <c r="A38" s="19">
        <f t="shared" si="14"/>
        <v>27</v>
      </c>
      <c r="B38" s="12">
        <f t="shared" si="14"/>
        <v>2041</v>
      </c>
      <c r="C38" s="12">
        <f t="shared" si="9"/>
        <v>2</v>
      </c>
      <c r="D38" s="12">
        <f t="shared" si="10"/>
        <v>47</v>
      </c>
      <c r="E38" s="46">
        <f t="shared" si="6"/>
        <v>44.65</v>
      </c>
      <c r="F38" s="12">
        <f t="shared" si="11"/>
        <v>22</v>
      </c>
      <c r="G38" s="46">
        <f t="shared" si="1"/>
        <v>19.8</v>
      </c>
      <c r="H38" s="46">
        <f t="shared" si="2"/>
        <v>64.45</v>
      </c>
      <c r="I38" s="12">
        <f t="shared" si="3"/>
        <v>62.45</v>
      </c>
      <c r="J38" s="12">
        <f t="shared" si="12"/>
        <v>0.27040352761650649</v>
      </c>
      <c r="K38" s="12">
        <f t="shared" si="13"/>
        <v>8.7137536774419218</v>
      </c>
      <c r="L38" s="12">
        <f t="shared" si="4"/>
        <v>8.4433501498254149</v>
      </c>
      <c r="M38" s="18"/>
    </row>
    <row r="39" spans="1:13" x14ac:dyDescent="0.3">
      <c r="A39" s="19">
        <f t="shared" si="14"/>
        <v>28</v>
      </c>
      <c r="B39" s="12">
        <f t="shared" si="14"/>
        <v>2042</v>
      </c>
      <c r="C39" s="12">
        <f t="shared" si="9"/>
        <v>2</v>
      </c>
      <c r="D39" s="12">
        <f t="shared" si="10"/>
        <v>47</v>
      </c>
      <c r="E39" s="46">
        <f t="shared" si="6"/>
        <v>44.65</v>
      </c>
      <c r="F39" s="12">
        <f t="shared" si="11"/>
        <v>22</v>
      </c>
      <c r="G39" s="46">
        <f t="shared" si="1"/>
        <v>19.8</v>
      </c>
      <c r="H39" s="46">
        <f t="shared" si="2"/>
        <v>64.45</v>
      </c>
      <c r="I39" s="12">
        <f t="shared" si="3"/>
        <v>62.45</v>
      </c>
      <c r="J39" s="12">
        <f t="shared" si="12"/>
        <v>0.25037363668195045</v>
      </c>
      <c r="K39" s="12">
        <f t="shared" si="13"/>
        <v>8.0682904420758543</v>
      </c>
      <c r="L39" s="12">
        <f t="shared" si="4"/>
        <v>7.8179168053939039</v>
      </c>
      <c r="M39" s="18"/>
    </row>
    <row r="40" spans="1:13" x14ac:dyDescent="0.3">
      <c r="A40" s="19">
        <f t="shared" si="14"/>
        <v>29</v>
      </c>
      <c r="B40" s="12">
        <f t="shared" si="14"/>
        <v>2043</v>
      </c>
      <c r="C40" s="12">
        <f t="shared" si="9"/>
        <v>2</v>
      </c>
      <c r="D40" s="12">
        <f t="shared" si="10"/>
        <v>47</v>
      </c>
      <c r="E40" s="46">
        <f t="shared" si="6"/>
        <v>44.65</v>
      </c>
      <c r="F40" s="12">
        <f t="shared" si="11"/>
        <v>22</v>
      </c>
      <c r="G40" s="46">
        <f t="shared" si="1"/>
        <v>19.8</v>
      </c>
      <c r="H40" s="46">
        <f t="shared" si="2"/>
        <v>64.45</v>
      </c>
      <c r="I40" s="12">
        <f t="shared" si="3"/>
        <v>62.45</v>
      </c>
      <c r="J40" s="12">
        <f t="shared" si="12"/>
        <v>0.23182744137217634</v>
      </c>
      <c r="K40" s="12">
        <f t="shared" si="13"/>
        <v>7.4706392982183827</v>
      </c>
      <c r="L40" s="12">
        <f t="shared" si="4"/>
        <v>7.2388118568462065</v>
      </c>
      <c r="M40" s="18"/>
    </row>
    <row r="41" spans="1:13" x14ac:dyDescent="0.3">
      <c r="A41" s="19">
        <f t="shared" si="14"/>
        <v>30</v>
      </c>
      <c r="B41" s="12">
        <f t="shared" si="14"/>
        <v>2044</v>
      </c>
      <c r="C41" s="12">
        <f t="shared" si="9"/>
        <v>2</v>
      </c>
      <c r="D41" s="12">
        <f t="shared" si="10"/>
        <v>47</v>
      </c>
      <c r="E41" s="46">
        <f t="shared" si="6"/>
        <v>44.65</v>
      </c>
      <c r="F41" s="12">
        <f t="shared" si="11"/>
        <v>22</v>
      </c>
      <c r="G41" s="46">
        <f t="shared" si="1"/>
        <v>19.8</v>
      </c>
      <c r="H41" s="46">
        <f t="shared" si="2"/>
        <v>64.45</v>
      </c>
      <c r="I41" s="12">
        <f t="shared" si="3"/>
        <v>62.45</v>
      </c>
      <c r="J41" s="12">
        <f t="shared" si="12"/>
        <v>0.21465503830757068</v>
      </c>
      <c r="K41" s="12">
        <f t="shared" si="13"/>
        <v>6.9172586094614656</v>
      </c>
      <c r="L41" s="12">
        <f t="shared" si="4"/>
        <v>6.7026035711538947</v>
      </c>
      <c r="M41" s="18"/>
    </row>
    <row r="42" spans="1:13" x14ac:dyDescent="0.3">
      <c r="A42" s="19">
        <f t="shared" si="14"/>
        <v>31</v>
      </c>
      <c r="B42" s="12">
        <f t="shared" si="14"/>
        <v>2045</v>
      </c>
      <c r="C42" s="12">
        <f>C41</f>
        <v>2</v>
      </c>
      <c r="D42" s="12">
        <f t="shared" si="10"/>
        <v>47</v>
      </c>
      <c r="E42" s="46">
        <f t="shared" si="6"/>
        <v>44.65</v>
      </c>
      <c r="F42" s="12">
        <f t="shared" si="11"/>
        <v>22</v>
      </c>
      <c r="G42" s="46">
        <f t="shared" si="1"/>
        <v>19.8</v>
      </c>
      <c r="H42" s="46">
        <f t="shared" si="2"/>
        <v>64.45</v>
      </c>
      <c r="I42" s="12">
        <f t="shared" si="3"/>
        <v>62.45</v>
      </c>
      <c r="J42" s="12">
        <f t="shared" si="12"/>
        <v>0.19875466509960246</v>
      </c>
      <c r="K42" s="12">
        <f t="shared" si="13"/>
        <v>6.404869082834689</v>
      </c>
      <c r="L42" s="12">
        <f t="shared" si="4"/>
        <v>6.2061144177350869</v>
      </c>
      <c r="M42" s="18"/>
    </row>
    <row r="43" spans="1:13" x14ac:dyDescent="0.3">
      <c r="A43" s="12"/>
      <c r="B43" s="19" t="s">
        <v>19</v>
      </c>
      <c r="C43" s="19">
        <f t="shared" ref="C43:L43" si="15">SUM(C12:C42)</f>
        <v>560</v>
      </c>
      <c r="D43" s="19">
        <f>SUM(D12:D42)</f>
        <v>1410</v>
      </c>
      <c r="E43" s="47">
        <f>SUM(E12:E42)</f>
        <v>1339.5000000000002</v>
      </c>
      <c r="F43" s="47">
        <f t="shared" ref="F43:G43" si="16">SUM(F12:F42)</f>
        <v>660</v>
      </c>
      <c r="G43" s="47">
        <f t="shared" si="16"/>
        <v>594</v>
      </c>
      <c r="H43" s="47">
        <f>SUM(H12:H42)</f>
        <v>1933.5000000000009</v>
      </c>
      <c r="I43" s="19">
        <f t="shared" si="15"/>
        <v>1373.5000000000005</v>
      </c>
      <c r="J43" s="19">
        <f t="shared" si="15"/>
        <v>520.60876832301881</v>
      </c>
      <c r="K43" s="19">
        <f t="shared" si="15"/>
        <v>649.38418429540684</v>
      </c>
      <c r="L43" s="20">
        <f t="shared" si="15"/>
        <v>128.77541597238798</v>
      </c>
      <c r="M43" s="40" t="s">
        <v>20</v>
      </c>
    </row>
    <row r="44" spans="1:13" x14ac:dyDescent="0.3">
      <c r="A44" s="5"/>
      <c r="B44" s="5"/>
      <c r="C44" s="5"/>
      <c r="D44" s="5"/>
      <c r="E44" s="5"/>
      <c r="F44" s="5"/>
      <c r="G44" s="5"/>
      <c r="H44" s="5"/>
      <c r="I44" s="17"/>
      <c r="J44" s="17"/>
      <c r="K44" s="5"/>
      <c r="L44" s="42">
        <f>K43/J43</f>
        <v>1.2473554496348545</v>
      </c>
      <c r="M44" s="40" t="s">
        <v>9</v>
      </c>
    </row>
    <row r="45" spans="1:13" x14ac:dyDescent="0.3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43">
        <f>IRR(L12:L42)</f>
        <v>2.3960433834444128E-2</v>
      </c>
      <c r="M45" s="40" t="s">
        <v>11</v>
      </c>
    </row>
    <row r="60" spans="1:6" x14ac:dyDescent="0.3">
      <c r="D60" s="50" t="s">
        <v>52</v>
      </c>
    </row>
    <row r="63" spans="1:6" x14ac:dyDescent="0.3">
      <c r="A63" s="7" t="s">
        <v>0</v>
      </c>
      <c r="B63" s="5"/>
    </row>
    <row r="64" spans="1:6" ht="34.200000000000003" x14ac:dyDescent="0.3">
      <c r="A64" s="34" t="s">
        <v>39</v>
      </c>
      <c r="B64" s="27">
        <v>47</v>
      </c>
      <c r="F64" s="5"/>
    </row>
    <row r="65" spans="1:12" ht="45.6" x14ac:dyDescent="0.3">
      <c r="A65" s="34" t="s">
        <v>40</v>
      </c>
      <c r="B65" s="27">
        <v>22</v>
      </c>
      <c r="D65" s="64" t="s">
        <v>3</v>
      </c>
      <c r="E65" s="65" t="s">
        <v>2</v>
      </c>
      <c r="F65" s="64" t="s">
        <v>4</v>
      </c>
    </row>
    <row r="66" spans="1:12" ht="57" x14ac:dyDescent="0.3">
      <c r="A66" s="34" t="s">
        <v>67</v>
      </c>
      <c r="B66" s="10">
        <v>0</v>
      </c>
      <c r="C66" s="30"/>
      <c r="D66" s="37" t="s">
        <v>59</v>
      </c>
      <c r="E66" s="25">
        <f>L107</f>
        <v>39.049630661552428</v>
      </c>
      <c r="F66" s="24" t="s">
        <v>7</v>
      </c>
    </row>
    <row r="67" spans="1:12" ht="46.8" x14ac:dyDescent="0.3">
      <c r="A67" s="34" t="s">
        <v>8</v>
      </c>
      <c r="B67" s="23" t="s">
        <v>48</v>
      </c>
      <c r="D67" s="37" t="s">
        <v>9</v>
      </c>
      <c r="E67" s="51">
        <f>L108</f>
        <v>1.0754927387953077</v>
      </c>
      <c r="F67" s="24" t="s">
        <v>10</v>
      </c>
    </row>
    <row r="68" spans="1:12" ht="45.6" x14ac:dyDescent="0.3">
      <c r="A68" s="34" t="s">
        <v>1</v>
      </c>
      <c r="B68" s="23" t="s">
        <v>47</v>
      </c>
      <c r="D68" s="37" t="s">
        <v>53</v>
      </c>
      <c r="E68" s="26">
        <f>L109</f>
        <v>8.4089439957635292E-3</v>
      </c>
      <c r="F68" s="24" t="s">
        <v>12</v>
      </c>
    </row>
    <row r="69" spans="1:12" ht="22.8" x14ac:dyDescent="0.3">
      <c r="A69" s="34" t="s">
        <v>37</v>
      </c>
      <c r="B69" s="28" t="s">
        <v>50</v>
      </c>
    </row>
    <row r="70" spans="1:12" x14ac:dyDescent="0.3">
      <c r="A70" s="34" t="s">
        <v>60</v>
      </c>
      <c r="B70" s="21" t="s">
        <v>49</v>
      </c>
    </row>
    <row r="75" spans="1:12" ht="45.6" x14ac:dyDescent="0.3">
      <c r="A75" s="29" t="s">
        <v>13</v>
      </c>
      <c r="B75" s="29" t="s">
        <v>14</v>
      </c>
      <c r="C75" s="29" t="s">
        <v>15</v>
      </c>
      <c r="D75" s="36" t="s">
        <v>42</v>
      </c>
      <c r="E75" s="36" t="s">
        <v>61</v>
      </c>
      <c r="F75" s="36" t="s">
        <v>44</v>
      </c>
      <c r="G75" s="36" t="s">
        <v>62</v>
      </c>
      <c r="H75" s="36" t="s">
        <v>63</v>
      </c>
      <c r="I75" s="36" t="s">
        <v>16</v>
      </c>
      <c r="J75" s="36" t="s">
        <v>17</v>
      </c>
      <c r="K75" s="36" t="s">
        <v>18</v>
      </c>
      <c r="L75" s="36" t="s">
        <v>7</v>
      </c>
    </row>
    <row r="76" spans="1:12" x14ac:dyDescent="0.3">
      <c r="A76" s="19">
        <v>1</v>
      </c>
      <c r="B76" s="12">
        <v>2015</v>
      </c>
      <c r="C76" s="12">
        <v>500</v>
      </c>
      <c r="D76" s="12">
        <v>0</v>
      </c>
      <c r="E76" s="12">
        <v>0</v>
      </c>
      <c r="F76" s="12">
        <v>0</v>
      </c>
      <c r="G76" s="12">
        <v>0</v>
      </c>
      <c r="H76" s="46">
        <f>E76+G76</f>
        <v>0</v>
      </c>
      <c r="I76" s="12">
        <f>H76-C76</f>
        <v>-500</v>
      </c>
      <c r="J76" s="12">
        <v>500</v>
      </c>
      <c r="K76" s="12">
        <v>0</v>
      </c>
      <c r="L76" s="12">
        <f t="shared" ref="L76" si="17">K76-J76</f>
        <v>-500</v>
      </c>
    </row>
    <row r="77" spans="1:12" x14ac:dyDescent="0.3">
      <c r="A77" s="19">
        <f>A76+1</f>
        <v>2</v>
      </c>
      <c r="B77" s="12">
        <f>B76+1</f>
        <v>2016</v>
      </c>
      <c r="C77" s="12">
        <v>2</v>
      </c>
      <c r="D77" s="12">
        <v>47</v>
      </c>
      <c r="E77" s="46">
        <f>D77*0.95</f>
        <v>44.65</v>
      </c>
      <c r="F77" s="12">
        <v>22</v>
      </c>
      <c r="G77" s="46">
        <f t="shared" ref="G77:G106" si="18">F77*0.9</f>
        <v>19.8</v>
      </c>
      <c r="H77" s="46">
        <f t="shared" ref="H77:H106" si="19">E77+G77</f>
        <v>64.45</v>
      </c>
      <c r="I77" s="12">
        <f>H77-C77</f>
        <v>62.45</v>
      </c>
      <c r="J77" s="12">
        <f>(C77)/((1+0.12)^($A77-1))</f>
        <v>1.7857142857142856</v>
      </c>
      <c r="K77" s="12">
        <f>(H77)/((1+0.12)^($A77-1))</f>
        <v>57.544642857142854</v>
      </c>
      <c r="L77" s="12">
        <f t="shared" ref="L77:L106" si="20">K77-J77</f>
        <v>55.758928571428569</v>
      </c>
    </row>
    <row r="78" spans="1:12" x14ac:dyDescent="0.3">
      <c r="A78" s="19">
        <f t="shared" ref="A78:B93" si="21">A77+1</f>
        <v>3</v>
      </c>
      <c r="B78" s="12">
        <f t="shared" si="21"/>
        <v>2017</v>
      </c>
      <c r="C78" s="12">
        <f>C77</f>
        <v>2</v>
      </c>
      <c r="D78" s="12">
        <f>D77*(1+$B$66)</f>
        <v>47</v>
      </c>
      <c r="E78" s="46">
        <f t="shared" ref="E78:E106" si="22">D78*0.95</f>
        <v>44.65</v>
      </c>
      <c r="F78" s="12">
        <f>F77*(1+$B$66)</f>
        <v>22</v>
      </c>
      <c r="G78" s="46">
        <f t="shared" si="18"/>
        <v>19.8</v>
      </c>
      <c r="H78" s="46">
        <f t="shared" si="19"/>
        <v>64.45</v>
      </c>
      <c r="I78" s="12">
        <f t="shared" ref="I78:I106" si="23">H78-C78</f>
        <v>62.45</v>
      </c>
      <c r="J78" s="12">
        <f t="shared" ref="J78:J90" si="24">(C78)/((1+0.12)^($A78-1))</f>
        <v>1.5943877551020407</v>
      </c>
      <c r="K78" s="12">
        <f t="shared" ref="K78:K91" si="25">(H78)/((1+0.12)^($A78-1))</f>
        <v>51.379145408163261</v>
      </c>
      <c r="L78" s="12">
        <f t="shared" si="20"/>
        <v>49.78475765306122</v>
      </c>
    </row>
    <row r="79" spans="1:12" x14ac:dyDescent="0.3">
      <c r="A79" s="19">
        <f t="shared" si="21"/>
        <v>4</v>
      </c>
      <c r="B79" s="12">
        <f t="shared" si="21"/>
        <v>2018</v>
      </c>
      <c r="C79" s="12">
        <f t="shared" ref="C79:C105" si="26">C78</f>
        <v>2</v>
      </c>
      <c r="D79" s="12">
        <f t="shared" ref="D79:D106" si="27">D78*(1+$B$66)</f>
        <v>47</v>
      </c>
      <c r="E79" s="46">
        <f t="shared" si="22"/>
        <v>44.65</v>
      </c>
      <c r="F79" s="12">
        <f t="shared" ref="F79:F106" si="28">F78*(1+$B$66)</f>
        <v>22</v>
      </c>
      <c r="G79" s="46">
        <f t="shared" si="18"/>
        <v>19.8</v>
      </c>
      <c r="H79" s="46">
        <f t="shared" si="19"/>
        <v>64.45</v>
      </c>
      <c r="I79" s="12">
        <f t="shared" si="23"/>
        <v>62.45</v>
      </c>
      <c r="J79" s="12">
        <f t="shared" si="24"/>
        <v>1.4235604956268217</v>
      </c>
      <c r="K79" s="12">
        <f t="shared" si="25"/>
        <v>45.874236971574334</v>
      </c>
      <c r="L79" s="12">
        <f t="shared" si="20"/>
        <v>44.45067647594751</v>
      </c>
    </row>
    <row r="80" spans="1:12" x14ac:dyDescent="0.3">
      <c r="A80" s="19">
        <f t="shared" si="21"/>
        <v>5</v>
      </c>
      <c r="B80" s="12">
        <f t="shared" si="21"/>
        <v>2019</v>
      </c>
      <c r="C80" s="12">
        <f t="shared" si="26"/>
        <v>2</v>
      </c>
      <c r="D80" s="12">
        <f t="shared" si="27"/>
        <v>47</v>
      </c>
      <c r="E80" s="46">
        <f t="shared" si="22"/>
        <v>44.65</v>
      </c>
      <c r="F80" s="12">
        <f t="shared" si="28"/>
        <v>22</v>
      </c>
      <c r="G80" s="46">
        <f t="shared" si="18"/>
        <v>19.8</v>
      </c>
      <c r="H80" s="46">
        <f t="shared" si="19"/>
        <v>64.45</v>
      </c>
      <c r="I80" s="12">
        <f t="shared" si="23"/>
        <v>62.45</v>
      </c>
      <c r="J80" s="12">
        <f t="shared" si="24"/>
        <v>1.2710361568096624</v>
      </c>
      <c r="K80" s="12">
        <f t="shared" si="25"/>
        <v>40.95914015319137</v>
      </c>
      <c r="L80" s="12">
        <f t="shared" si="20"/>
        <v>39.688103996381706</v>
      </c>
    </row>
    <row r="81" spans="1:12" x14ac:dyDescent="0.3">
      <c r="A81" s="19">
        <f t="shared" si="21"/>
        <v>6</v>
      </c>
      <c r="B81" s="12">
        <f t="shared" si="21"/>
        <v>2020</v>
      </c>
      <c r="C81" s="12">
        <f t="shared" si="26"/>
        <v>2</v>
      </c>
      <c r="D81" s="12">
        <f t="shared" si="27"/>
        <v>47</v>
      </c>
      <c r="E81" s="46">
        <f t="shared" si="22"/>
        <v>44.65</v>
      </c>
      <c r="F81" s="12">
        <f t="shared" si="28"/>
        <v>22</v>
      </c>
      <c r="G81" s="46">
        <f t="shared" si="18"/>
        <v>19.8</v>
      </c>
      <c r="H81" s="46">
        <f t="shared" si="19"/>
        <v>64.45</v>
      </c>
      <c r="I81" s="12">
        <f t="shared" si="23"/>
        <v>62.45</v>
      </c>
      <c r="J81" s="12">
        <f t="shared" si="24"/>
        <v>1.1348537114371984</v>
      </c>
      <c r="K81" s="12">
        <f t="shared" si="25"/>
        <v>36.570660851063721</v>
      </c>
      <c r="L81" s="12">
        <f t="shared" si="20"/>
        <v>35.435807139626526</v>
      </c>
    </row>
    <row r="82" spans="1:12" x14ac:dyDescent="0.3">
      <c r="A82" s="19">
        <f t="shared" si="21"/>
        <v>7</v>
      </c>
      <c r="B82" s="12">
        <f t="shared" si="21"/>
        <v>2021</v>
      </c>
      <c r="C82" s="12">
        <f t="shared" si="26"/>
        <v>2</v>
      </c>
      <c r="D82" s="12">
        <f t="shared" si="27"/>
        <v>47</v>
      </c>
      <c r="E82" s="46">
        <f t="shared" si="22"/>
        <v>44.65</v>
      </c>
      <c r="F82" s="12">
        <f t="shared" si="28"/>
        <v>22</v>
      </c>
      <c r="G82" s="46">
        <f t="shared" si="18"/>
        <v>19.8</v>
      </c>
      <c r="H82" s="46">
        <f t="shared" si="19"/>
        <v>64.45</v>
      </c>
      <c r="I82" s="12">
        <f t="shared" si="23"/>
        <v>62.45</v>
      </c>
      <c r="J82" s="12">
        <f t="shared" si="24"/>
        <v>1.0132622423546414</v>
      </c>
      <c r="K82" s="12">
        <f t="shared" si="25"/>
        <v>32.652375759878318</v>
      </c>
      <c r="L82" s="12">
        <f t="shared" si="20"/>
        <v>31.639113517523676</v>
      </c>
    </row>
    <row r="83" spans="1:12" x14ac:dyDescent="0.3">
      <c r="A83" s="19">
        <f t="shared" si="21"/>
        <v>8</v>
      </c>
      <c r="B83" s="12">
        <f t="shared" si="21"/>
        <v>2022</v>
      </c>
      <c r="C83" s="12">
        <f t="shared" si="26"/>
        <v>2</v>
      </c>
      <c r="D83" s="12">
        <f t="shared" si="27"/>
        <v>47</v>
      </c>
      <c r="E83" s="46">
        <f t="shared" si="22"/>
        <v>44.65</v>
      </c>
      <c r="F83" s="12">
        <f t="shared" si="28"/>
        <v>22</v>
      </c>
      <c r="G83" s="46">
        <f t="shared" si="18"/>
        <v>19.8</v>
      </c>
      <c r="H83" s="46">
        <f t="shared" si="19"/>
        <v>64.45</v>
      </c>
      <c r="I83" s="12">
        <f t="shared" si="23"/>
        <v>62.45</v>
      </c>
      <c r="J83" s="12">
        <f t="shared" si="24"/>
        <v>0.90469843067378686</v>
      </c>
      <c r="K83" s="12">
        <f t="shared" si="25"/>
        <v>29.153906928462785</v>
      </c>
      <c r="L83" s="12">
        <f t="shared" si="20"/>
        <v>28.249208497788999</v>
      </c>
    </row>
    <row r="84" spans="1:12" x14ac:dyDescent="0.3">
      <c r="A84" s="19">
        <f t="shared" si="21"/>
        <v>9</v>
      </c>
      <c r="B84" s="12">
        <f t="shared" si="21"/>
        <v>2023</v>
      </c>
      <c r="C84" s="12">
        <f t="shared" si="26"/>
        <v>2</v>
      </c>
      <c r="D84" s="12">
        <f t="shared" si="27"/>
        <v>47</v>
      </c>
      <c r="E84" s="46">
        <f t="shared" si="22"/>
        <v>44.65</v>
      </c>
      <c r="F84" s="12">
        <f t="shared" si="28"/>
        <v>22</v>
      </c>
      <c r="G84" s="46">
        <f t="shared" si="18"/>
        <v>19.8</v>
      </c>
      <c r="H84" s="46">
        <f t="shared" si="19"/>
        <v>64.45</v>
      </c>
      <c r="I84" s="12">
        <f t="shared" si="23"/>
        <v>62.45</v>
      </c>
      <c r="J84" s="12">
        <f t="shared" si="24"/>
        <v>0.80776645595873819</v>
      </c>
      <c r="K84" s="12">
        <f t="shared" si="25"/>
        <v>26.030274043270342</v>
      </c>
      <c r="L84" s="12">
        <f t="shared" si="20"/>
        <v>25.222507587311604</v>
      </c>
    </row>
    <row r="85" spans="1:12" x14ac:dyDescent="0.3">
      <c r="A85" s="19">
        <f t="shared" si="21"/>
        <v>10</v>
      </c>
      <c r="B85" s="12">
        <f t="shared" si="21"/>
        <v>2024</v>
      </c>
      <c r="C85" s="12">
        <f t="shared" si="26"/>
        <v>2</v>
      </c>
      <c r="D85" s="12">
        <f t="shared" si="27"/>
        <v>47</v>
      </c>
      <c r="E85" s="46">
        <f t="shared" si="22"/>
        <v>44.65</v>
      </c>
      <c r="F85" s="12">
        <f t="shared" si="28"/>
        <v>22</v>
      </c>
      <c r="G85" s="46">
        <f t="shared" si="18"/>
        <v>19.8</v>
      </c>
      <c r="H85" s="46">
        <f t="shared" si="19"/>
        <v>64.45</v>
      </c>
      <c r="I85" s="12">
        <f t="shared" si="23"/>
        <v>62.45</v>
      </c>
      <c r="J85" s="12">
        <f t="shared" si="24"/>
        <v>0.72122004996315914</v>
      </c>
      <c r="K85" s="12">
        <f t="shared" si="25"/>
        <v>23.241316110062805</v>
      </c>
      <c r="L85" s="12">
        <f t="shared" si="20"/>
        <v>22.520096060099647</v>
      </c>
    </row>
    <row r="86" spans="1:12" x14ac:dyDescent="0.3">
      <c r="A86" s="19">
        <f t="shared" si="21"/>
        <v>11</v>
      </c>
      <c r="B86" s="12">
        <f t="shared" si="21"/>
        <v>2025</v>
      </c>
      <c r="C86" s="12">
        <f t="shared" si="26"/>
        <v>2</v>
      </c>
      <c r="D86" s="12">
        <f t="shared" si="27"/>
        <v>47</v>
      </c>
      <c r="E86" s="46">
        <f t="shared" si="22"/>
        <v>44.65</v>
      </c>
      <c r="F86" s="12">
        <f t="shared" si="28"/>
        <v>22</v>
      </c>
      <c r="G86" s="46">
        <f t="shared" si="18"/>
        <v>19.8</v>
      </c>
      <c r="H86" s="46">
        <f t="shared" si="19"/>
        <v>64.45</v>
      </c>
      <c r="I86" s="12">
        <f t="shared" si="23"/>
        <v>62.45</v>
      </c>
      <c r="J86" s="12">
        <f t="shared" si="24"/>
        <v>0.64394647318139198</v>
      </c>
      <c r="K86" s="12">
        <f t="shared" si="25"/>
        <v>20.751175098270359</v>
      </c>
      <c r="L86" s="12">
        <f t="shared" si="20"/>
        <v>20.107228625088968</v>
      </c>
    </row>
    <row r="87" spans="1:12" x14ac:dyDescent="0.3">
      <c r="A87" s="19">
        <f t="shared" si="21"/>
        <v>12</v>
      </c>
      <c r="B87" s="12">
        <f t="shared" si="21"/>
        <v>2026</v>
      </c>
      <c r="C87" s="12">
        <f t="shared" si="26"/>
        <v>2</v>
      </c>
      <c r="D87" s="12">
        <f t="shared" si="27"/>
        <v>47</v>
      </c>
      <c r="E87" s="46">
        <f t="shared" si="22"/>
        <v>44.65</v>
      </c>
      <c r="F87" s="12">
        <f t="shared" si="28"/>
        <v>22</v>
      </c>
      <c r="G87" s="46">
        <f t="shared" si="18"/>
        <v>19.8</v>
      </c>
      <c r="H87" s="46">
        <f t="shared" si="19"/>
        <v>64.45</v>
      </c>
      <c r="I87" s="12">
        <f t="shared" si="23"/>
        <v>62.45</v>
      </c>
      <c r="J87" s="12">
        <f t="shared" si="24"/>
        <v>0.57495220819767134</v>
      </c>
      <c r="K87" s="12">
        <f t="shared" si="25"/>
        <v>18.527834909169961</v>
      </c>
      <c r="L87" s="12">
        <f>K87-J87</f>
        <v>17.952882700972289</v>
      </c>
    </row>
    <row r="88" spans="1:12" x14ac:dyDescent="0.3">
      <c r="A88" s="19">
        <f t="shared" si="21"/>
        <v>13</v>
      </c>
      <c r="B88" s="12">
        <f t="shared" si="21"/>
        <v>2027</v>
      </c>
      <c r="C88" s="12">
        <f t="shared" si="26"/>
        <v>2</v>
      </c>
      <c r="D88" s="12">
        <f t="shared" si="27"/>
        <v>47</v>
      </c>
      <c r="E88" s="46">
        <f t="shared" si="22"/>
        <v>44.65</v>
      </c>
      <c r="F88" s="12">
        <f t="shared" si="28"/>
        <v>22</v>
      </c>
      <c r="G88" s="46">
        <f t="shared" si="18"/>
        <v>19.8</v>
      </c>
      <c r="H88" s="46">
        <f t="shared" si="19"/>
        <v>64.45</v>
      </c>
      <c r="I88" s="12">
        <f t="shared" si="23"/>
        <v>62.45</v>
      </c>
      <c r="J88" s="12">
        <f t="shared" si="24"/>
        <v>0.51335018589077808</v>
      </c>
      <c r="K88" s="12">
        <f t="shared" si="25"/>
        <v>16.542709740330324</v>
      </c>
      <c r="L88" s="12">
        <f t="shared" si="20"/>
        <v>16.029359554439544</v>
      </c>
    </row>
    <row r="89" spans="1:12" x14ac:dyDescent="0.3">
      <c r="A89" s="19">
        <f t="shared" si="21"/>
        <v>14</v>
      </c>
      <c r="B89" s="12">
        <f t="shared" si="21"/>
        <v>2028</v>
      </c>
      <c r="C89" s="12">
        <f t="shared" si="26"/>
        <v>2</v>
      </c>
      <c r="D89" s="12">
        <f t="shared" si="27"/>
        <v>47</v>
      </c>
      <c r="E89" s="46">
        <f t="shared" si="22"/>
        <v>44.65</v>
      </c>
      <c r="F89" s="12">
        <f t="shared" si="28"/>
        <v>22</v>
      </c>
      <c r="G89" s="46">
        <f t="shared" si="18"/>
        <v>19.8</v>
      </c>
      <c r="H89" s="46">
        <f t="shared" si="19"/>
        <v>64.45</v>
      </c>
      <c r="I89" s="12">
        <f t="shared" si="23"/>
        <v>62.45</v>
      </c>
      <c r="J89" s="12">
        <f t="shared" si="24"/>
        <v>0.45834838025962316</v>
      </c>
      <c r="K89" s="12">
        <f t="shared" si="25"/>
        <v>14.770276553866356</v>
      </c>
      <c r="L89" s="12">
        <f t="shared" si="20"/>
        <v>14.311928173606733</v>
      </c>
    </row>
    <row r="90" spans="1:12" x14ac:dyDescent="0.3">
      <c r="A90" s="19">
        <f t="shared" si="21"/>
        <v>15</v>
      </c>
      <c r="B90" s="12">
        <f t="shared" si="21"/>
        <v>2029</v>
      </c>
      <c r="C90" s="12">
        <f t="shared" si="26"/>
        <v>2</v>
      </c>
      <c r="D90" s="12">
        <f t="shared" si="27"/>
        <v>47</v>
      </c>
      <c r="E90" s="46">
        <f t="shared" si="22"/>
        <v>44.65</v>
      </c>
      <c r="F90" s="12">
        <f t="shared" si="28"/>
        <v>22</v>
      </c>
      <c r="G90" s="46">
        <f t="shared" si="18"/>
        <v>19.8</v>
      </c>
      <c r="H90" s="46">
        <f t="shared" si="19"/>
        <v>64.45</v>
      </c>
      <c r="I90" s="12">
        <f t="shared" si="23"/>
        <v>62.45</v>
      </c>
      <c r="J90" s="12">
        <f t="shared" si="24"/>
        <v>0.40923962523180635</v>
      </c>
      <c r="K90" s="12">
        <f t="shared" si="25"/>
        <v>13.187746923094961</v>
      </c>
      <c r="L90" s="12">
        <f t="shared" si="20"/>
        <v>12.778507297863154</v>
      </c>
    </row>
    <row r="91" spans="1:12" x14ac:dyDescent="0.3">
      <c r="A91" s="19">
        <f t="shared" si="21"/>
        <v>16</v>
      </c>
      <c r="B91" s="12">
        <f t="shared" si="21"/>
        <v>2030</v>
      </c>
      <c r="C91" s="12">
        <f t="shared" si="26"/>
        <v>2</v>
      </c>
      <c r="D91" s="12">
        <f t="shared" si="27"/>
        <v>47</v>
      </c>
      <c r="E91" s="46">
        <f t="shared" si="22"/>
        <v>44.65</v>
      </c>
      <c r="F91" s="12">
        <f t="shared" si="28"/>
        <v>22</v>
      </c>
      <c r="G91" s="46">
        <f t="shared" si="18"/>
        <v>19.8</v>
      </c>
      <c r="H91" s="46">
        <f t="shared" si="19"/>
        <v>64.45</v>
      </c>
      <c r="I91" s="12">
        <f t="shared" si="23"/>
        <v>62.45</v>
      </c>
      <c r="J91" s="12">
        <f>(C91)/((1+0.12)^($A91-1))</f>
        <v>0.36539252252839854</v>
      </c>
      <c r="K91" s="12">
        <f t="shared" si="25"/>
        <v>11.774774038477645</v>
      </c>
      <c r="L91" s="12">
        <f t="shared" si="20"/>
        <v>11.409381515949246</v>
      </c>
    </row>
    <row r="92" spans="1:12" x14ac:dyDescent="0.3">
      <c r="A92" s="19">
        <f t="shared" si="21"/>
        <v>17</v>
      </c>
      <c r="B92" s="12">
        <f t="shared" si="21"/>
        <v>2031</v>
      </c>
      <c r="C92" s="12">
        <f t="shared" si="26"/>
        <v>2</v>
      </c>
      <c r="D92" s="12">
        <f t="shared" si="27"/>
        <v>47</v>
      </c>
      <c r="E92" s="46">
        <f t="shared" si="22"/>
        <v>44.65</v>
      </c>
      <c r="F92" s="12">
        <f t="shared" si="28"/>
        <v>22</v>
      </c>
      <c r="G92" s="46">
        <f t="shared" si="18"/>
        <v>19.8</v>
      </c>
      <c r="H92" s="46">
        <f t="shared" si="19"/>
        <v>64.45</v>
      </c>
      <c r="I92" s="12">
        <f t="shared" si="23"/>
        <v>62.45</v>
      </c>
      <c r="J92" s="12">
        <f t="shared" ref="J92:J106" si="29">(C92)/((1+0.1)^($A92-1))</f>
        <v>0.43525827158029706</v>
      </c>
      <c r="K92" s="12">
        <f t="shared" ref="K92:K106" si="30">(H92)/((1+0.1)^($A92-1))</f>
        <v>14.026197801675075</v>
      </c>
      <c r="L92" s="12">
        <f t="shared" si="20"/>
        <v>13.590939530094778</v>
      </c>
    </row>
    <row r="93" spans="1:12" x14ac:dyDescent="0.3">
      <c r="A93" s="19">
        <f t="shared" si="21"/>
        <v>18</v>
      </c>
      <c r="B93" s="12">
        <f t="shared" si="21"/>
        <v>2032</v>
      </c>
      <c r="C93" s="12">
        <f t="shared" si="26"/>
        <v>2</v>
      </c>
      <c r="D93" s="12">
        <f t="shared" si="27"/>
        <v>47</v>
      </c>
      <c r="E93" s="46">
        <f t="shared" si="22"/>
        <v>44.65</v>
      </c>
      <c r="F93" s="12">
        <f t="shared" si="28"/>
        <v>22</v>
      </c>
      <c r="G93" s="46">
        <f t="shared" si="18"/>
        <v>19.8</v>
      </c>
      <c r="H93" s="46">
        <f t="shared" si="19"/>
        <v>64.45</v>
      </c>
      <c r="I93" s="12">
        <f t="shared" si="23"/>
        <v>62.45</v>
      </c>
      <c r="J93" s="12">
        <f t="shared" si="29"/>
        <v>0.39568933780027005</v>
      </c>
      <c r="K93" s="12">
        <f t="shared" si="30"/>
        <v>12.751088910613703</v>
      </c>
      <c r="L93" s="12">
        <f t="shared" si="20"/>
        <v>12.355399572813432</v>
      </c>
    </row>
    <row r="94" spans="1:12" x14ac:dyDescent="0.3">
      <c r="A94" s="19">
        <f t="shared" ref="A94:B106" si="31">A93+1</f>
        <v>19</v>
      </c>
      <c r="B94" s="12">
        <f t="shared" si="31"/>
        <v>2033</v>
      </c>
      <c r="C94" s="12">
        <f t="shared" si="26"/>
        <v>2</v>
      </c>
      <c r="D94" s="12">
        <f t="shared" si="27"/>
        <v>47</v>
      </c>
      <c r="E94" s="46">
        <f t="shared" si="22"/>
        <v>44.65</v>
      </c>
      <c r="F94" s="12">
        <f t="shared" si="28"/>
        <v>22</v>
      </c>
      <c r="G94" s="46">
        <f t="shared" si="18"/>
        <v>19.8</v>
      </c>
      <c r="H94" s="46">
        <f t="shared" si="19"/>
        <v>64.45</v>
      </c>
      <c r="I94" s="12">
        <f t="shared" si="23"/>
        <v>62.45</v>
      </c>
      <c r="J94" s="12">
        <f t="shared" si="29"/>
        <v>0.35971757981842728</v>
      </c>
      <c r="K94" s="12">
        <f t="shared" si="30"/>
        <v>11.59189900964882</v>
      </c>
      <c r="L94" s="12">
        <f t="shared" si="20"/>
        <v>11.232181429830392</v>
      </c>
    </row>
    <row r="95" spans="1:12" x14ac:dyDescent="0.3">
      <c r="A95" s="19">
        <f t="shared" si="31"/>
        <v>20</v>
      </c>
      <c r="B95" s="12">
        <f t="shared" si="31"/>
        <v>2034</v>
      </c>
      <c r="C95" s="12">
        <f t="shared" si="26"/>
        <v>2</v>
      </c>
      <c r="D95" s="12">
        <f t="shared" si="27"/>
        <v>47</v>
      </c>
      <c r="E95" s="46">
        <f t="shared" si="22"/>
        <v>44.65</v>
      </c>
      <c r="F95" s="12">
        <f t="shared" si="28"/>
        <v>22</v>
      </c>
      <c r="G95" s="46">
        <f t="shared" si="18"/>
        <v>19.8</v>
      </c>
      <c r="H95" s="46">
        <f t="shared" si="19"/>
        <v>64.45</v>
      </c>
      <c r="I95" s="12">
        <f t="shared" si="23"/>
        <v>62.45</v>
      </c>
      <c r="J95" s="12">
        <f t="shared" si="29"/>
        <v>0.32701598165311563</v>
      </c>
      <c r="K95" s="12">
        <f t="shared" si="30"/>
        <v>10.538090008771652</v>
      </c>
      <c r="L95" s="12">
        <f t="shared" si="20"/>
        <v>10.211074027118537</v>
      </c>
    </row>
    <row r="96" spans="1:12" x14ac:dyDescent="0.3">
      <c r="A96" s="19">
        <f t="shared" si="31"/>
        <v>21</v>
      </c>
      <c r="B96" s="12">
        <f t="shared" si="31"/>
        <v>2035</v>
      </c>
      <c r="C96" s="12">
        <f t="shared" si="26"/>
        <v>2</v>
      </c>
      <c r="D96" s="12">
        <f t="shared" si="27"/>
        <v>47</v>
      </c>
      <c r="E96" s="46">
        <f t="shared" si="22"/>
        <v>44.65</v>
      </c>
      <c r="F96" s="12">
        <f t="shared" si="28"/>
        <v>22</v>
      </c>
      <c r="G96" s="46">
        <f t="shared" si="18"/>
        <v>19.8</v>
      </c>
      <c r="H96" s="46">
        <f t="shared" si="19"/>
        <v>64.45</v>
      </c>
      <c r="I96" s="12">
        <f t="shared" si="23"/>
        <v>62.45</v>
      </c>
      <c r="J96" s="12">
        <f t="shared" si="29"/>
        <v>0.29728725604828699</v>
      </c>
      <c r="K96" s="12">
        <f t="shared" si="30"/>
        <v>9.5800818261560483</v>
      </c>
      <c r="L96" s="12">
        <f t="shared" si="20"/>
        <v>9.282794570107761</v>
      </c>
    </row>
    <row r="97" spans="1:13" x14ac:dyDescent="0.3">
      <c r="A97" s="19">
        <f t="shared" si="31"/>
        <v>22</v>
      </c>
      <c r="B97" s="12">
        <f t="shared" si="31"/>
        <v>2036</v>
      </c>
      <c r="C97" s="12">
        <f t="shared" si="26"/>
        <v>2</v>
      </c>
      <c r="D97" s="12">
        <f t="shared" si="27"/>
        <v>47</v>
      </c>
      <c r="E97" s="46">
        <f t="shared" si="22"/>
        <v>44.65</v>
      </c>
      <c r="F97" s="12">
        <f t="shared" si="28"/>
        <v>22</v>
      </c>
      <c r="G97" s="46">
        <f t="shared" si="18"/>
        <v>19.8</v>
      </c>
      <c r="H97" s="46">
        <f t="shared" si="19"/>
        <v>64.45</v>
      </c>
      <c r="I97" s="12">
        <f t="shared" si="23"/>
        <v>62.45</v>
      </c>
      <c r="J97" s="12">
        <f t="shared" si="29"/>
        <v>0.27026114186207906</v>
      </c>
      <c r="K97" s="12">
        <f t="shared" si="30"/>
        <v>8.709165296505498</v>
      </c>
      <c r="L97" s="12">
        <f t="shared" si="20"/>
        <v>8.4389041546434189</v>
      </c>
    </row>
    <row r="98" spans="1:13" x14ac:dyDescent="0.3">
      <c r="A98" s="19">
        <f t="shared" si="31"/>
        <v>23</v>
      </c>
      <c r="B98" s="12">
        <f t="shared" si="31"/>
        <v>2037</v>
      </c>
      <c r="C98" s="12">
        <f t="shared" si="26"/>
        <v>2</v>
      </c>
      <c r="D98" s="12">
        <f t="shared" si="27"/>
        <v>47</v>
      </c>
      <c r="E98" s="46">
        <f t="shared" si="22"/>
        <v>44.65</v>
      </c>
      <c r="F98" s="12">
        <f t="shared" si="28"/>
        <v>22</v>
      </c>
      <c r="G98" s="46">
        <f t="shared" si="18"/>
        <v>19.8</v>
      </c>
      <c r="H98" s="46">
        <f t="shared" si="19"/>
        <v>64.45</v>
      </c>
      <c r="I98" s="12">
        <f t="shared" si="23"/>
        <v>62.45</v>
      </c>
      <c r="J98" s="12">
        <f t="shared" si="29"/>
        <v>0.24569194714734455</v>
      </c>
      <c r="K98" s="12">
        <f t="shared" si="30"/>
        <v>7.917422996823178</v>
      </c>
      <c r="L98" s="12">
        <f t="shared" si="20"/>
        <v>7.6717310496758335</v>
      </c>
    </row>
    <row r="99" spans="1:13" x14ac:dyDescent="0.3">
      <c r="A99" s="19">
        <f t="shared" si="31"/>
        <v>24</v>
      </c>
      <c r="B99" s="12">
        <f t="shared" si="31"/>
        <v>2038</v>
      </c>
      <c r="C99" s="12">
        <f t="shared" si="26"/>
        <v>2</v>
      </c>
      <c r="D99" s="12">
        <f t="shared" si="27"/>
        <v>47</v>
      </c>
      <c r="E99" s="46">
        <f t="shared" si="22"/>
        <v>44.65</v>
      </c>
      <c r="F99" s="12">
        <f t="shared" si="28"/>
        <v>22</v>
      </c>
      <c r="G99" s="46">
        <f t="shared" si="18"/>
        <v>19.8</v>
      </c>
      <c r="H99" s="46">
        <f t="shared" si="19"/>
        <v>64.45</v>
      </c>
      <c r="I99" s="12">
        <f t="shared" si="23"/>
        <v>62.45</v>
      </c>
      <c r="J99" s="12">
        <f t="shared" si="29"/>
        <v>0.22335631558849503</v>
      </c>
      <c r="K99" s="12">
        <f t="shared" si="30"/>
        <v>7.1976572698392527</v>
      </c>
      <c r="L99" s="12">
        <f t="shared" si="20"/>
        <v>6.9743009542507579</v>
      </c>
    </row>
    <row r="100" spans="1:13" x14ac:dyDescent="0.3">
      <c r="A100" s="19">
        <f t="shared" si="31"/>
        <v>25</v>
      </c>
      <c r="B100" s="12">
        <f t="shared" si="31"/>
        <v>2039</v>
      </c>
      <c r="C100" s="12">
        <f t="shared" si="26"/>
        <v>2</v>
      </c>
      <c r="D100" s="12">
        <f t="shared" si="27"/>
        <v>47</v>
      </c>
      <c r="E100" s="46">
        <f t="shared" si="22"/>
        <v>44.65</v>
      </c>
      <c r="F100" s="12">
        <f t="shared" si="28"/>
        <v>22</v>
      </c>
      <c r="G100" s="46">
        <f t="shared" si="18"/>
        <v>19.8</v>
      </c>
      <c r="H100" s="46">
        <f t="shared" si="19"/>
        <v>64.45</v>
      </c>
      <c r="I100" s="12">
        <f t="shared" si="23"/>
        <v>62.45</v>
      </c>
      <c r="J100" s="12">
        <f t="shared" si="29"/>
        <v>0.20305119598954097</v>
      </c>
      <c r="K100" s="12">
        <f t="shared" si="30"/>
        <v>6.5433247907629575</v>
      </c>
      <c r="L100" s="12">
        <f t="shared" si="20"/>
        <v>6.3402735947734161</v>
      </c>
    </row>
    <row r="101" spans="1:13" x14ac:dyDescent="0.3">
      <c r="A101" s="19">
        <f t="shared" si="31"/>
        <v>26</v>
      </c>
      <c r="B101" s="12">
        <f t="shared" si="31"/>
        <v>2040</v>
      </c>
      <c r="C101" s="12">
        <f t="shared" si="26"/>
        <v>2</v>
      </c>
      <c r="D101" s="12">
        <f t="shared" si="27"/>
        <v>47</v>
      </c>
      <c r="E101" s="46">
        <f t="shared" si="22"/>
        <v>44.65</v>
      </c>
      <c r="F101" s="12">
        <f t="shared" si="28"/>
        <v>22</v>
      </c>
      <c r="G101" s="46">
        <f t="shared" si="18"/>
        <v>19.8</v>
      </c>
      <c r="H101" s="46">
        <f t="shared" si="19"/>
        <v>64.45</v>
      </c>
      <c r="I101" s="12">
        <f t="shared" si="23"/>
        <v>62.45</v>
      </c>
      <c r="J101" s="12">
        <f t="shared" si="29"/>
        <v>0.1845919963541281</v>
      </c>
      <c r="K101" s="12">
        <f t="shared" si="30"/>
        <v>5.9484770825117783</v>
      </c>
      <c r="L101" s="12">
        <f t="shared" si="20"/>
        <v>5.7638850861576501</v>
      </c>
    </row>
    <row r="102" spans="1:13" x14ac:dyDescent="0.3">
      <c r="A102" s="19">
        <f t="shared" si="31"/>
        <v>27</v>
      </c>
      <c r="B102" s="12">
        <f t="shared" si="31"/>
        <v>2041</v>
      </c>
      <c r="C102" s="12">
        <f t="shared" si="26"/>
        <v>2</v>
      </c>
      <c r="D102" s="12">
        <f t="shared" si="27"/>
        <v>47</v>
      </c>
      <c r="E102" s="46">
        <f t="shared" si="22"/>
        <v>44.65</v>
      </c>
      <c r="F102" s="12">
        <f t="shared" si="28"/>
        <v>22</v>
      </c>
      <c r="G102" s="46">
        <f t="shared" si="18"/>
        <v>19.8</v>
      </c>
      <c r="H102" s="46">
        <f t="shared" si="19"/>
        <v>64.45</v>
      </c>
      <c r="I102" s="12">
        <f t="shared" si="23"/>
        <v>62.45</v>
      </c>
      <c r="J102" s="12">
        <f t="shared" si="29"/>
        <v>0.16781090577648008</v>
      </c>
      <c r="K102" s="12">
        <f t="shared" si="30"/>
        <v>5.4077064386470708</v>
      </c>
      <c r="L102" s="12">
        <f t="shared" si="20"/>
        <v>5.239895532870591</v>
      </c>
    </row>
    <row r="103" spans="1:13" x14ac:dyDescent="0.3">
      <c r="A103" s="19">
        <f t="shared" si="31"/>
        <v>28</v>
      </c>
      <c r="B103" s="12">
        <f t="shared" si="31"/>
        <v>2042</v>
      </c>
      <c r="C103" s="12">
        <f t="shared" si="26"/>
        <v>2</v>
      </c>
      <c r="D103" s="12">
        <f t="shared" si="27"/>
        <v>47</v>
      </c>
      <c r="E103" s="46">
        <f t="shared" si="22"/>
        <v>44.65</v>
      </c>
      <c r="F103" s="12">
        <f t="shared" si="28"/>
        <v>22</v>
      </c>
      <c r="G103" s="46">
        <f t="shared" si="18"/>
        <v>19.8</v>
      </c>
      <c r="H103" s="46">
        <f t="shared" si="19"/>
        <v>64.45</v>
      </c>
      <c r="I103" s="12">
        <f t="shared" si="23"/>
        <v>62.45</v>
      </c>
      <c r="J103" s="12">
        <f t="shared" si="29"/>
        <v>0.15255536888770915</v>
      </c>
      <c r="K103" s="12">
        <f t="shared" si="30"/>
        <v>4.9160967624064273</v>
      </c>
      <c r="L103" s="12">
        <f t="shared" si="20"/>
        <v>4.7635413935187181</v>
      </c>
    </row>
    <row r="104" spans="1:13" x14ac:dyDescent="0.3">
      <c r="A104" s="19">
        <f t="shared" si="31"/>
        <v>29</v>
      </c>
      <c r="B104" s="12">
        <f t="shared" si="31"/>
        <v>2043</v>
      </c>
      <c r="C104" s="12">
        <f t="shared" si="26"/>
        <v>2</v>
      </c>
      <c r="D104" s="12">
        <f t="shared" si="27"/>
        <v>47</v>
      </c>
      <c r="E104" s="46">
        <f t="shared" si="22"/>
        <v>44.65</v>
      </c>
      <c r="F104" s="12">
        <f t="shared" si="28"/>
        <v>22</v>
      </c>
      <c r="G104" s="46">
        <f t="shared" si="18"/>
        <v>19.8</v>
      </c>
      <c r="H104" s="46">
        <f t="shared" si="19"/>
        <v>64.45</v>
      </c>
      <c r="I104" s="12">
        <f t="shared" si="23"/>
        <v>62.45</v>
      </c>
      <c r="J104" s="12">
        <f t="shared" si="29"/>
        <v>0.13868669898882649</v>
      </c>
      <c r="K104" s="12">
        <f t="shared" si="30"/>
        <v>4.4691788749149337</v>
      </c>
      <c r="L104" s="12">
        <f t="shared" si="20"/>
        <v>4.330492175926107</v>
      </c>
    </row>
    <row r="105" spans="1:13" x14ac:dyDescent="0.3">
      <c r="A105" s="19">
        <f t="shared" si="31"/>
        <v>30</v>
      </c>
      <c r="B105" s="12">
        <f t="shared" si="31"/>
        <v>2044</v>
      </c>
      <c r="C105" s="12">
        <f t="shared" si="26"/>
        <v>2</v>
      </c>
      <c r="D105" s="12">
        <f t="shared" si="27"/>
        <v>47</v>
      </c>
      <c r="E105" s="46">
        <f t="shared" si="22"/>
        <v>44.65</v>
      </c>
      <c r="F105" s="12">
        <f t="shared" si="28"/>
        <v>22</v>
      </c>
      <c r="G105" s="46">
        <f t="shared" si="18"/>
        <v>19.8</v>
      </c>
      <c r="H105" s="46">
        <f t="shared" si="19"/>
        <v>64.45</v>
      </c>
      <c r="I105" s="12">
        <f t="shared" si="23"/>
        <v>62.45</v>
      </c>
      <c r="J105" s="12">
        <f t="shared" si="29"/>
        <v>0.12607881726256953</v>
      </c>
      <c r="K105" s="12">
        <f t="shared" si="30"/>
        <v>4.0628898862863041</v>
      </c>
      <c r="L105" s="12">
        <f t="shared" si="20"/>
        <v>3.9368110690237348</v>
      </c>
    </row>
    <row r="106" spans="1:13" x14ac:dyDescent="0.3">
      <c r="A106" s="19">
        <f t="shared" si="31"/>
        <v>31</v>
      </c>
      <c r="B106" s="12">
        <f t="shared" si="31"/>
        <v>2045</v>
      </c>
      <c r="C106" s="12">
        <f>C105</f>
        <v>2</v>
      </c>
      <c r="D106" s="12">
        <f t="shared" si="27"/>
        <v>47</v>
      </c>
      <c r="E106" s="46">
        <f t="shared" si="22"/>
        <v>44.65</v>
      </c>
      <c r="F106" s="12">
        <f t="shared" si="28"/>
        <v>22</v>
      </c>
      <c r="G106" s="46">
        <f t="shared" si="18"/>
        <v>19.8</v>
      </c>
      <c r="H106" s="46">
        <f t="shared" si="19"/>
        <v>64.45</v>
      </c>
      <c r="I106" s="12">
        <f t="shared" si="23"/>
        <v>62.45</v>
      </c>
      <c r="J106" s="12">
        <f t="shared" si="29"/>
        <v>0.11461710660233593</v>
      </c>
      <c r="K106" s="12">
        <f t="shared" si="30"/>
        <v>3.6935362602602755</v>
      </c>
      <c r="L106" s="12">
        <f t="shared" si="20"/>
        <v>3.5789191536579397</v>
      </c>
    </row>
    <row r="107" spans="1:13" x14ac:dyDescent="0.3">
      <c r="A107" s="44"/>
      <c r="B107" s="19" t="s">
        <v>19</v>
      </c>
      <c r="C107" s="19">
        <f>SUM(C76:C106)</f>
        <v>560</v>
      </c>
      <c r="D107" s="19">
        <f>SUM(D76:D106)</f>
        <v>1410</v>
      </c>
      <c r="E107" s="47">
        <f>SUM(E76:E106)</f>
        <v>1339.5000000000002</v>
      </c>
      <c r="F107" s="47">
        <f t="shared" ref="F107:G107" si="32">SUM(F76:F106)</f>
        <v>660</v>
      </c>
      <c r="G107" s="47">
        <f t="shared" si="32"/>
        <v>594</v>
      </c>
      <c r="H107" s="47">
        <f>SUM(H76:H106)</f>
        <v>1933.5000000000009</v>
      </c>
      <c r="I107" s="19">
        <f>SUM(I76:I106)</f>
        <v>1373.5000000000005</v>
      </c>
      <c r="J107" s="19">
        <f>SUM(J76:J106)</f>
        <v>517.26339890028999</v>
      </c>
      <c r="K107" s="48">
        <f>SUM(K76:K106)</f>
        <v>556.31302956184265</v>
      </c>
      <c r="L107" s="20">
        <f>SUM(L76:L106)</f>
        <v>39.049630661552428</v>
      </c>
      <c r="M107" s="40" t="s">
        <v>20</v>
      </c>
    </row>
    <row r="108" spans="1:13" x14ac:dyDescent="0.3">
      <c r="A108" s="5"/>
      <c r="B108" s="5"/>
      <c r="C108" s="5"/>
      <c r="D108" s="5"/>
      <c r="E108" s="5"/>
      <c r="F108" s="5"/>
      <c r="G108" s="5"/>
      <c r="H108" s="5"/>
      <c r="I108" s="17"/>
      <c r="J108" s="17"/>
      <c r="K108" s="5"/>
      <c r="L108" s="42">
        <f>K107/J107</f>
        <v>1.0754927387953077</v>
      </c>
      <c r="M108" s="40" t="s">
        <v>9</v>
      </c>
    </row>
    <row r="109" spans="1:13" x14ac:dyDescent="0.3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43">
        <f>IRR(L76:L106)</f>
        <v>8.4089439957635292E-3</v>
      </c>
      <c r="M109" s="40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7689-BC67-4BDA-8FA1-F87353D67D9D}">
  <sheetPr>
    <tabColor theme="9" tint="0.79998168889431442"/>
  </sheetPr>
  <dimension ref="A1:BG942"/>
  <sheetViews>
    <sheetView workbookViewId="0">
      <selection activeCell="B39" sqref="B39"/>
    </sheetView>
  </sheetViews>
  <sheetFormatPr defaultRowHeight="14.4" x14ac:dyDescent="0.3"/>
  <cols>
    <col min="1" max="1" width="41" customWidth="1"/>
    <col min="2" max="2" width="13.88671875" bestFit="1" customWidth="1"/>
    <col min="3" max="3" width="16.21875" customWidth="1"/>
    <col min="4" max="4" width="13.88671875" bestFit="1" customWidth="1"/>
    <col min="5" max="5" width="38.44140625" style="87" customWidth="1"/>
    <col min="6" max="6" width="17.6640625" style="87" customWidth="1"/>
    <col min="7" max="7" width="12.6640625" style="87" customWidth="1"/>
    <col min="8" max="9" width="8.88671875" style="87"/>
    <col min="10" max="10" width="8.6640625" style="87" bestFit="1" customWidth="1"/>
    <col min="11" max="12" width="8.88671875" style="87"/>
    <col min="13" max="13" width="16.88671875" style="87" customWidth="1"/>
    <col min="14" max="59" width="8.88671875" style="87"/>
  </cols>
  <sheetData>
    <row r="1" spans="1:12" ht="15" thickBot="1" x14ac:dyDescent="0.35">
      <c r="A1" s="63"/>
      <c r="B1" s="63"/>
      <c r="C1" s="63"/>
      <c r="D1" s="63"/>
      <c r="E1" s="86"/>
    </row>
    <row r="2" spans="1:12" ht="27.6" thickBot="1" x14ac:dyDescent="0.35">
      <c r="A2" s="246" t="s">
        <v>73</v>
      </c>
      <c r="B2" s="247" t="s">
        <v>74</v>
      </c>
      <c r="C2" s="248" t="s">
        <v>75</v>
      </c>
      <c r="D2" s="249" t="s">
        <v>76</v>
      </c>
      <c r="E2" s="86"/>
      <c r="H2" s="98"/>
      <c r="I2" s="98"/>
      <c r="J2" s="98"/>
      <c r="K2" s="98"/>
      <c r="L2" s="98"/>
    </row>
    <row r="3" spans="1:12" ht="22.2" customHeight="1" x14ac:dyDescent="0.3">
      <c r="A3" s="242" t="s">
        <v>77</v>
      </c>
      <c r="B3" s="243">
        <v>350</v>
      </c>
      <c r="C3" s="244">
        <v>200</v>
      </c>
      <c r="D3" s="245">
        <v>550</v>
      </c>
      <c r="E3" s="86"/>
      <c r="H3" s="98"/>
      <c r="I3" s="98"/>
      <c r="J3" s="98"/>
      <c r="K3" s="98"/>
      <c r="L3" s="98"/>
    </row>
    <row r="4" spans="1:12" ht="21.6" customHeight="1" x14ac:dyDescent="0.3">
      <c r="A4" s="240" t="s">
        <v>78</v>
      </c>
      <c r="B4" s="238">
        <v>20</v>
      </c>
      <c r="C4" s="71">
        <v>35</v>
      </c>
      <c r="D4" s="234">
        <v>55</v>
      </c>
      <c r="E4" s="86"/>
      <c r="H4" s="98"/>
      <c r="I4" s="98"/>
      <c r="J4" s="98"/>
      <c r="K4" s="98"/>
      <c r="L4" s="98"/>
    </row>
    <row r="5" spans="1:12" x14ac:dyDescent="0.3">
      <c r="A5" s="240" t="s">
        <v>79</v>
      </c>
      <c r="B5" s="238">
        <v>3</v>
      </c>
      <c r="C5" s="71">
        <v>1.5</v>
      </c>
      <c r="D5" s="234">
        <v>5</v>
      </c>
      <c r="E5" s="86"/>
      <c r="H5" s="98"/>
      <c r="I5" s="98"/>
      <c r="J5" s="98"/>
      <c r="K5" s="98"/>
      <c r="L5" s="98"/>
    </row>
    <row r="6" spans="1:12" x14ac:dyDescent="0.3">
      <c r="A6" s="240" t="s">
        <v>80</v>
      </c>
      <c r="B6" s="238">
        <v>900</v>
      </c>
      <c r="C6" s="71">
        <v>400</v>
      </c>
      <c r="D6" s="234">
        <v>1200</v>
      </c>
      <c r="E6" s="86"/>
      <c r="H6" s="98"/>
      <c r="I6" s="98"/>
      <c r="J6" s="98"/>
      <c r="K6" s="98"/>
      <c r="L6" s="98"/>
    </row>
    <row r="7" spans="1:12" x14ac:dyDescent="0.3">
      <c r="A7" s="240" t="s">
        <v>81</v>
      </c>
      <c r="B7" s="238">
        <v>8000</v>
      </c>
      <c r="C7" s="72">
        <v>6000</v>
      </c>
      <c r="D7" s="235">
        <v>12000</v>
      </c>
      <c r="E7" s="86"/>
      <c r="H7" s="98"/>
      <c r="I7" s="98"/>
      <c r="J7" s="98"/>
      <c r="K7" s="98"/>
      <c r="L7" s="98"/>
    </row>
    <row r="8" spans="1:12" x14ac:dyDescent="0.3">
      <c r="A8" s="240" t="s">
        <v>82</v>
      </c>
      <c r="B8" s="238">
        <v>4200</v>
      </c>
      <c r="C8" s="71">
        <v>3000</v>
      </c>
      <c r="D8" s="234">
        <v>1000</v>
      </c>
      <c r="E8" s="86"/>
      <c r="H8" s="98"/>
      <c r="I8" s="98"/>
      <c r="J8" s="98"/>
      <c r="K8" s="98"/>
      <c r="L8" s="98"/>
    </row>
    <row r="9" spans="1:12" ht="22.2" customHeight="1" x14ac:dyDescent="0.3">
      <c r="A9" s="240" t="s">
        <v>83</v>
      </c>
      <c r="B9" s="238" t="s">
        <v>84</v>
      </c>
      <c r="C9" s="71" t="s">
        <v>84</v>
      </c>
      <c r="D9" s="234" t="s">
        <v>85</v>
      </c>
      <c r="E9" s="86"/>
      <c r="H9" s="98"/>
      <c r="I9" s="98"/>
      <c r="J9" s="98"/>
      <c r="K9" s="98"/>
      <c r="L9" s="98"/>
    </row>
    <row r="10" spans="1:12" ht="15" thickBot="1" x14ac:dyDescent="0.35">
      <c r="A10" s="241" t="s">
        <v>86</v>
      </c>
      <c r="B10" s="239" t="s">
        <v>87</v>
      </c>
      <c r="C10" s="236" t="s">
        <v>84</v>
      </c>
      <c r="D10" s="237" t="s">
        <v>87</v>
      </c>
      <c r="E10" s="86"/>
      <c r="H10" s="98"/>
      <c r="I10" s="98"/>
      <c r="J10" s="98"/>
      <c r="K10" s="98"/>
      <c r="L10" s="98"/>
    </row>
    <row r="11" spans="1:12" ht="15" thickBot="1" x14ac:dyDescent="0.35">
      <c r="A11" s="73"/>
      <c r="B11" s="73"/>
      <c r="C11" s="73"/>
      <c r="D11" s="73"/>
      <c r="E11" s="99"/>
      <c r="F11" s="98"/>
      <c r="G11" s="98"/>
      <c r="H11" s="98"/>
      <c r="I11" s="98"/>
      <c r="J11" s="98"/>
      <c r="K11" s="98"/>
      <c r="L11" s="98"/>
    </row>
    <row r="12" spans="1:12" ht="45" customHeight="1" thickBot="1" x14ac:dyDescent="0.35">
      <c r="A12" s="335" t="s">
        <v>97</v>
      </c>
      <c r="B12" s="336"/>
      <c r="C12" s="336"/>
      <c r="D12" s="337"/>
      <c r="E12" s="86"/>
      <c r="H12" s="98"/>
      <c r="I12" s="100"/>
      <c r="J12" s="101"/>
      <c r="K12" s="98"/>
      <c r="L12" s="98"/>
    </row>
    <row r="13" spans="1:12" ht="15" thickBot="1" x14ac:dyDescent="0.35">
      <c r="A13" s="86"/>
      <c r="B13" s="86"/>
      <c r="C13" s="86"/>
      <c r="D13" s="86"/>
      <c r="E13" s="86"/>
    </row>
    <row r="14" spans="1:12" ht="15" thickBot="1" x14ac:dyDescent="0.35">
      <c r="A14" s="84" t="s">
        <v>88</v>
      </c>
      <c r="B14" s="82">
        <v>0.08</v>
      </c>
      <c r="C14" s="108"/>
      <c r="D14" s="108"/>
      <c r="E14" s="86"/>
      <c r="F14" s="98"/>
      <c r="G14" s="98"/>
      <c r="H14" s="98"/>
      <c r="I14" s="102"/>
      <c r="J14" s="102"/>
      <c r="K14" s="103"/>
      <c r="L14" s="102"/>
    </row>
    <row r="15" spans="1:12" ht="15" thickBot="1" x14ac:dyDescent="0.35">
      <c r="A15" s="85" t="s">
        <v>91</v>
      </c>
      <c r="B15" s="83">
        <v>0.08</v>
      </c>
      <c r="C15" s="108"/>
      <c r="D15" s="108"/>
      <c r="E15" s="86"/>
      <c r="H15" s="98"/>
      <c r="I15" s="104"/>
      <c r="J15" s="88"/>
      <c r="K15" s="88"/>
      <c r="L15" s="88"/>
    </row>
    <row r="16" spans="1:12" ht="18.600000000000001" thickBot="1" x14ac:dyDescent="0.4">
      <c r="A16" s="332" t="s">
        <v>92</v>
      </c>
      <c r="B16" s="333"/>
      <c r="C16" s="333"/>
      <c r="D16" s="334"/>
      <c r="E16" s="86"/>
      <c r="H16" s="98"/>
      <c r="I16" s="104"/>
      <c r="J16" s="88"/>
      <c r="K16" s="88"/>
      <c r="L16" s="88"/>
    </row>
    <row r="17" spans="1:13" ht="33" customHeight="1" thickBot="1" x14ac:dyDescent="0.35">
      <c r="A17" s="79" t="s">
        <v>13</v>
      </c>
      <c r="B17" s="80" t="s">
        <v>74</v>
      </c>
      <c r="C17" s="81" t="s">
        <v>75</v>
      </c>
      <c r="D17" s="80" t="s">
        <v>76</v>
      </c>
      <c r="E17" s="89"/>
      <c r="H17" s="98"/>
      <c r="I17" s="104"/>
      <c r="J17" s="88"/>
      <c r="K17" s="88"/>
      <c r="L17" s="88"/>
    </row>
    <row r="18" spans="1:13" x14ac:dyDescent="0.3">
      <c r="A18" s="111">
        <v>1</v>
      </c>
      <c r="B18" s="112">
        <f>$B$4/(1+$B$15)^A18</f>
        <v>18.518518518518519</v>
      </c>
      <c r="C18" s="112">
        <f>$C$4/(1+$B$15)^A18</f>
        <v>32.407407407407405</v>
      </c>
      <c r="D18" s="113">
        <f>$D$4/(1+$B$15)^A18</f>
        <v>50.925925925925924</v>
      </c>
      <c r="E18" s="90"/>
      <c r="H18" s="98"/>
      <c r="I18" s="104"/>
      <c r="J18" s="88"/>
      <c r="K18" s="88"/>
      <c r="L18" s="88"/>
    </row>
    <row r="19" spans="1:13" x14ac:dyDescent="0.3">
      <c r="A19" s="114">
        <v>2</v>
      </c>
      <c r="B19" s="112">
        <f t="shared" ref="B19:B37" si="0">$B$4/(1+$B$15)^A19</f>
        <v>17.146776406035663</v>
      </c>
      <c r="C19" s="112">
        <f t="shared" ref="C19:C37" si="1">$C$4/(1+$B$15)^A19</f>
        <v>30.006858710562412</v>
      </c>
      <c r="D19" s="113">
        <f t="shared" ref="D19:D37" si="2">$D$4/(1+$B$15)^A19</f>
        <v>47.153635116598075</v>
      </c>
      <c r="E19" s="90"/>
      <c r="F19" s="88"/>
      <c r="G19" s="88"/>
      <c r="H19" s="98"/>
      <c r="I19" s="104"/>
      <c r="J19" s="88"/>
      <c r="K19" s="88"/>
      <c r="L19" s="88"/>
    </row>
    <row r="20" spans="1:13" x14ac:dyDescent="0.3">
      <c r="A20" s="114">
        <v>3</v>
      </c>
      <c r="B20" s="112">
        <f t="shared" si="0"/>
        <v>15.876644820403392</v>
      </c>
      <c r="C20" s="112">
        <f t="shared" si="1"/>
        <v>27.784128435705934</v>
      </c>
      <c r="D20" s="113">
        <f t="shared" si="2"/>
        <v>43.66077325610933</v>
      </c>
      <c r="E20" s="90"/>
      <c r="F20" s="91"/>
      <c r="G20" s="92"/>
      <c r="H20" s="92"/>
      <c r="I20" s="92"/>
      <c r="J20" s="91"/>
      <c r="K20" s="93"/>
      <c r="L20" s="93"/>
      <c r="M20" s="93"/>
    </row>
    <row r="21" spans="1:13" ht="14.4" customHeight="1" x14ac:dyDescent="0.3">
      <c r="A21" s="114">
        <v>4</v>
      </c>
      <c r="B21" s="112">
        <f t="shared" si="0"/>
        <v>14.700597055929064</v>
      </c>
      <c r="C21" s="112">
        <f t="shared" si="1"/>
        <v>25.726044847875865</v>
      </c>
      <c r="D21" s="113">
        <f t="shared" si="2"/>
        <v>40.426641903804928</v>
      </c>
      <c r="E21" s="90"/>
      <c r="F21" s="94"/>
      <c r="G21" s="95"/>
      <c r="H21" s="95"/>
      <c r="I21" s="95"/>
      <c r="J21" s="338"/>
      <c r="K21" s="338"/>
      <c r="L21" s="338"/>
      <c r="M21" s="338"/>
    </row>
    <row r="22" spans="1:13" ht="14.4" customHeight="1" x14ac:dyDescent="0.3">
      <c r="A22" s="114">
        <v>5</v>
      </c>
      <c r="B22" s="112">
        <f t="shared" si="0"/>
        <v>13.61166394067506</v>
      </c>
      <c r="C22" s="112">
        <f t="shared" si="1"/>
        <v>23.820411896181355</v>
      </c>
      <c r="D22" s="113">
        <f t="shared" si="2"/>
        <v>37.432075836856413</v>
      </c>
      <c r="E22" s="90"/>
      <c r="F22" s="94"/>
      <c r="G22" s="95"/>
      <c r="H22" s="95"/>
      <c r="I22" s="95"/>
      <c r="J22" s="338"/>
      <c r="K22" s="338"/>
      <c r="L22" s="338"/>
      <c r="M22" s="338"/>
    </row>
    <row r="23" spans="1:13" ht="15" customHeight="1" x14ac:dyDescent="0.3">
      <c r="A23" s="114">
        <v>6</v>
      </c>
      <c r="B23" s="112">
        <f t="shared" si="0"/>
        <v>12.603392537662092</v>
      </c>
      <c r="C23" s="112">
        <f t="shared" si="1"/>
        <v>22.055936940908659</v>
      </c>
      <c r="D23" s="113">
        <f t="shared" si="2"/>
        <v>34.659329478570754</v>
      </c>
      <c r="E23" s="90"/>
      <c r="F23" s="94"/>
      <c r="G23" s="95"/>
      <c r="H23" s="95"/>
      <c r="I23" s="95"/>
      <c r="J23" s="338"/>
      <c r="K23" s="338"/>
      <c r="L23" s="338"/>
      <c r="M23" s="338"/>
    </row>
    <row r="24" spans="1:13" x14ac:dyDescent="0.3">
      <c r="A24" s="114">
        <v>7</v>
      </c>
      <c r="B24" s="112">
        <f t="shared" si="0"/>
        <v>11.669807905242676</v>
      </c>
      <c r="C24" s="112">
        <f t="shared" si="1"/>
        <v>20.422163834174683</v>
      </c>
      <c r="D24" s="113">
        <f t="shared" si="2"/>
        <v>32.09197173941736</v>
      </c>
      <c r="E24" s="90"/>
      <c r="F24" s="96"/>
      <c r="G24" s="97"/>
      <c r="H24" s="96"/>
      <c r="I24" s="96"/>
      <c r="J24" s="96"/>
      <c r="K24" s="96"/>
      <c r="L24" s="96"/>
      <c r="M24" s="96"/>
    </row>
    <row r="25" spans="1:13" x14ac:dyDescent="0.3">
      <c r="A25" s="114">
        <v>8</v>
      </c>
      <c r="B25" s="112">
        <f t="shared" si="0"/>
        <v>10.805377690039515</v>
      </c>
      <c r="C25" s="112">
        <f t="shared" si="1"/>
        <v>18.90941095756915</v>
      </c>
      <c r="D25" s="113">
        <f t="shared" si="2"/>
        <v>29.714788647608668</v>
      </c>
      <c r="E25" s="90"/>
      <c r="F25" s="96"/>
      <c r="G25" s="96"/>
      <c r="H25" s="96"/>
      <c r="I25" s="96"/>
      <c r="J25" s="96"/>
      <c r="K25" s="96"/>
      <c r="L25" s="96"/>
      <c r="M25" s="96"/>
    </row>
    <row r="26" spans="1:13" x14ac:dyDescent="0.3">
      <c r="A26" s="114">
        <v>9</v>
      </c>
      <c r="B26" s="112">
        <f t="shared" si="0"/>
        <v>10.004979342629181</v>
      </c>
      <c r="C26" s="112">
        <f t="shared" si="1"/>
        <v>17.508713849601065</v>
      </c>
      <c r="D26" s="113">
        <f t="shared" si="2"/>
        <v>27.513693192230246</v>
      </c>
      <c r="E26" s="90"/>
      <c r="F26" s="88"/>
      <c r="G26" s="88"/>
      <c r="H26" s="98"/>
      <c r="I26" s="104"/>
      <c r="J26" s="88"/>
      <c r="K26" s="88"/>
      <c r="L26" s="88"/>
    </row>
    <row r="27" spans="1:13" x14ac:dyDescent="0.3">
      <c r="A27" s="114">
        <v>10</v>
      </c>
      <c r="B27" s="112">
        <f t="shared" si="0"/>
        <v>9.2638697616936856</v>
      </c>
      <c r="C27" s="112">
        <f t="shared" si="1"/>
        <v>16.21177208296395</v>
      </c>
      <c r="D27" s="113">
        <f t="shared" si="2"/>
        <v>25.475641844657634</v>
      </c>
      <c r="E27" s="90"/>
      <c r="F27" s="88"/>
      <c r="G27" s="88"/>
      <c r="H27" s="98"/>
      <c r="I27" s="104"/>
      <c r="J27" s="88"/>
      <c r="K27" s="88"/>
      <c r="L27" s="88"/>
    </row>
    <row r="28" spans="1:13" x14ac:dyDescent="0.3">
      <c r="A28" s="114">
        <v>11</v>
      </c>
      <c r="B28" s="112">
        <f t="shared" si="0"/>
        <v>8.577657186753413</v>
      </c>
      <c r="C28" s="112">
        <f t="shared" si="1"/>
        <v>15.010900076818471</v>
      </c>
      <c r="D28" s="113">
        <f t="shared" si="2"/>
        <v>23.588557263571882</v>
      </c>
      <c r="E28" s="90"/>
      <c r="F28" s="88"/>
      <c r="G28" s="88"/>
      <c r="H28" s="98"/>
      <c r="I28" s="104"/>
      <c r="J28" s="88"/>
      <c r="K28" s="88"/>
      <c r="L28" s="88"/>
    </row>
    <row r="29" spans="1:13" x14ac:dyDescent="0.3">
      <c r="A29" s="114">
        <v>12</v>
      </c>
      <c r="B29" s="112">
        <f t="shared" si="0"/>
        <v>7.9422751729198255</v>
      </c>
      <c r="C29" s="112">
        <f t="shared" si="1"/>
        <v>13.898981552609694</v>
      </c>
      <c r="D29" s="113">
        <f t="shared" si="2"/>
        <v>21.841256725529519</v>
      </c>
      <c r="E29" s="90"/>
      <c r="F29" s="88"/>
      <c r="G29" s="88"/>
      <c r="H29" s="98"/>
      <c r="I29" s="104"/>
      <c r="J29" s="88"/>
      <c r="K29" s="88"/>
      <c r="L29" s="88"/>
    </row>
    <row r="30" spans="1:13" x14ac:dyDescent="0.3">
      <c r="A30" s="114">
        <v>13</v>
      </c>
      <c r="B30" s="112">
        <f t="shared" si="0"/>
        <v>7.3539584934442832</v>
      </c>
      <c r="C30" s="112">
        <f t="shared" si="1"/>
        <v>12.869427363527494</v>
      </c>
      <c r="D30" s="113">
        <f t="shared" si="2"/>
        <v>20.223385856971777</v>
      </c>
      <c r="E30" s="90"/>
      <c r="F30" s="88"/>
      <c r="G30" s="88"/>
      <c r="H30" s="98"/>
      <c r="I30" s="104"/>
      <c r="J30" s="88"/>
      <c r="K30" s="88"/>
      <c r="L30" s="88"/>
    </row>
    <row r="31" spans="1:13" x14ac:dyDescent="0.3">
      <c r="A31" s="114">
        <v>14</v>
      </c>
      <c r="B31" s="112">
        <f t="shared" si="0"/>
        <v>6.809220827263224</v>
      </c>
      <c r="C31" s="112">
        <f t="shared" si="1"/>
        <v>11.916136447710642</v>
      </c>
      <c r="D31" s="113">
        <f t="shared" si="2"/>
        <v>18.725357274973863</v>
      </c>
      <c r="E31" s="90"/>
      <c r="F31" s="88"/>
      <c r="G31" s="88"/>
      <c r="H31" s="98"/>
      <c r="I31" s="104"/>
      <c r="J31" s="88"/>
      <c r="K31" s="88"/>
      <c r="L31" s="88"/>
    </row>
    <row r="32" spans="1:13" x14ac:dyDescent="0.3">
      <c r="A32" s="114">
        <v>15</v>
      </c>
      <c r="B32" s="112">
        <f t="shared" si="0"/>
        <v>6.3048340993177989</v>
      </c>
      <c r="C32" s="112">
        <f t="shared" si="1"/>
        <v>11.033459673806149</v>
      </c>
      <c r="D32" s="113">
        <f t="shared" si="2"/>
        <v>17.338293773123947</v>
      </c>
      <c r="E32" s="90"/>
      <c r="F32" s="88"/>
      <c r="G32" s="88"/>
      <c r="H32" s="98"/>
      <c r="I32" s="104"/>
      <c r="J32" s="88"/>
      <c r="K32" s="88"/>
      <c r="L32" s="88"/>
    </row>
    <row r="33" spans="1:12" x14ac:dyDescent="0.3">
      <c r="A33" s="114">
        <v>16</v>
      </c>
      <c r="B33" s="112">
        <f t="shared" si="0"/>
        <v>5.8378093512201845</v>
      </c>
      <c r="C33" s="112">
        <f t="shared" si="1"/>
        <v>10.216166364635322</v>
      </c>
      <c r="D33" s="113">
        <f t="shared" si="2"/>
        <v>16.053975715855508</v>
      </c>
      <c r="E33" s="90"/>
      <c r="F33" s="88"/>
      <c r="G33" s="88"/>
      <c r="H33" s="98"/>
      <c r="I33" s="104"/>
      <c r="J33" s="88"/>
      <c r="K33" s="88"/>
      <c r="L33" s="88"/>
    </row>
    <row r="34" spans="1:12" x14ac:dyDescent="0.3">
      <c r="A34" s="114">
        <v>17</v>
      </c>
      <c r="B34" s="112">
        <f t="shared" si="0"/>
        <v>5.4053790289075785</v>
      </c>
      <c r="C34" s="112">
        <f t="shared" si="1"/>
        <v>9.4594133005882615</v>
      </c>
      <c r="D34" s="113">
        <f t="shared" si="2"/>
        <v>14.86479232949584</v>
      </c>
      <c r="E34" s="90"/>
      <c r="F34" s="88"/>
      <c r="G34" s="88"/>
      <c r="H34" s="98"/>
      <c r="I34" s="104"/>
      <c r="J34" s="88"/>
      <c r="K34" s="88"/>
      <c r="L34" s="88"/>
    </row>
    <row r="35" spans="1:12" x14ac:dyDescent="0.3">
      <c r="A35" s="114">
        <v>18</v>
      </c>
      <c r="B35" s="112">
        <f t="shared" si="0"/>
        <v>5.0049805823218314</v>
      </c>
      <c r="C35" s="112">
        <f t="shared" si="1"/>
        <v>8.7587160190632041</v>
      </c>
      <c r="D35" s="113">
        <f t="shared" si="2"/>
        <v>13.763696601385035</v>
      </c>
      <c r="E35" s="90"/>
      <c r="F35" s="88"/>
      <c r="G35" s="88"/>
      <c r="H35" s="98"/>
      <c r="I35" s="104"/>
      <c r="J35" s="88"/>
      <c r="K35" s="88"/>
      <c r="L35" s="88"/>
    </row>
    <row r="36" spans="1:12" x14ac:dyDescent="0.3">
      <c r="A36" s="114">
        <v>19</v>
      </c>
      <c r="B36" s="112">
        <f t="shared" si="0"/>
        <v>4.6342412799276209</v>
      </c>
      <c r="C36" s="112">
        <f t="shared" si="1"/>
        <v>8.1099222398733364</v>
      </c>
      <c r="D36" s="113">
        <f t="shared" si="2"/>
        <v>12.744163519800958</v>
      </c>
      <c r="E36" s="90"/>
      <c r="F36" s="88"/>
      <c r="G36" s="88"/>
    </row>
    <row r="37" spans="1:12" ht="15" thickBot="1" x14ac:dyDescent="0.35">
      <c r="A37" s="258">
        <v>20</v>
      </c>
      <c r="B37" s="259">
        <f t="shared" si="0"/>
        <v>4.2909641480811311</v>
      </c>
      <c r="C37" s="259">
        <f t="shared" si="1"/>
        <v>7.5091872591419788</v>
      </c>
      <c r="D37" s="260">
        <f t="shared" si="2"/>
        <v>11.80015140722311</v>
      </c>
      <c r="E37" s="90"/>
      <c r="F37" s="88"/>
      <c r="G37" s="88"/>
      <c r="H37" s="98"/>
      <c r="I37" s="105"/>
      <c r="J37" s="106"/>
      <c r="K37" s="106"/>
      <c r="L37" s="106"/>
    </row>
    <row r="38" spans="1:12" ht="15" thickBot="1" x14ac:dyDescent="0.35">
      <c r="A38" s="261" t="s">
        <v>93</v>
      </c>
      <c r="B38" s="262">
        <f>SUM(B18:B37)</f>
        <v>196.36294814898577</v>
      </c>
      <c r="C38" s="263">
        <f>SUM(C18:C37)</f>
        <v>343.63515926072512</v>
      </c>
      <c r="D38" s="262">
        <f>SUM(D18:D37)</f>
        <v>539.99810740971077</v>
      </c>
      <c r="E38" s="90"/>
      <c r="F38" s="88"/>
      <c r="G38" s="88"/>
      <c r="H38" s="98"/>
      <c r="I38" s="105"/>
      <c r="J38" s="106"/>
      <c r="K38" s="106"/>
      <c r="L38" s="106"/>
    </row>
    <row r="39" spans="1:12" ht="15" thickBot="1" x14ac:dyDescent="0.35">
      <c r="A39" s="250" t="s">
        <v>94</v>
      </c>
      <c r="B39" s="251">
        <f>B3+B38</f>
        <v>546.36294814898577</v>
      </c>
      <c r="C39" s="251">
        <f>C3+C38</f>
        <v>543.63515926072512</v>
      </c>
      <c r="D39" s="252">
        <f>D3+D38</f>
        <v>1089.9981074097109</v>
      </c>
      <c r="E39" s="86"/>
      <c r="H39" s="98"/>
      <c r="I39" s="105"/>
      <c r="J39" s="106"/>
      <c r="K39" s="106"/>
      <c r="L39" s="106"/>
    </row>
    <row r="40" spans="1:12" ht="15" thickBot="1" x14ac:dyDescent="0.35">
      <c r="A40" s="250" t="s">
        <v>89</v>
      </c>
      <c r="B40" s="256">
        <f>B39/(B7*20)</f>
        <v>3.4147684259311609E-3</v>
      </c>
      <c r="C40" s="256">
        <f t="shared" ref="C40:D40" si="3">C39/(C7*20)</f>
        <v>4.5302929938393762E-3</v>
      </c>
      <c r="D40" s="257">
        <f t="shared" si="3"/>
        <v>4.5416587808737949E-3</v>
      </c>
      <c r="E40" s="86"/>
    </row>
    <row r="41" spans="1:12" ht="15" thickBot="1" x14ac:dyDescent="0.35">
      <c r="A41" s="253" t="s">
        <v>90</v>
      </c>
      <c r="B41" s="254">
        <f>B39/(B8*20)</f>
        <v>6.5043208112974494E-3</v>
      </c>
      <c r="C41" s="254">
        <f t="shared" ref="C41:D41" si="4">C39/(C8*20)</f>
        <v>9.0605859876787525E-3</v>
      </c>
      <c r="D41" s="255">
        <f t="shared" si="4"/>
        <v>5.4499905370485546E-2</v>
      </c>
      <c r="E41" s="86"/>
    </row>
    <row r="42" spans="1:12" s="87" customFormat="1" x14ac:dyDescent="0.3">
      <c r="A42" s="109"/>
      <c r="B42" s="110"/>
      <c r="C42" s="86"/>
      <c r="D42" s="86"/>
      <c r="E42" s="86"/>
    </row>
    <row r="43" spans="1:12" s="87" customFormat="1" x14ac:dyDescent="0.3"/>
    <row r="44" spans="1:12" s="87" customFormat="1" x14ac:dyDescent="0.3"/>
    <row r="45" spans="1:12" s="87" customFormat="1" x14ac:dyDescent="0.3"/>
    <row r="46" spans="1:12" s="87" customFormat="1" x14ac:dyDescent="0.3"/>
    <row r="47" spans="1:12" s="87" customFormat="1" ht="15.6" x14ac:dyDescent="0.3">
      <c r="A47" s="107"/>
      <c r="B47" s="107"/>
      <c r="C47" s="107"/>
      <c r="D47" s="107"/>
      <c r="E47" s="107"/>
    </row>
    <row r="48" spans="1:12" s="87" customFormat="1" x14ac:dyDescent="0.3"/>
    <row r="49" s="87" customFormat="1" x14ac:dyDescent="0.3"/>
    <row r="50" s="87" customFormat="1" x14ac:dyDescent="0.3"/>
    <row r="51" s="87" customFormat="1" x14ac:dyDescent="0.3"/>
    <row r="52" s="87" customFormat="1" x14ac:dyDescent="0.3"/>
    <row r="53" s="87" customFormat="1" x14ac:dyDescent="0.3"/>
    <row r="54" s="87" customFormat="1" x14ac:dyDescent="0.3"/>
    <row r="55" s="87" customFormat="1" x14ac:dyDescent="0.3"/>
    <row r="56" s="87" customFormat="1" x14ac:dyDescent="0.3"/>
    <row r="57" s="87" customFormat="1" x14ac:dyDescent="0.3"/>
    <row r="58" s="87" customFormat="1" x14ac:dyDescent="0.3"/>
    <row r="59" s="87" customFormat="1" x14ac:dyDescent="0.3"/>
    <row r="60" s="87" customFormat="1" x14ac:dyDescent="0.3"/>
    <row r="61" s="87" customFormat="1" x14ac:dyDescent="0.3"/>
    <row r="62" s="87" customFormat="1" x14ac:dyDescent="0.3"/>
    <row r="63" s="87" customFormat="1" x14ac:dyDescent="0.3"/>
    <row r="64" s="87" customFormat="1" x14ac:dyDescent="0.3"/>
    <row r="65" s="87" customFormat="1" x14ac:dyDescent="0.3"/>
    <row r="66" s="87" customFormat="1" x14ac:dyDescent="0.3"/>
    <row r="67" s="87" customFormat="1" x14ac:dyDescent="0.3"/>
    <row r="68" s="87" customFormat="1" x14ac:dyDescent="0.3"/>
    <row r="69" s="87" customFormat="1" x14ac:dyDescent="0.3"/>
    <row r="70" s="87" customFormat="1" x14ac:dyDescent="0.3"/>
    <row r="71" s="87" customFormat="1" x14ac:dyDescent="0.3"/>
    <row r="72" s="87" customFormat="1" x14ac:dyDescent="0.3"/>
    <row r="73" s="87" customFormat="1" x14ac:dyDescent="0.3"/>
    <row r="74" s="87" customFormat="1" x14ac:dyDescent="0.3"/>
    <row r="75" s="87" customFormat="1" x14ac:dyDescent="0.3"/>
    <row r="76" s="87" customFormat="1" x14ac:dyDescent="0.3"/>
    <row r="77" s="87" customFormat="1" x14ac:dyDescent="0.3"/>
    <row r="78" s="87" customFormat="1" x14ac:dyDescent="0.3"/>
    <row r="79" s="87" customFormat="1" x14ac:dyDescent="0.3"/>
    <row r="80" s="87" customFormat="1" x14ac:dyDescent="0.3"/>
    <row r="81" s="87" customFormat="1" x14ac:dyDescent="0.3"/>
    <row r="82" s="87" customFormat="1" x14ac:dyDescent="0.3"/>
    <row r="83" s="87" customFormat="1" x14ac:dyDescent="0.3"/>
    <row r="84" s="87" customFormat="1" x14ac:dyDescent="0.3"/>
    <row r="85" s="87" customFormat="1" x14ac:dyDescent="0.3"/>
    <row r="86" s="87" customFormat="1" x14ac:dyDescent="0.3"/>
    <row r="87" s="87" customFormat="1" x14ac:dyDescent="0.3"/>
    <row r="88" s="87" customFormat="1" x14ac:dyDescent="0.3"/>
    <row r="89" s="87" customFormat="1" x14ac:dyDescent="0.3"/>
    <row r="90" s="87" customFormat="1" x14ac:dyDescent="0.3"/>
    <row r="91" s="87" customFormat="1" x14ac:dyDescent="0.3"/>
    <row r="92" s="87" customFormat="1" x14ac:dyDescent="0.3"/>
    <row r="93" s="87" customFormat="1" x14ac:dyDescent="0.3"/>
    <row r="94" s="87" customFormat="1" x14ac:dyDescent="0.3"/>
    <row r="95" s="87" customFormat="1" x14ac:dyDescent="0.3"/>
    <row r="96" s="87" customFormat="1" x14ac:dyDescent="0.3"/>
    <row r="97" s="87" customFormat="1" x14ac:dyDescent="0.3"/>
    <row r="98" s="87" customFormat="1" x14ac:dyDescent="0.3"/>
    <row r="99" s="87" customFormat="1" x14ac:dyDescent="0.3"/>
    <row r="100" s="87" customFormat="1" x14ac:dyDescent="0.3"/>
    <row r="101" s="87" customFormat="1" x14ac:dyDescent="0.3"/>
    <row r="102" s="87" customFormat="1" x14ac:dyDescent="0.3"/>
    <row r="103" s="87" customFormat="1" x14ac:dyDescent="0.3"/>
    <row r="104" s="87" customFormat="1" x14ac:dyDescent="0.3"/>
    <row r="105" s="87" customFormat="1" x14ac:dyDescent="0.3"/>
    <row r="106" s="87" customFormat="1" x14ac:dyDescent="0.3"/>
    <row r="107" s="87" customFormat="1" x14ac:dyDescent="0.3"/>
    <row r="108" s="87" customFormat="1" x14ac:dyDescent="0.3"/>
    <row r="109" s="87" customFormat="1" x14ac:dyDescent="0.3"/>
    <row r="110" s="87" customFormat="1" x14ac:dyDescent="0.3"/>
    <row r="111" s="87" customFormat="1" x14ac:dyDescent="0.3"/>
    <row r="112" s="87" customFormat="1" x14ac:dyDescent="0.3"/>
    <row r="113" s="87" customFormat="1" x14ac:dyDescent="0.3"/>
    <row r="114" s="87" customFormat="1" x14ac:dyDescent="0.3"/>
    <row r="115" s="87" customFormat="1" x14ac:dyDescent="0.3"/>
    <row r="116" s="87" customFormat="1" x14ac:dyDescent="0.3"/>
    <row r="117" s="87" customFormat="1" x14ac:dyDescent="0.3"/>
    <row r="118" s="87" customFormat="1" x14ac:dyDescent="0.3"/>
    <row r="119" s="87" customFormat="1" x14ac:dyDescent="0.3"/>
    <row r="120" s="87" customFormat="1" x14ac:dyDescent="0.3"/>
    <row r="121" s="87" customFormat="1" x14ac:dyDescent="0.3"/>
    <row r="122" s="87" customFormat="1" x14ac:dyDescent="0.3"/>
    <row r="123" s="87" customFormat="1" x14ac:dyDescent="0.3"/>
    <row r="124" s="87" customFormat="1" x14ac:dyDescent="0.3"/>
    <row r="125" s="87" customFormat="1" x14ac:dyDescent="0.3"/>
    <row r="126" s="87" customFormat="1" x14ac:dyDescent="0.3"/>
    <row r="127" s="87" customFormat="1" x14ac:dyDescent="0.3"/>
    <row r="128" s="87" customFormat="1" x14ac:dyDescent="0.3"/>
    <row r="129" s="87" customFormat="1" x14ac:dyDescent="0.3"/>
    <row r="130" s="87" customFormat="1" x14ac:dyDescent="0.3"/>
    <row r="131" s="87" customFormat="1" x14ac:dyDescent="0.3"/>
    <row r="132" s="87" customFormat="1" x14ac:dyDescent="0.3"/>
    <row r="133" s="87" customFormat="1" x14ac:dyDescent="0.3"/>
    <row r="134" s="87" customFormat="1" x14ac:dyDescent="0.3"/>
    <row r="135" s="87" customFormat="1" x14ac:dyDescent="0.3"/>
    <row r="136" s="87" customFormat="1" x14ac:dyDescent="0.3"/>
    <row r="137" s="87" customFormat="1" x14ac:dyDescent="0.3"/>
    <row r="138" s="87" customFormat="1" x14ac:dyDescent="0.3"/>
    <row r="139" s="87" customFormat="1" x14ac:dyDescent="0.3"/>
    <row r="140" s="87" customFormat="1" x14ac:dyDescent="0.3"/>
    <row r="141" s="87" customFormat="1" x14ac:dyDescent="0.3"/>
    <row r="142" s="87" customFormat="1" x14ac:dyDescent="0.3"/>
    <row r="143" s="87" customFormat="1" x14ac:dyDescent="0.3"/>
    <row r="144" s="87" customFormat="1" x14ac:dyDescent="0.3"/>
    <row r="145" s="87" customFormat="1" x14ac:dyDescent="0.3"/>
    <row r="146" s="87" customFormat="1" x14ac:dyDescent="0.3"/>
    <row r="147" s="87" customFormat="1" x14ac:dyDescent="0.3"/>
    <row r="148" s="87" customFormat="1" x14ac:dyDescent="0.3"/>
    <row r="149" s="87" customFormat="1" x14ac:dyDescent="0.3"/>
    <row r="150" s="87" customFormat="1" x14ac:dyDescent="0.3"/>
    <row r="151" s="87" customFormat="1" x14ac:dyDescent="0.3"/>
    <row r="152" s="87" customFormat="1" x14ac:dyDescent="0.3"/>
    <row r="153" s="87" customFormat="1" x14ac:dyDescent="0.3"/>
    <row r="154" s="87" customFormat="1" x14ac:dyDescent="0.3"/>
    <row r="155" s="87" customFormat="1" x14ac:dyDescent="0.3"/>
    <row r="156" s="87" customFormat="1" x14ac:dyDescent="0.3"/>
    <row r="157" s="87" customFormat="1" x14ac:dyDescent="0.3"/>
    <row r="158" s="87" customFormat="1" x14ac:dyDescent="0.3"/>
    <row r="159" s="87" customFormat="1" x14ac:dyDescent="0.3"/>
    <row r="160" s="87" customFormat="1" x14ac:dyDescent="0.3"/>
    <row r="161" s="87" customFormat="1" x14ac:dyDescent="0.3"/>
    <row r="162" s="87" customFormat="1" x14ac:dyDescent="0.3"/>
    <row r="163" s="87" customFormat="1" x14ac:dyDescent="0.3"/>
    <row r="164" s="87" customFormat="1" x14ac:dyDescent="0.3"/>
    <row r="165" s="87" customFormat="1" x14ac:dyDescent="0.3"/>
    <row r="166" s="87" customFormat="1" x14ac:dyDescent="0.3"/>
    <row r="167" s="87" customFormat="1" x14ac:dyDescent="0.3"/>
    <row r="168" s="87" customFormat="1" x14ac:dyDescent="0.3"/>
    <row r="169" s="87" customFormat="1" x14ac:dyDescent="0.3"/>
    <row r="170" s="87" customFormat="1" x14ac:dyDescent="0.3"/>
    <row r="171" s="87" customFormat="1" x14ac:dyDescent="0.3"/>
    <row r="172" s="87" customFormat="1" x14ac:dyDescent="0.3"/>
    <row r="173" s="87" customFormat="1" x14ac:dyDescent="0.3"/>
    <row r="174" s="87" customFormat="1" x14ac:dyDescent="0.3"/>
    <row r="175" s="87" customFormat="1" x14ac:dyDescent="0.3"/>
    <row r="176" s="87" customFormat="1" x14ac:dyDescent="0.3"/>
    <row r="177" s="87" customFormat="1" x14ac:dyDescent="0.3"/>
    <row r="178" s="87" customFormat="1" x14ac:dyDescent="0.3"/>
    <row r="179" s="87" customFormat="1" x14ac:dyDescent="0.3"/>
    <row r="180" s="87" customFormat="1" x14ac:dyDescent="0.3"/>
    <row r="181" s="87" customFormat="1" x14ac:dyDescent="0.3"/>
    <row r="182" s="87" customFormat="1" x14ac:dyDescent="0.3"/>
    <row r="183" s="87" customFormat="1" x14ac:dyDescent="0.3"/>
    <row r="184" s="87" customFormat="1" x14ac:dyDescent="0.3"/>
    <row r="185" s="87" customFormat="1" x14ac:dyDescent="0.3"/>
    <row r="186" s="87" customFormat="1" x14ac:dyDescent="0.3"/>
    <row r="187" s="87" customFormat="1" x14ac:dyDescent="0.3"/>
    <row r="188" s="87" customFormat="1" x14ac:dyDescent="0.3"/>
    <row r="189" s="87" customFormat="1" x14ac:dyDescent="0.3"/>
    <row r="190" s="87" customFormat="1" x14ac:dyDescent="0.3"/>
    <row r="191" s="87" customFormat="1" x14ac:dyDescent="0.3"/>
    <row r="192" s="87" customFormat="1" x14ac:dyDescent="0.3"/>
    <row r="193" s="87" customFormat="1" x14ac:dyDescent="0.3"/>
    <row r="194" s="87" customFormat="1" x14ac:dyDescent="0.3"/>
    <row r="195" s="87" customFormat="1" x14ac:dyDescent="0.3"/>
    <row r="196" s="87" customFormat="1" x14ac:dyDescent="0.3"/>
    <row r="197" s="87" customFormat="1" x14ac:dyDescent="0.3"/>
    <row r="198" s="87" customFormat="1" x14ac:dyDescent="0.3"/>
    <row r="199" s="87" customFormat="1" x14ac:dyDescent="0.3"/>
    <row r="200" s="87" customFormat="1" x14ac:dyDescent="0.3"/>
    <row r="201" s="87" customFormat="1" x14ac:dyDescent="0.3"/>
    <row r="202" s="87" customFormat="1" x14ac:dyDescent="0.3"/>
    <row r="203" s="87" customFormat="1" x14ac:dyDescent="0.3"/>
    <row r="204" s="87" customFormat="1" x14ac:dyDescent="0.3"/>
    <row r="205" s="87" customFormat="1" x14ac:dyDescent="0.3"/>
    <row r="206" s="87" customFormat="1" x14ac:dyDescent="0.3"/>
    <row r="207" s="87" customFormat="1" x14ac:dyDescent="0.3"/>
    <row r="208" s="87" customFormat="1" x14ac:dyDescent="0.3"/>
    <row r="209" s="87" customFormat="1" x14ac:dyDescent="0.3"/>
    <row r="210" s="87" customFormat="1" x14ac:dyDescent="0.3"/>
    <row r="211" s="87" customFormat="1" x14ac:dyDescent="0.3"/>
    <row r="212" s="87" customFormat="1" x14ac:dyDescent="0.3"/>
    <row r="213" s="87" customFormat="1" x14ac:dyDescent="0.3"/>
    <row r="214" s="87" customFormat="1" x14ac:dyDescent="0.3"/>
    <row r="215" s="87" customFormat="1" x14ac:dyDescent="0.3"/>
    <row r="216" s="87" customFormat="1" x14ac:dyDescent="0.3"/>
    <row r="217" s="87" customFormat="1" x14ac:dyDescent="0.3"/>
    <row r="218" s="87" customFormat="1" x14ac:dyDescent="0.3"/>
    <row r="219" s="87" customFormat="1" x14ac:dyDescent="0.3"/>
    <row r="220" s="87" customFormat="1" x14ac:dyDescent="0.3"/>
    <row r="221" s="87" customFormat="1" x14ac:dyDescent="0.3"/>
    <row r="222" s="87" customFormat="1" x14ac:dyDescent="0.3"/>
    <row r="223" s="87" customFormat="1" x14ac:dyDescent="0.3"/>
    <row r="224" s="87" customFormat="1" x14ac:dyDescent="0.3"/>
    <row r="225" s="87" customFormat="1" x14ac:dyDescent="0.3"/>
    <row r="226" s="87" customFormat="1" x14ac:dyDescent="0.3"/>
    <row r="227" s="87" customFormat="1" x14ac:dyDescent="0.3"/>
    <row r="228" s="87" customFormat="1" x14ac:dyDescent="0.3"/>
    <row r="229" s="87" customFormat="1" x14ac:dyDescent="0.3"/>
    <row r="230" s="87" customFormat="1" x14ac:dyDescent="0.3"/>
    <row r="231" s="87" customFormat="1" x14ac:dyDescent="0.3"/>
    <row r="232" s="87" customFormat="1" x14ac:dyDescent="0.3"/>
    <row r="233" s="87" customFormat="1" x14ac:dyDescent="0.3"/>
    <row r="234" s="87" customFormat="1" x14ac:dyDescent="0.3"/>
    <row r="235" s="87" customFormat="1" x14ac:dyDescent="0.3"/>
    <row r="236" s="87" customFormat="1" x14ac:dyDescent="0.3"/>
    <row r="237" s="87" customFormat="1" x14ac:dyDescent="0.3"/>
    <row r="238" s="87" customFormat="1" x14ac:dyDescent="0.3"/>
    <row r="239" s="87" customFormat="1" x14ac:dyDescent="0.3"/>
    <row r="240" s="87" customFormat="1" x14ac:dyDescent="0.3"/>
    <row r="241" s="87" customFormat="1" x14ac:dyDescent="0.3"/>
    <row r="242" s="87" customFormat="1" x14ac:dyDescent="0.3"/>
    <row r="243" s="87" customFormat="1" x14ac:dyDescent="0.3"/>
    <row r="244" s="87" customFormat="1" x14ac:dyDescent="0.3"/>
    <row r="245" s="87" customFormat="1" x14ac:dyDescent="0.3"/>
    <row r="246" s="87" customFormat="1" x14ac:dyDescent="0.3"/>
    <row r="247" s="87" customFormat="1" x14ac:dyDescent="0.3"/>
    <row r="248" s="87" customFormat="1" x14ac:dyDescent="0.3"/>
    <row r="249" s="87" customFormat="1" x14ac:dyDescent="0.3"/>
    <row r="250" s="87" customFormat="1" x14ac:dyDescent="0.3"/>
    <row r="251" s="87" customFormat="1" x14ac:dyDescent="0.3"/>
    <row r="252" s="87" customFormat="1" x14ac:dyDescent="0.3"/>
    <row r="253" s="87" customFormat="1" x14ac:dyDescent="0.3"/>
    <row r="254" s="87" customFormat="1" x14ac:dyDescent="0.3"/>
    <row r="255" s="87" customFormat="1" x14ac:dyDescent="0.3"/>
    <row r="256" s="87" customFormat="1" x14ac:dyDescent="0.3"/>
    <row r="257" s="87" customFormat="1" x14ac:dyDescent="0.3"/>
    <row r="258" s="87" customFormat="1" x14ac:dyDescent="0.3"/>
    <row r="259" s="87" customFormat="1" x14ac:dyDescent="0.3"/>
    <row r="260" s="87" customFormat="1" x14ac:dyDescent="0.3"/>
    <row r="261" s="87" customFormat="1" x14ac:dyDescent="0.3"/>
    <row r="262" s="87" customFormat="1" x14ac:dyDescent="0.3"/>
    <row r="263" s="87" customFormat="1" x14ac:dyDescent="0.3"/>
    <row r="264" s="87" customFormat="1" x14ac:dyDescent="0.3"/>
    <row r="265" s="87" customFormat="1" x14ac:dyDescent="0.3"/>
    <row r="266" s="87" customFormat="1" x14ac:dyDescent="0.3"/>
    <row r="267" s="87" customFormat="1" x14ac:dyDescent="0.3"/>
    <row r="268" s="87" customFormat="1" x14ac:dyDescent="0.3"/>
    <row r="269" s="87" customFormat="1" x14ac:dyDescent="0.3"/>
    <row r="270" s="87" customFormat="1" x14ac:dyDescent="0.3"/>
    <row r="271" s="87" customFormat="1" x14ac:dyDescent="0.3"/>
    <row r="272" s="87" customFormat="1" x14ac:dyDescent="0.3"/>
    <row r="273" s="87" customFormat="1" x14ac:dyDescent="0.3"/>
    <row r="274" s="87" customFormat="1" x14ac:dyDescent="0.3"/>
    <row r="275" s="87" customFormat="1" x14ac:dyDescent="0.3"/>
    <row r="276" s="87" customFormat="1" x14ac:dyDescent="0.3"/>
    <row r="277" s="87" customFormat="1" x14ac:dyDescent="0.3"/>
    <row r="278" s="87" customFormat="1" x14ac:dyDescent="0.3"/>
    <row r="279" s="87" customFormat="1" x14ac:dyDescent="0.3"/>
    <row r="280" s="87" customFormat="1" x14ac:dyDescent="0.3"/>
    <row r="281" s="87" customFormat="1" x14ac:dyDescent="0.3"/>
    <row r="282" s="87" customFormat="1" x14ac:dyDescent="0.3"/>
    <row r="283" s="87" customFormat="1" x14ac:dyDescent="0.3"/>
    <row r="284" s="87" customFormat="1" x14ac:dyDescent="0.3"/>
    <row r="285" s="87" customFormat="1" x14ac:dyDescent="0.3"/>
    <row r="286" s="87" customFormat="1" x14ac:dyDescent="0.3"/>
    <row r="287" s="87" customFormat="1" x14ac:dyDescent="0.3"/>
    <row r="288" s="87" customFormat="1" x14ac:dyDescent="0.3"/>
    <row r="289" s="87" customFormat="1" x14ac:dyDescent="0.3"/>
    <row r="290" s="87" customFormat="1" x14ac:dyDescent="0.3"/>
    <row r="291" s="87" customFormat="1" x14ac:dyDescent="0.3"/>
    <row r="292" s="87" customFormat="1" x14ac:dyDescent="0.3"/>
    <row r="293" s="87" customFormat="1" x14ac:dyDescent="0.3"/>
    <row r="294" s="87" customFormat="1" x14ac:dyDescent="0.3"/>
    <row r="295" s="87" customFormat="1" x14ac:dyDescent="0.3"/>
    <row r="296" s="87" customFormat="1" x14ac:dyDescent="0.3"/>
    <row r="297" s="87" customFormat="1" x14ac:dyDescent="0.3"/>
    <row r="298" s="87" customFormat="1" x14ac:dyDescent="0.3"/>
    <row r="299" s="87" customFormat="1" x14ac:dyDescent="0.3"/>
    <row r="300" s="87" customFormat="1" x14ac:dyDescent="0.3"/>
    <row r="301" s="87" customFormat="1" x14ac:dyDescent="0.3"/>
    <row r="302" s="87" customFormat="1" x14ac:dyDescent="0.3"/>
    <row r="303" s="87" customFormat="1" x14ac:dyDescent="0.3"/>
    <row r="304" s="87" customFormat="1" x14ac:dyDescent="0.3"/>
    <row r="305" s="87" customFormat="1" x14ac:dyDescent="0.3"/>
    <row r="306" s="87" customFormat="1" x14ac:dyDescent="0.3"/>
    <row r="307" s="87" customFormat="1" x14ac:dyDescent="0.3"/>
    <row r="308" s="87" customFormat="1" x14ac:dyDescent="0.3"/>
    <row r="309" s="87" customFormat="1" x14ac:dyDescent="0.3"/>
    <row r="310" s="87" customFormat="1" x14ac:dyDescent="0.3"/>
    <row r="311" s="87" customFormat="1" x14ac:dyDescent="0.3"/>
    <row r="312" s="87" customFormat="1" x14ac:dyDescent="0.3"/>
    <row r="313" s="87" customFormat="1" x14ac:dyDescent="0.3"/>
    <row r="314" s="87" customFormat="1" x14ac:dyDescent="0.3"/>
    <row r="315" s="87" customFormat="1" x14ac:dyDescent="0.3"/>
    <row r="316" s="87" customFormat="1" x14ac:dyDescent="0.3"/>
    <row r="317" s="87" customFormat="1" x14ac:dyDescent="0.3"/>
    <row r="318" s="87" customFormat="1" x14ac:dyDescent="0.3"/>
    <row r="319" s="87" customFormat="1" x14ac:dyDescent="0.3"/>
    <row r="320" s="87" customFormat="1" x14ac:dyDescent="0.3"/>
    <row r="321" s="87" customFormat="1" x14ac:dyDescent="0.3"/>
    <row r="322" s="87" customFormat="1" x14ac:dyDescent="0.3"/>
    <row r="323" s="87" customFormat="1" x14ac:dyDescent="0.3"/>
    <row r="324" s="87" customFormat="1" x14ac:dyDescent="0.3"/>
    <row r="325" s="87" customFormat="1" x14ac:dyDescent="0.3"/>
    <row r="326" s="87" customFormat="1" x14ac:dyDescent="0.3"/>
    <row r="327" s="87" customFormat="1" x14ac:dyDescent="0.3"/>
    <row r="328" s="87" customFormat="1" x14ac:dyDescent="0.3"/>
    <row r="329" s="87" customFormat="1" x14ac:dyDescent="0.3"/>
    <row r="330" s="87" customFormat="1" x14ac:dyDescent="0.3"/>
    <row r="331" s="87" customFormat="1" x14ac:dyDescent="0.3"/>
    <row r="332" s="87" customFormat="1" x14ac:dyDescent="0.3"/>
    <row r="333" s="87" customFormat="1" x14ac:dyDescent="0.3"/>
    <row r="334" s="87" customFormat="1" x14ac:dyDescent="0.3"/>
    <row r="335" s="87" customFormat="1" x14ac:dyDescent="0.3"/>
    <row r="336" s="87" customFormat="1" x14ac:dyDescent="0.3"/>
    <row r="337" s="87" customFormat="1" x14ac:dyDescent="0.3"/>
    <row r="338" s="87" customFormat="1" x14ac:dyDescent="0.3"/>
    <row r="339" s="87" customFormat="1" x14ac:dyDescent="0.3"/>
    <row r="340" s="87" customFormat="1" x14ac:dyDescent="0.3"/>
    <row r="341" s="87" customFormat="1" x14ac:dyDescent="0.3"/>
    <row r="342" s="87" customFormat="1" x14ac:dyDescent="0.3"/>
    <row r="343" s="87" customFormat="1" x14ac:dyDescent="0.3"/>
    <row r="344" s="87" customFormat="1" x14ac:dyDescent="0.3"/>
    <row r="345" s="87" customFormat="1" x14ac:dyDescent="0.3"/>
    <row r="346" s="87" customFormat="1" x14ac:dyDescent="0.3"/>
    <row r="347" s="87" customFormat="1" x14ac:dyDescent="0.3"/>
    <row r="348" s="87" customFormat="1" x14ac:dyDescent="0.3"/>
    <row r="349" s="87" customFormat="1" x14ac:dyDescent="0.3"/>
    <row r="350" s="87" customFormat="1" x14ac:dyDescent="0.3"/>
    <row r="351" s="87" customFormat="1" x14ac:dyDescent="0.3"/>
    <row r="352" s="87" customFormat="1" x14ac:dyDescent="0.3"/>
    <row r="353" s="87" customFormat="1" x14ac:dyDescent="0.3"/>
    <row r="354" s="87" customFormat="1" x14ac:dyDescent="0.3"/>
    <row r="355" s="87" customFormat="1" x14ac:dyDescent="0.3"/>
    <row r="356" s="87" customFormat="1" x14ac:dyDescent="0.3"/>
    <row r="357" s="87" customFormat="1" x14ac:dyDescent="0.3"/>
    <row r="358" s="87" customFormat="1" x14ac:dyDescent="0.3"/>
    <row r="359" s="87" customFormat="1" x14ac:dyDescent="0.3"/>
    <row r="360" s="87" customFormat="1" x14ac:dyDescent="0.3"/>
    <row r="361" s="87" customFormat="1" x14ac:dyDescent="0.3"/>
    <row r="362" s="87" customFormat="1" x14ac:dyDescent="0.3"/>
    <row r="363" s="87" customFormat="1" x14ac:dyDescent="0.3"/>
    <row r="364" s="87" customFormat="1" x14ac:dyDescent="0.3"/>
    <row r="365" s="87" customFormat="1" x14ac:dyDescent="0.3"/>
    <row r="366" s="87" customFormat="1" x14ac:dyDescent="0.3"/>
    <row r="367" s="87" customFormat="1" x14ac:dyDescent="0.3"/>
    <row r="368" s="87" customFormat="1" x14ac:dyDescent="0.3"/>
    <row r="369" s="87" customFormat="1" x14ac:dyDescent="0.3"/>
    <row r="370" s="87" customFormat="1" x14ac:dyDescent="0.3"/>
    <row r="371" s="87" customFormat="1" x14ac:dyDescent="0.3"/>
    <row r="372" s="87" customFormat="1" x14ac:dyDescent="0.3"/>
    <row r="373" s="87" customFormat="1" x14ac:dyDescent="0.3"/>
    <row r="374" s="87" customFormat="1" x14ac:dyDescent="0.3"/>
    <row r="375" s="87" customFormat="1" x14ac:dyDescent="0.3"/>
    <row r="376" s="87" customFormat="1" x14ac:dyDescent="0.3"/>
    <row r="377" s="87" customFormat="1" x14ac:dyDescent="0.3"/>
    <row r="378" s="87" customFormat="1" x14ac:dyDescent="0.3"/>
    <row r="379" s="87" customFormat="1" x14ac:dyDescent="0.3"/>
    <row r="380" s="87" customFormat="1" x14ac:dyDescent="0.3"/>
    <row r="381" s="87" customFormat="1" x14ac:dyDescent="0.3"/>
    <row r="382" s="87" customFormat="1" x14ac:dyDescent="0.3"/>
    <row r="383" s="87" customFormat="1" x14ac:dyDescent="0.3"/>
    <row r="384" s="87" customFormat="1" x14ac:dyDescent="0.3"/>
    <row r="385" s="87" customFormat="1" x14ac:dyDescent="0.3"/>
    <row r="386" s="87" customFormat="1" x14ac:dyDescent="0.3"/>
    <row r="387" s="87" customFormat="1" x14ac:dyDescent="0.3"/>
    <row r="388" s="87" customFormat="1" x14ac:dyDescent="0.3"/>
    <row r="389" s="87" customFormat="1" x14ac:dyDescent="0.3"/>
    <row r="390" s="87" customFormat="1" x14ac:dyDescent="0.3"/>
    <row r="391" s="87" customFormat="1" x14ac:dyDescent="0.3"/>
    <row r="392" s="87" customFormat="1" x14ac:dyDescent="0.3"/>
    <row r="393" s="87" customFormat="1" x14ac:dyDescent="0.3"/>
    <row r="394" s="87" customFormat="1" x14ac:dyDescent="0.3"/>
    <row r="395" s="87" customFormat="1" x14ac:dyDescent="0.3"/>
    <row r="396" s="87" customFormat="1" x14ac:dyDescent="0.3"/>
    <row r="397" s="87" customFormat="1" x14ac:dyDescent="0.3"/>
    <row r="398" s="87" customFormat="1" x14ac:dyDescent="0.3"/>
    <row r="399" s="87" customFormat="1" x14ac:dyDescent="0.3"/>
    <row r="400" s="87" customFormat="1" x14ac:dyDescent="0.3"/>
    <row r="401" s="87" customFormat="1" x14ac:dyDescent="0.3"/>
    <row r="402" s="87" customFormat="1" x14ac:dyDescent="0.3"/>
    <row r="403" s="87" customFormat="1" x14ac:dyDescent="0.3"/>
    <row r="404" s="87" customFormat="1" x14ac:dyDescent="0.3"/>
    <row r="405" s="87" customFormat="1" x14ac:dyDescent="0.3"/>
    <row r="406" s="87" customFormat="1" x14ac:dyDescent="0.3"/>
    <row r="407" s="87" customFormat="1" x14ac:dyDescent="0.3"/>
    <row r="408" s="87" customFormat="1" x14ac:dyDescent="0.3"/>
    <row r="409" s="87" customFormat="1" x14ac:dyDescent="0.3"/>
    <row r="410" s="87" customFormat="1" x14ac:dyDescent="0.3"/>
    <row r="411" s="87" customFormat="1" x14ac:dyDescent="0.3"/>
    <row r="412" s="87" customFormat="1" x14ac:dyDescent="0.3"/>
    <row r="413" s="87" customFormat="1" x14ac:dyDescent="0.3"/>
    <row r="414" s="87" customFormat="1" x14ac:dyDescent="0.3"/>
    <row r="415" s="87" customFormat="1" x14ac:dyDescent="0.3"/>
    <row r="416" s="87" customFormat="1" x14ac:dyDescent="0.3"/>
    <row r="417" s="87" customFormat="1" x14ac:dyDescent="0.3"/>
    <row r="418" s="87" customFormat="1" x14ac:dyDescent="0.3"/>
    <row r="419" s="87" customFormat="1" x14ac:dyDescent="0.3"/>
    <row r="420" s="87" customFormat="1" x14ac:dyDescent="0.3"/>
    <row r="421" s="87" customFormat="1" x14ac:dyDescent="0.3"/>
    <row r="422" s="87" customFormat="1" x14ac:dyDescent="0.3"/>
    <row r="423" s="87" customFormat="1" x14ac:dyDescent="0.3"/>
    <row r="424" s="87" customFormat="1" x14ac:dyDescent="0.3"/>
    <row r="425" s="87" customFormat="1" x14ac:dyDescent="0.3"/>
    <row r="426" s="87" customFormat="1" x14ac:dyDescent="0.3"/>
    <row r="427" s="87" customFormat="1" x14ac:dyDescent="0.3"/>
    <row r="428" s="87" customFormat="1" x14ac:dyDescent="0.3"/>
    <row r="429" s="87" customFormat="1" x14ac:dyDescent="0.3"/>
    <row r="430" s="87" customFormat="1" x14ac:dyDescent="0.3"/>
    <row r="431" s="87" customFormat="1" x14ac:dyDescent="0.3"/>
    <row r="432" s="87" customFormat="1" x14ac:dyDescent="0.3"/>
    <row r="433" s="87" customFormat="1" x14ac:dyDescent="0.3"/>
    <row r="434" s="87" customFormat="1" x14ac:dyDescent="0.3"/>
    <row r="435" s="87" customFormat="1" x14ac:dyDescent="0.3"/>
    <row r="436" s="87" customFormat="1" x14ac:dyDescent="0.3"/>
    <row r="437" s="87" customFormat="1" x14ac:dyDescent="0.3"/>
    <row r="438" s="87" customFormat="1" x14ac:dyDescent="0.3"/>
    <row r="439" s="87" customFormat="1" x14ac:dyDescent="0.3"/>
    <row r="440" s="87" customFormat="1" x14ac:dyDescent="0.3"/>
    <row r="441" s="87" customFormat="1" x14ac:dyDescent="0.3"/>
    <row r="442" s="87" customFormat="1" x14ac:dyDescent="0.3"/>
    <row r="443" s="87" customFormat="1" x14ac:dyDescent="0.3"/>
    <row r="444" s="87" customFormat="1" x14ac:dyDescent="0.3"/>
    <row r="445" s="87" customFormat="1" x14ac:dyDescent="0.3"/>
    <row r="446" s="87" customFormat="1" x14ac:dyDescent="0.3"/>
    <row r="447" s="87" customFormat="1" x14ac:dyDescent="0.3"/>
    <row r="448" s="87" customFormat="1" x14ac:dyDescent="0.3"/>
    <row r="449" s="87" customFormat="1" x14ac:dyDescent="0.3"/>
    <row r="450" s="87" customFormat="1" x14ac:dyDescent="0.3"/>
    <row r="451" s="87" customFormat="1" x14ac:dyDescent="0.3"/>
    <row r="452" s="87" customFormat="1" x14ac:dyDescent="0.3"/>
    <row r="453" s="87" customFormat="1" x14ac:dyDescent="0.3"/>
    <row r="454" s="87" customFormat="1" x14ac:dyDescent="0.3"/>
    <row r="455" s="87" customFormat="1" x14ac:dyDescent="0.3"/>
    <row r="456" s="87" customFormat="1" x14ac:dyDescent="0.3"/>
    <row r="457" s="87" customFormat="1" x14ac:dyDescent="0.3"/>
    <row r="458" s="87" customFormat="1" x14ac:dyDescent="0.3"/>
    <row r="459" s="87" customFormat="1" x14ac:dyDescent="0.3"/>
    <row r="460" s="87" customFormat="1" x14ac:dyDescent="0.3"/>
    <row r="461" s="87" customFormat="1" x14ac:dyDescent="0.3"/>
    <row r="462" s="87" customFormat="1" x14ac:dyDescent="0.3"/>
    <row r="463" s="87" customFormat="1" x14ac:dyDescent="0.3"/>
    <row r="464" s="87" customFormat="1" x14ac:dyDescent="0.3"/>
    <row r="465" s="87" customFormat="1" x14ac:dyDescent="0.3"/>
    <row r="466" s="87" customFormat="1" x14ac:dyDescent="0.3"/>
    <row r="467" s="87" customFormat="1" x14ac:dyDescent="0.3"/>
    <row r="468" s="87" customFormat="1" x14ac:dyDescent="0.3"/>
    <row r="469" s="87" customFormat="1" x14ac:dyDescent="0.3"/>
    <row r="470" s="87" customFormat="1" x14ac:dyDescent="0.3"/>
    <row r="471" s="87" customFormat="1" x14ac:dyDescent="0.3"/>
    <row r="472" s="87" customFormat="1" x14ac:dyDescent="0.3"/>
    <row r="473" s="87" customFormat="1" x14ac:dyDescent="0.3"/>
    <row r="474" s="87" customFormat="1" x14ac:dyDescent="0.3"/>
    <row r="475" s="87" customFormat="1" x14ac:dyDescent="0.3"/>
    <row r="476" s="87" customFormat="1" x14ac:dyDescent="0.3"/>
    <row r="477" s="87" customFormat="1" x14ac:dyDescent="0.3"/>
    <row r="478" s="87" customFormat="1" x14ac:dyDescent="0.3"/>
    <row r="479" s="87" customFormat="1" x14ac:dyDescent="0.3"/>
    <row r="480" s="87" customFormat="1" x14ac:dyDescent="0.3"/>
    <row r="481" s="87" customFormat="1" x14ac:dyDescent="0.3"/>
    <row r="482" s="87" customFormat="1" x14ac:dyDescent="0.3"/>
    <row r="483" s="87" customFormat="1" x14ac:dyDescent="0.3"/>
    <row r="484" s="87" customFormat="1" x14ac:dyDescent="0.3"/>
    <row r="485" s="87" customFormat="1" x14ac:dyDescent="0.3"/>
    <row r="486" s="87" customFormat="1" x14ac:dyDescent="0.3"/>
    <row r="487" s="87" customFormat="1" x14ac:dyDescent="0.3"/>
    <row r="488" s="87" customFormat="1" x14ac:dyDescent="0.3"/>
    <row r="489" s="87" customFormat="1" x14ac:dyDescent="0.3"/>
    <row r="490" s="87" customFormat="1" x14ac:dyDescent="0.3"/>
    <row r="491" s="87" customFormat="1" x14ac:dyDescent="0.3"/>
    <row r="492" s="87" customFormat="1" x14ac:dyDescent="0.3"/>
    <row r="493" s="87" customFormat="1" x14ac:dyDescent="0.3"/>
    <row r="494" s="87" customFormat="1" x14ac:dyDescent="0.3"/>
    <row r="495" s="87" customFormat="1" x14ac:dyDescent="0.3"/>
    <row r="496" s="87" customFormat="1" x14ac:dyDescent="0.3"/>
    <row r="497" s="87" customFormat="1" x14ac:dyDescent="0.3"/>
    <row r="498" s="87" customFormat="1" x14ac:dyDescent="0.3"/>
    <row r="499" s="87" customFormat="1" x14ac:dyDescent="0.3"/>
    <row r="500" s="87" customFormat="1" x14ac:dyDescent="0.3"/>
    <row r="501" s="87" customFormat="1" x14ac:dyDescent="0.3"/>
    <row r="502" s="87" customFormat="1" x14ac:dyDescent="0.3"/>
    <row r="503" s="87" customFormat="1" x14ac:dyDescent="0.3"/>
    <row r="504" s="87" customFormat="1" x14ac:dyDescent="0.3"/>
    <row r="505" s="87" customFormat="1" x14ac:dyDescent="0.3"/>
    <row r="506" s="87" customFormat="1" x14ac:dyDescent="0.3"/>
    <row r="507" s="87" customFormat="1" x14ac:dyDescent="0.3"/>
    <row r="508" s="87" customFormat="1" x14ac:dyDescent="0.3"/>
    <row r="509" s="87" customFormat="1" x14ac:dyDescent="0.3"/>
    <row r="510" s="87" customFormat="1" x14ac:dyDescent="0.3"/>
    <row r="511" s="87" customFormat="1" x14ac:dyDescent="0.3"/>
    <row r="512" s="87" customFormat="1" x14ac:dyDescent="0.3"/>
    <row r="513" s="87" customFormat="1" x14ac:dyDescent="0.3"/>
    <row r="514" s="87" customFormat="1" x14ac:dyDescent="0.3"/>
    <row r="515" s="87" customFormat="1" x14ac:dyDescent="0.3"/>
    <row r="516" s="87" customFormat="1" x14ac:dyDescent="0.3"/>
    <row r="517" s="87" customFormat="1" x14ac:dyDescent="0.3"/>
    <row r="518" s="87" customFormat="1" x14ac:dyDescent="0.3"/>
    <row r="519" s="87" customFormat="1" x14ac:dyDescent="0.3"/>
    <row r="520" s="87" customFormat="1" x14ac:dyDescent="0.3"/>
    <row r="521" s="87" customFormat="1" x14ac:dyDescent="0.3"/>
    <row r="522" s="87" customFormat="1" x14ac:dyDescent="0.3"/>
    <row r="523" s="87" customFormat="1" x14ac:dyDescent="0.3"/>
    <row r="524" s="87" customFormat="1" x14ac:dyDescent="0.3"/>
    <row r="525" s="87" customFormat="1" x14ac:dyDescent="0.3"/>
    <row r="526" s="87" customFormat="1" x14ac:dyDescent="0.3"/>
    <row r="527" s="87" customFormat="1" x14ac:dyDescent="0.3"/>
    <row r="528" s="87" customFormat="1" x14ac:dyDescent="0.3"/>
    <row r="529" s="87" customFormat="1" x14ac:dyDescent="0.3"/>
    <row r="530" s="87" customFormat="1" x14ac:dyDescent="0.3"/>
    <row r="531" s="87" customFormat="1" x14ac:dyDescent="0.3"/>
    <row r="532" s="87" customFormat="1" x14ac:dyDescent="0.3"/>
    <row r="533" s="87" customFormat="1" x14ac:dyDescent="0.3"/>
    <row r="534" s="87" customFormat="1" x14ac:dyDescent="0.3"/>
    <row r="535" s="87" customFormat="1" x14ac:dyDescent="0.3"/>
    <row r="536" s="87" customFormat="1" x14ac:dyDescent="0.3"/>
    <row r="537" s="87" customFormat="1" x14ac:dyDescent="0.3"/>
    <row r="538" s="87" customFormat="1" x14ac:dyDescent="0.3"/>
    <row r="539" s="87" customFormat="1" x14ac:dyDescent="0.3"/>
    <row r="540" s="87" customFormat="1" x14ac:dyDescent="0.3"/>
    <row r="541" s="87" customFormat="1" x14ac:dyDescent="0.3"/>
    <row r="542" s="87" customFormat="1" x14ac:dyDescent="0.3"/>
    <row r="543" s="87" customFormat="1" x14ac:dyDescent="0.3"/>
    <row r="544" s="87" customFormat="1" x14ac:dyDescent="0.3"/>
    <row r="545" s="87" customFormat="1" x14ac:dyDescent="0.3"/>
    <row r="546" s="87" customFormat="1" x14ac:dyDescent="0.3"/>
    <row r="547" s="87" customFormat="1" x14ac:dyDescent="0.3"/>
    <row r="548" s="87" customFormat="1" x14ac:dyDescent="0.3"/>
    <row r="549" s="87" customFormat="1" x14ac:dyDescent="0.3"/>
    <row r="550" s="87" customFormat="1" x14ac:dyDescent="0.3"/>
    <row r="551" s="87" customFormat="1" x14ac:dyDescent="0.3"/>
    <row r="552" s="87" customFormat="1" x14ac:dyDescent="0.3"/>
    <row r="553" s="87" customFormat="1" x14ac:dyDescent="0.3"/>
    <row r="554" s="87" customFormat="1" x14ac:dyDescent="0.3"/>
    <row r="555" s="87" customFormat="1" x14ac:dyDescent="0.3"/>
    <row r="556" s="87" customFormat="1" x14ac:dyDescent="0.3"/>
    <row r="557" s="87" customFormat="1" x14ac:dyDescent="0.3"/>
    <row r="558" s="87" customFormat="1" x14ac:dyDescent="0.3"/>
    <row r="559" s="87" customFormat="1" x14ac:dyDescent="0.3"/>
    <row r="560" s="87" customFormat="1" x14ac:dyDescent="0.3"/>
    <row r="561" s="87" customFormat="1" x14ac:dyDescent="0.3"/>
    <row r="562" s="87" customFormat="1" x14ac:dyDescent="0.3"/>
    <row r="563" s="87" customFormat="1" x14ac:dyDescent="0.3"/>
    <row r="564" s="87" customFormat="1" x14ac:dyDescent="0.3"/>
    <row r="565" s="87" customFormat="1" x14ac:dyDescent="0.3"/>
    <row r="566" s="87" customFormat="1" x14ac:dyDescent="0.3"/>
    <row r="567" s="87" customFormat="1" x14ac:dyDescent="0.3"/>
    <row r="568" s="87" customFormat="1" x14ac:dyDescent="0.3"/>
    <row r="569" s="87" customFormat="1" x14ac:dyDescent="0.3"/>
    <row r="570" s="87" customFormat="1" x14ac:dyDescent="0.3"/>
    <row r="571" s="87" customFormat="1" x14ac:dyDescent="0.3"/>
    <row r="572" s="87" customFormat="1" x14ac:dyDescent="0.3"/>
    <row r="573" s="87" customFormat="1" x14ac:dyDescent="0.3"/>
    <row r="574" s="87" customFormat="1" x14ac:dyDescent="0.3"/>
    <row r="575" s="87" customFormat="1" x14ac:dyDescent="0.3"/>
    <row r="576" s="87" customFormat="1" x14ac:dyDescent="0.3"/>
    <row r="577" s="87" customFormat="1" x14ac:dyDescent="0.3"/>
    <row r="578" s="87" customFormat="1" x14ac:dyDescent="0.3"/>
    <row r="579" s="87" customFormat="1" x14ac:dyDescent="0.3"/>
    <row r="580" s="87" customFormat="1" x14ac:dyDescent="0.3"/>
    <row r="581" s="87" customFormat="1" x14ac:dyDescent="0.3"/>
    <row r="582" s="87" customFormat="1" x14ac:dyDescent="0.3"/>
    <row r="583" s="87" customFormat="1" x14ac:dyDescent="0.3"/>
    <row r="584" s="87" customFormat="1" x14ac:dyDescent="0.3"/>
    <row r="585" s="87" customFormat="1" x14ac:dyDescent="0.3"/>
    <row r="586" s="87" customFormat="1" x14ac:dyDescent="0.3"/>
    <row r="587" s="87" customFormat="1" x14ac:dyDescent="0.3"/>
    <row r="588" s="87" customFormat="1" x14ac:dyDescent="0.3"/>
    <row r="589" s="87" customFormat="1" x14ac:dyDescent="0.3"/>
    <row r="590" s="87" customFormat="1" x14ac:dyDescent="0.3"/>
    <row r="591" s="87" customFormat="1" x14ac:dyDescent="0.3"/>
    <row r="592" s="87" customFormat="1" x14ac:dyDescent="0.3"/>
    <row r="593" s="87" customFormat="1" x14ac:dyDescent="0.3"/>
    <row r="594" s="87" customFormat="1" x14ac:dyDescent="0.3"/>
    <row r="595" s="87" customFormat="1" x14ac:dyDescent="0.3"/>
    <row r="596" s="87" customFormat="1" x14ac:dyDescent="0.3"/>
    <row r="597" s="87" customFormat="1" x14ac:dyDescent="0.3"/>
    <row r="598" s="87" customFormat="1" x14ac:dyDescent="0.3"/>
    <row r="599" s="87" customFormat="1" x14ac:dyDescent="0.3"/>
    <row r="600" s="87" customFormat="1" x14ac:dyDescent="0.3"/>
    <row r="601" s="87" customFormat="1" x14ac:dyDescent="0.3"/>
    <row r="602" s="87" customFormat="1" x14ac:dyDescent="0.3"/>
    <row r="603" s="87" customFormat="1" x14ac:dyDescent="0.3"/>
    <row r="604" s="87" customFormat="1" x14ac:dyDescent="0.3"/>
    <row r="605" s="87" customFormat="1" x14ac:dyDescent="0.3"/>
    <row r="606" s="87" customFormat="1" x14ac:dyDescent="0.3"/>
    <row r="607" s="87" customFormat="1" x14ac:dyDescent="0.3"/>
    <row r="608" s="87" customFormat="1" x14ac:dyDescent="0.3"/>
    <row r="609" s="87" customFormat="1" x14ac:dyDescent="0.3"/>
    <row r="610" s="87" customFormat="1" x14ac:dyDescent="0.3"/>
    <row r="611" s="87" customFormat="1" x14ac:dyDescent="0.3"/>
    <row r="612" s="87" customFormat="1" x14ac:dyDescent="0.3"/>
    <row r="613" s="87" customFormat="1" x14ac:dyDescent="0.3"/>
    <row r="614" s="87" customFormat="1" x14ac:dyDescent="0.3"/>
    <row r="615" s="87" customFormat="1" x14ac:dyDescent="0.3"/>
    <row r="616" s="87" customFormat="1" x14ac:dyDescent="0.3"/>
    <row r="617" s="87" customFormat="1" x14ac:dyDescent="0.3"/>
    <row r="618" s="87" customFormat="1" x14ac:dyDescent="0.3"/>
    <row r="619" s="87" customFormat="1" x14ac:dyDescent="0.3"/>
    <row r="620" s="87" customFormat="1" x14ac:dyDescent="0.3"/>
    <row r="621" s="87" customFormat="1" x14ac:dyDescent="0.3"/>
    <row r="622" s="87" customFormat="1" x14ac:dyDescent="0.3"/>
    <row r="623" s="87" customFormat="1" x14ac:dyDescent="0.3"/>
    <row r="624" s="87" customFormat="1" x14ac:dyDescent="0.3"/>
    <row r="625" s="87" customFormat="1" x14ac:dyDescent="0.3"/>
    <row r="626" s="87" customFormat="1" x14ac:dyDescent="0.3"/>
    <row r="627" s="87" customFormat="1" x14ac:dyDescent="0.3"/>
    <row r="628" s="87" customFormat="1" x14ac:dyDescent="0.3"/>
    <row r="629" s="87" customFormat="1" x14ac:dyDescent="0.3"/>
    <row r="630" s="87" customFormat="1" x14ac:dyDescent="0.3"/>
    <row r="631" s="87" customFormat="1" x14ac:dyDescent="0.3"/>
    <row r="632" s="87" customFormat="1" x14ac:dyDescent="0.3"/>
    <row r="633" s="87" customFormat="1" x14ac:dyDescent="0.3"/>
    <row r="634" s="87" customFormat="1" x14ac:dyDescent="0.3"/>
    <row r="635" s="87" customFormat="1" x14ac:dyDescent="0.3"/>
    <row r="636" s="87" customFormat="1" x14ac:dyDescent="0.3"/>
    <row r="637" s="87" customFormat="1" x14ac:dyDescent="0.3"/>
    <row r="638" s="87" customFormat="1" x14ac:dyDescent="0.3"/>
    <row r="639" s="87" customFormat="1" x14ac:dyDescent="0.3"/>
    <row r="640" s="87" customFormat="1" x14ac:dyDescent="0.3"/>
    <row r="641" s="87" customFormat="1" x14ac:dyDescent="0.3"/>
    <row r="642" s="87" customFormat="1" x14ac:dyDescent="0.3"/>
    <row r="643" s="87" customFormat="1" x14ac:dyDescent="0.3"/>
    <row r="644" s="87" customFormat="1" x14ac:dyDescent="0.3"/>
    <row r="645" s="87" customFormat="1" x14ac:dyDescent="0.3"/>
    <row r="646" s="87" customFormat="1" x14ac:dyDescent="0.3"/>
    <row r="647" s="87" customFormat="1" x14ac:dyDescent="0.3"/>
    <row r="648" s="87" customFormat="1" x14ac:dyDescent="0.3"/>
    <row r="649" s="87" customFormat="1" x14ac:dyDescent="0.3"/>
    <row r="650" s="87" customFormat="1" x14ac:dyDescent="0.3"/>
    <row r="651" s="87" customFormat="1" x14ac:dyDescent="0.3"/>
    <row r="652" s="87" customFormat="1" x14ac:dyDescent="0.3"/>
    <row r="653" s="87" customFormat="1" x14ac:dyDescent="0.3"/>
    <row r="654" s="87" customFormat="1" x14ac:dyDescent="0.3"/>
    <row r="655" s="87" customFormat="1" x14ac:dyDescent="0.3"/>
    <row r="656" s="87" customFormat="1" x14ac:dyDescent="0.3"/>
    <row r="657" s="87" customFormat="1" x14ac:dyDescent="0.3"/>
    <row r="658" s="87" customFormat="1" x14ac:dyDescent="0.3"/>
    <row r="659" s="87" customFormat="1" x14ac:dyDescent="0.3"/>
    <row r="660" s="87" customFormat="1" x14ac:dyDescent="0.3"/>
    <row r="661" s="87" customFormat="1" x14ac:dyDescent="0.3"/>
    <row r="662" s="87" customFormat="1" x14ac:dyDescent="0.3"/>
    <row r="663" s="87" customFormat="1" x14ac:dyDescent="0.3"/>
    <row r="664" s="87" customFormat="1" x14ac:dyDescent="0.3"/>
    <row r="665" s="87" customFormat="1" x14ac:dyDescent="0.3"/>
    <row r="666" s="87" customFormat="1" x14ac:dyDescent="0.3"/>
    <row r="667" s="87" customFormat="1" x14ac:dyDescent="0.3"/>
    <row r="668" s="87" customFormat="1" x14ac:dyDescent="0.3"/>
    <row r="669" s="87" customFormat="1" x14ac:dyDescent="0.3"/>
    <row r="670" s="87" customFormat="1" x14ac:dyDescent="0.3"/>
    <row r="671" s="87" customFormat="1" x14ac:dyDescent="0.3"/>
    <row r="672" s="87" customFormat="1" x14ac:dyDescent="0.3"/>
    <row r="673" s="87" customFormat="1" x14ac:dyDescent="0.3"/>
    <row r="674" s="87" customFormat="1" x14ac:dyDescent="0.3"/>
    <row r="675" s="87" customFormat="1" x14ac:dyDescent="0.3"/>
    <row r="676" s="87" customFormat="1" x14ac:dyDescent="0.3"/>
    <row r="677" s="87" customFormat="1" x14ac:dyDescent="0.3"/>
    <row r="678" s="87" customFormat="1" x14ac:dyDescent="0.3"/>
    <row r="679" s="87" customFormat="1" x14ac:dyDescent="0.3"/>
    <row r="680" s="87" customFormat="1" x14ac:dyDescent="0.3"/>
    <row r="681" s="87" customFormat="1" x14ac:dyDescent="0.3"/>
    <row r="682" s="87" customFormat="1" x14ac:dyDescent="0.3"/>
    <row r="683" s="87" customFormat="1" x14ac:dyDescent="0.3"/>
    <row r="684" s="87" customFormat="1" x14ac:dyDescent="0.3"/>
    <row r="685" s="87" customFormat="1" x14ac:dyDescent="0.3"/>
    <row r="686" s="87" customFormat="1" x14ac:dyDescent="0.3"/>
    <row r="687" s="87" customFormat="1" x14ac:dyDescent="0.3"/>
    <row r="688" s="87" customFormat="1" x14ac:dyDescent="0.3"/>
    <row r="689" s="87" customFormat="1" x14ac:dyDescent="0.3"/>
    <row r="690" s="87" customFormat="1" x14ac:dyDescent="0.3"/>
    <row r="691" s="87" customFormat="1" x14ac:dyDescent="0.3"/>
    <row r="692" s="87" customFormat="1" x14ac:dyDescent="0.3"/>
    <row r="693" s="87" customFormat="1" x14ac:dyDescent="0.3"/>
    <row r="694" s="87" customFormat="1" x14ac:dyDescent="0.3"/>
    <row r="695" s="87" customFormat="1" x14ac:dyDescent="0.3"/>
    <row r="696" s="87" customFormat="1" x14ac:dyDescent="0.3"/>
    <row r="697" s="87" customFormat="1" x14ac:dyDescent="0.3"/>
    <row r="698" s="87" customFormat="1" x14ac:dyDescent="0.3"/>
    <row r="699" s="87" customFormat="1" x14ac:dyDescent="0.3"/>
    <row r="700" s="87" customFormat="1" x14ac:dyDescent="0.3"/>
    <row r="701" s="87" customFormat="1" x14ac:dyDescent="0.3"/>
    <row r="702" s="87" customFormat="1" x14ac:dyDescent="0.3"/>
    <row r="703" s="87" customFormat="1" x14ac:dyDescent="0.3"/>
    <row r="704" s="87" customFormat="1" x14ac:dyDescent="0.3"/>
    <row r="705" s="87" customFormat="1" x14ac:dyDescent="0.3"/>
    <row r="706" s="87" customFormat="1" x14ac:dyDescent="0.3"/>
    <row r="707" s="87" customFormat="1" x14ac:dyDescent="0.3"/>
    <row r="708" s="87" customFormat="1" x14ac:dyDescent="0.3"/>
    <row r="709" s="87" customFormat="1" x14ac:dyDescent="0.3"/>
    <row r="710" s="87" customFormat="1" x14ac:dyDescent="0.3"/>
    <row r="711" s="87" customFormat="1" x14ac:dyDescent="0.3"/>
    <row r="712" s="87" customFormat="1" x14ac:dyDescent="0.3"/>
    <row r="713" s="87" customFormat="1" x14ac:dyDescent="0.3"/>
    <row r="714" s="87" customFormat="1" x14ac:dyDescent="0.3"/>
    <row r="715" s="87" customFormat="1" x14ac:dyDescent="0.3"/>
    <row r="716" s="87" customFormat="1" x14ac:dyDescent="0.3"/>
    <row r="717" s="87" customFormat="1" x14ac:dyDescent="0.3"/>
    <row r="718" s="87" customFormat="1" x14ac:dyDescent="0.3"/>
    <row r="719" s="87" customFormat="1" x14ac:dyDescent="0.3"/>
    <row r="720" s="87" customFormat="1" x14ac:dyDescent="0.3"/>
    <row r="721" s="87" customFormat="1" x14ac:dyDescent="0.3"/>
    <row r="722" s="87" customFormat="1" x14ac:dyDescent="0.3"/>
    <row r="723" s="87" customFormat="1" x14ac:dyDescent="0.3"/>
    <row r="724" s="87" customFormat="1" x14ac:dyDescent="0.3"/>
    <row r="725" s="87" customFormat="1" x14ac:dyDescent="0.3"/>
    <row r="726" s="87" customFormat="1" x14ac:dyDescent="0.3"/>
    <row r="727" s="87" customFormat="1" x14ac:dyDescent="0.3"/>
    <row r="728" s="87" customFormat="1" x14ac:dyDescent="0.3"/>
    <row r="729" s="87" customFormat="1" x14ac:dyDescent="0.3"/>
    <row r="730" s="87" customFormat="1" x14ac:dyDescent="0.3"/>
    <row r="731" s="87" customFormat="1" x14ac:dyDescent="0.3"/>
    <row r="732" s="87" customFormat="1" x14ac:dyDescent="0.3"/>
    <row r="733" s="87" customFormat="1" x14ac:dyDescent="0.3"/>
    <row r="734" s="87" customFormat="1" x14ac:dyDescent="0.3"/>
    <row r="735" s="87" customFormat="1" x14ac:dyDescent="0.3"/>
    <row r="736" s="87" customFormat="1" x14ac:dyDescent="0.3"/>
    <row r="737" s="87" customFormat="1" x14ac:dyDescent="0.3"/>
    <row r="738" s="87" customFormat="1" x14ac:dyDescent="0.3"/>
    <row r="739" s="87" customFormat="1" x14ac:dyDescent="0.3"/>
    <row r="740" s="87" customFormat="1" x14ac:dyDescent="0.3"/>
    <row r="741" s="87" customFormat="1" x14ac:dyDescent="0.3"/>
    <row r="742" s="87" customFormat="1" x14ac:dyDescent="0.3"/>
    <row r="743" s="87" customFormat="1" x14ac:dyDescent="0.3"/>
    <row r="744" s="87" customFormat="1" x14ac:dyDescent="0.3"/>
    <row r="745" s="87" customFormat="1" x14ac:dyDescent="0.3"/>
    <row r="746" s="87" customFormat="1" x14ac:dyDescent="0.3"/>
    <row r="747" s="87" customFormat="1" x14ac:dyDescent="0.3"/>
    <row r="748" s="87" customFormat="1" x14ac:dyDescent="0.3"/>
    <row r="749" s="87" customFormat="1" x14ac:dyDescent="0.3"/>
    <row r="750" s="87" customFormat="1" x14ac:dyDescent="0.3"/>
    <row r="751" s="87" customFormat="1" x14ac:dyDescent="0.3"/>
    <row r="752" s="87" customFormat="1" x14ac:dyDescent="0.3"/>
    <row r="753" s="87" customFormat="1" x14ac:dyDescent="0.3"/>
    <row r="754" s="87" customFormat="1" x14ac:dyDescent="0.3"/>
    <row r="755" s="87" customFormat="1" x14ac:dyDescent="0.3"/>
    <row r="756" s="87" customFormat="1" x14ac:dyDescent="0.3"/>
    <row r="757" s="87" customFormat="1" x14ac:dyDescent="0.3"/>
    <row r="758" s="87" customFormat="1" x14ac:dyDescent="0.3"/>
    <row r="759" s="87" customFormat="1" x14ac:dyDescent="0.3"/>
    <row r="760" s="87" customFormat="1" x14ac:dyDescent="0.3"/>
    <row r="761" s="87" customFormat="1" x14ac:dyDescent="0.3"/>
    <row r="762" s="87" customFormat="1" x14ac:dyDescent="0.3"/>
    <row r="763" s="87" customFormat="1" x14ac:dyDescent="0.3"/>
    <row r="764" s="87" customFormat="1" x14ac:dyDescent="0.3"/>
    <row r="765" s="87" customFormat="1" x14ac:dyDescent="0.3"/>
    <row r="766" s="87" customFormat="1" x14ac:dyDescent="0.3"/>
    <row r="767" s="87" customFormat="1" x14ac:dyDescent="0.3"/>
    <row r="768" s="87" customFormat="1" x14ac:dyDescent="0.3"/>
    <row r="769" s="87" customFormat="1" x14ac:dyDescent="0.3"/>
    <row r="770" s="87" customFormat="1" x14ac:dyDescent="0.3"/>
    <row r="771" s="87" customFormat="1" x14ac:dyDescent="0.3"/>
    <row r="772" s="87" customFormat="1" x14ac:dyDescent="0.3"/>
    <row r="773" s="87" customFormat="1" x14ac:dyDescent="0.3"/>
    <row r="774" s="87" customFormat="1" x14ac:dyDescent="0.3"/>
    <row r="775" s="87" customFormat="1" x14ac:dyDescent="0.3"/>
    <row r="776" s="87" customFormat="1" x14ac:dyDescent="0.3"/>
    <row r="777" s="87" customFormat="1" x14ac:dyDescent="0.3"/>
    <row r="778" s="87" customFormat="1" x14ac:dyDescent="0.3"/>
    <row r="779" s="87" customFormat="1" x14ac:dyDescent="0.3"/>
    <row r="780" s="87" customFormat="1" x14ac:dyDescent="0.3"/>
    <row r="781" s="87" customFormat="1" x14ac:dyDescent="0.3"/>
    <row r="782" s="87" customFormat="1" x14ac:dyDescent="0.3"/>
    <row r="783" s="87" customFormat="1" x14ac:dyDescent="0.3"/>
    <row r="784" s="87" customFormat="1" x14ac:dyDescent="0.3"/>
    <row r="785" s="87" customFormat="1" x14ac:dyDescent="0.3"/>
    <row r="786" s="87" customFormat="1" x14ac:dyDescent="0.3"/>
    <row r="787" s="87" customFormat="1" x14ac:dyDescent="0.3"/>
    <row r="788" s="87" customFormat="1" x14ac:dyDescent="0.3"/>
    <row r="789" s="87" customFormat="1" x14ac:dyDescent="0.3"/>
    <row r="790" s="87" customFormat="1" x14ac:dyDescent="0.3"/>
    <row r="791" s="87" customFormat="1" x14ac:dyDescent="0.3"/>
    <row r="792" s="87" customFormat="1" x14ac:dyDescent="0.3"/>
    <row r="793" s="87" customFormat="1" x14ac:dyDescent="0.3"/>
    <row r="794" s="87" customFormat="1" x14ac:dyDescent="0.3"/>
    <row r="795" s="87" customFormat="1" x14ac:dyDescent="0.3"/>
    <row r="796" s="87" customFormat="1" x14ac:dyDescent="0.3"/>
    <row r="797" s="87" customFormat="1" x14ac:dyDescent="0.3"/>
    <row r="798" s="87" customFormat="1" x14ac:dyDescent="0.3"/>
    <row r="799" s="87" customFormat="1" x14ac:dyDescent="0.3"/>
    <row r="800" s="87" customFormat="1" x14ac:dyDescent="0.3"/>
    <row r="801" s="87" customFormat="1" x14ac:dyDescent="0.3"/>
    <row r="802" s="87" customFormat="1" x14ac:dyDescent="0.3"/>
    <row r="803" s="87" customFormat="1" x14ac:dyDescent="0.3"/>
    <row r="804" s="87" customFormat="1" x14ac:dyDescent="0.3"/>
    <row r="805" s="87" customFormat="1" x14ac:dyDescent="0.3"/>
    <row r="806" s="87" customFormat="1" x14ac:dyDescent="0.3"/>
    <row r="807" s="87" customFormat="1" x14ac:dyDescent="0.3"/>
    <row r="808" s="87" customFormat="1" x14ac:dyDescent="0.3"/>
    <row r="809" s="87" customFormat="1" x14ac:dyDescent="0.3"/>
    <row r="810" s="87" customFormat="1" x14ac:dyDescent="0.3"/>
    <row r="811" s="87" customFormat="1" x14ac:dyDescent="0.3"/>
    <row r="812" s="87" customFormat="1" x14ac:dyDescent="0.3"/>
    <row r="813" s="87" customFormat="1" x14ac:dyDescent="0.3"/>
    <row r="814" s="87" customFormat="1" x14ac:dyDescent="0.3"/>
    <row r="815" s="87" customFormat="1" x14ac:dyDescent="0.3"/>
    <row r="816" s="87" customFormat="1" x14ac:dyDescent="0.3"/>
    <row r="817" s="87" customFormat="1" x14ac:dyDescent="0.3"/>
    <row r="818" s="87" customFormat="1" x14ac:dyDescent="0.3"/>
    <row r="819" s="87" customFormat="1" x14ac:dyDescent="0.3"/>
    <row r="820" s="87" customFormat="1" x14ac:dyDescent="0.3"/>
    <row r="821" s="87" customFormat="1" x14ac:dyDescent="0.3"/>
    <row r="822" s="87" customFormat="1" x14ac:dyDescent="0.3"/>
    <row r="823" s="87" customFormat="1" x14ac:dyDescent="0.3"/>
    <row r="824" s="87" customFormat="1" x14ac:dyDescent="0.3"/>
    <row r="825" s="87" customFormat="1" x14ac:dyDescent="0.3"/>
    <row r="826" s="87" customFormat="1" x14ac:dyDescent="0.3"/>
    <row r="827" s="87" customFormat="1" x14ac:dyDescent="0.3"/>
    <row r="828" s="87" customFormat="1" x14ac:dyDescent="0.3"/>
    <row r="829" s="87" customFormat="1" x14ac:dyDescent="0.3"/>
    <row r="830" s="87" customFormat="1" x14ac:dyDescent="0.3"/>
    <row r="831" s="87" customFormat="1" x14ac:dyDescent="0.3"/>
    <row r="832" s="87" customFormat="1" x14ac:dyDescent="0.3"/>
    <row r="833" s="87" customFormat="1" x14ac:dyDescent="0.3"/>
    <row r="834" s="87" customFormat="1" x14ac:dyDescent="0.3"/>
    <row r="835" s="87" customFormat="1" x14ac:dyDescent="0.3"/>
    <row r="836" s="87" customFormat="1" x14ac:dyDescent="0.3"/>
    <row r="837" s="87" customFormat="1" x14ac:dyDescent="0.3"/>
    <row r="838" s="87" customFormat="1" x14ac:dyDescent="0.3"/>
    <row r="839" s="87" customFormat="1" x14ac:dyDescent="0.3"/>
    <row r="840" s="87" customFormat="1" x14ac:dyDescent="0.3"/>
    <row r="841" s="87" customFormat="1" x14ac:dyDescent="0.3"/>
    <row r="842" s="87" customFormat="1" x14ac:dyDescent="0.3"/>
    <row r="843" s="87" customFormat="1" x14ac:dyDescent="0.3"/>
    <row r="844" s="87" customFormat="1" x14ac:dyDescent="0.3"/>
    <row r="845" s="87" customFormat="1" x14ac:dyDescent="0.3"/>
    <row r="846" s="87" customFormat="1" x14ac:dyDescent="0.3"/>
    <row r="847" s="87" customFormat="1" x14ac:dyDescent="0.3"/>
    <row r="848" s="87" customFormat="1" x14ac:dyDescent="0.3"/>
    <row r="849" s="87" customFormat="1" x14ac:dyDescent="0.3"/>
    <row r="850" s="87" customFormat="1" x14ac:dyDescent="0.3"/>
    <row r="851" s="87" customFormat="1" x14ac:dyDescent="0.3"/>
    <row r="852" s="87" customFormat="1" x14ac:dyDescent="0.3"/>
    <row r="853" s="87" customFormat="1" x14ac:dyDescent="0.3"/>
    <row r="854" s="87" customFormat="1" x14ac:dyDescent="0.3"/>
    <row r="855" s="87" customFormat="1" x14ac:dyDescent="0.3"/>
    <row r="856" s="87" customFormat="1" x14ac:dyDescent="0.3"/>
    <row r="857" s="87" customFormat="1" x14ac:dyDescent="0.3"/>
    <row r="858" s="87" customFormat="1" x14ac:dyDescent="0.3"/>
    <row r="859" s="87" customFormat="1" x14ac:dyDescent="0.3"/>
    <row r="860" s="87" customFormat="1" x14ac:dyDescent="0.3"/>
    <row r="861" s="87" customFormat="1" x14ac:dyDescent="0.3"/>
    <row r="862" s="87" customFormat="1" x14ac:dyDescent="0.3"/>
    <row r="863" s="87" customFormat="1" x14ac:dyDescent="0.3"/>
    <row r="864" s="87" customFormat="1" x14ac:dyDescent="0.3"/>
    <row r="865" s="87" customFormat="1" x14ac:dyDescent="0.3"/>
    <row r="866" s="87" customFormat="1" x14ac:dyDescent="0.3"/>
    <row r="867" s="87" customFormat="1" x14ac:dyDescent="0.3"/>
    <row r="868" s="87" customFormat="1" x14ac:dyDescent="0.3"/>
    <row r="869" s="87" customFormat="1" x14ac:dyDescent="0.3"/>
    <row r="870" s="87" customFormat="1" x14ac:dyDescent="0.3"/>
    <row r="871" s="87" customFormat="1" x14ac:dyDescent="0.3"/>
    <row r="872" s="87" customFormat="1" x14ac:dyDescent="0.3"/>
    <row r="873" s="87" customFormat="1" x14ac:dyDescent="0.3"/>
    <row r="874" s="87" customFormat="1" x14ac:dyDescent="0.3"/>
    <row r="875" s="87" customFormat="1" x14ac:dyDescent="0.3"/>
    <row r="876" s="87" customFormat="1" x14ac:dyDescent="0.3"/>
    <row r="877" s="87" customFormat="1" x14ac:dyDescent="0.3"/>
    <row r="878" s="87" customFormat="1" x14ac:dyDescent="0.3"/>
    <row r="879" s="87" customFormat="1" x14ac:dyDescent="0.3"/>
    <row r="880" s="87" customFormat="1" x14ac:dyDescent="0.3"/>
    <row r="881" s="87" customFormat="1" x14ac:dyDescent="0.3"/>
    <row r="882" s="87" customFormat="1" x14ac:dyDescent="0.3"/>
    <row r="883" s="87" customFormat="1" x14ac:dyDescent="0.3"/>
    <row r="884" s="87" customFormat="1" x14ac:dyDescent="0.3"/>
    <row r="885" s="87" customFormat="1" x14ac:dyDescent="0.3"/>
    <row r="886" s="87" customFormat="1" x14ac:dyDescent="0.3"/>
    <row r="887" s="87" customFormat="1" x14ac:dyDescent="0.3"/>
    <row r="888" s="87" customFormat="1" x14ac:dyDescent="0.3"/>
    <row r="889" s="87" customFormat="1" x14ac:dyDescent="0.3"/>
    <row r="890" s="87" customFormat="1" x14ac:dyDescent="0.3"/>
    <row r="891" s="87" customFormat="1" x14ac:dyDescent="0.3"/>
    <row r="892" s="87" customFormat="1" x14ac:dyDescent="0.3"/>
    <row r="893" s="87" customFormat="1" x14ac:dyDescent="0.3"/>
    <row r="894" s="87" customFormat="1" x14ac:dyDescent="0.3"/>
    <row r="895" s="87" customFormat="1" x14ac:dyDescent="0.3"/>
    <row r="896" s="87" customFormat="1" x14ac:dyDescent="0.3"/>
    <row r="897" s="87" customFormat="1" x14ac:dyDescent="0.3"/>
    <row r="898" s="87" customFormat="1" x14ac:dyDescent="0.3"/>
    <row r="899" s="87" customFormat="1" x14ac:dyDescent="0.3"/>
    <row r="900" s="87" customFormat="1" x14ac:dyDescent="0.3"/>
    <row r="901" s="87" customFormat="1" x14ac:dyDescent="0.3"/>
    <row r="902" s="87" customFormat="1" x14ac:dyDescent="0.3"/>
    <row r="903" s="87" customFormat="1" x14ac:dyDescent="0.3"/>
    <row r="904" s="87" customFormat="1" x14ac:dyDescent="0.3"/>
    <row r="905" s="87" customFormat="1" x14ac:dyDescent="0.3"/>
    <row r="906" s="87" customFormat="1" x14ac:dyDescent="0.3"/>
    <row r="907" s="87" customFormat="1" x14ac:dyDescent="0.3"/>
    <row r="908" s="87" customFormat="1" x14ac:dyDescent="0.3"/>
    <row r="909" s="87" customFormat="1" x14ac:dyDescent="0.3"/>
    <row r="910" s="87" customFormat="1" x14ac:dyDescent="0.3"/>
    <row r="911" s="87" customFormat="1" x14ac:dyDescent="0.3"/>
    <row r="912" s="87" customFormat="1" x14ac:dyDescent="0.3"/>
    <row r="913" s="87" customFormat="1" x14ac:dyDescent="0.3"/>
    <row r="914" s="87" customFormat="1" x14ac:dyDescent="0.3"/>
    <row r="915" s="87" customFormat="1" x14ac:dyDescent="0.3"/>
    <row r="916" s="87" customFormat="1" x14ac:dyDescent="0.3"/>
    <row r="917" s="87" customFormat="1" x14ac:dyDescent="0.3"/>
    <row r="918" s="87" customFormat="1" x14ac:dyDescent="0.3"/>
    <row r="919" s="87" customFormat="1" x14ac:dyDescent="0.3"/>
    <row r="920" s="87" customFormat="1" x14ac:dyDescent="0.3"/>
    <row r="921" s="87" customFormat="1" x14ac:dyDescent="0.3"/>
    <row r="922" s="87" customFormat="1" x14ac:dyDescent="0.3"/>
    <row r="923" s="87" customFormat="1" x14ac:dyDescent="0.3"/>
    <row r="924" s="87" customFormat="1" x14ac:dyDescent="0.3"/>
    <row r="925" s="87" customFormat="1" x14ac:dyDescent="0.3"/>
    <row r="926" s="87" customFormat="1" x14ac:dyDescent="0.3"/>
    <row r="927" s="87" customFormat="1" x14ac:dyDescent="0.3"/>
    <row r="928" s="87" customFormat="1" x14ac:dyDescent="0.3"/>
    <row r="929" s="87" customFormat="1" x14ac:dyDescent="0.3"/>
    <row r="930" s="87" customFormat="1" x14ac:dyDescent="0.3"/>
    <row r="931" s="87" customFormat="1" x14ac:dyDescent="0.3"/>
    <row r="932" s="87" customFormat="1" x14ac:dyDescent="0.3"/>
    <row r="933" s="87" customFormat="1" x14ac:dyDescent="0.3"/>
    <row r="934" s="87" customFormat="1" x14ac:dyDescent="0.3"/>
    <row r="935" s="87" customFormat="1" x14ac:dyDescent="0.3"/>
    <row r="936" s="87" customFormat="1" x14ac:dyDescent="0.3"/>
    <row r="937" s="87" customFormat="1" x14ac:dyDescent="0.3"/>
    <row r="938" s="87" customFormat="1" x14ac:dyDescent="0.3"/>
    <row r="939" s="87" customFormat="1" x14ac:dyDescent="0.3"/>
    <row r="940" s="87" customFormat="1" x14ac:dyDescent="0.3"/>
    <row r="941" s="87" customFormat="1" x14ac:dyDescent="0.3"/>
    <row r="942" s="87" customFormat="1" x14ac:dyDescent="0.3"/>
  </sheetData>
  <mergeCells count="5">
    <mergeCell ref="A16:D16"/>
    <mergeCell ref="A12:D12"/>
    <mergeCell ref="J21:M21"/>
    <mergeCell ref="J22:M22"/>
    <mergeCell ref="J23:M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7E07-82BE-4570-A06F-064A1069D8F0}">
  <sheetPr>
    <tabColor theme="9" tint="0.79998168889431442"/>
  </sheetPr>
  <dimension ref="A1:EB792"/>
  <sheetViews>
    <sheetView topLeftCell="A13" zoomScale="78" zoomScaleNormal="78" workbookViewId="0">
      <selection activeCell="G11" sqref="G11"/>
    </sheetView>
  </sheetViews>
  <sheetFormatPr defaultRowHeight="14.4" x14ac:dyDescent="0.3"/>
  <cols>
    <col min="1" max="1" width="18.77734375" customWidth="1"/>
    <col min="2" max="2" width="15.33203125" customWidth="1"/>
    <col min="3" max="3" width="23.44140625" customWidth="1"/>
    <col min="4" max="4" width="15.6640625" customWidth="1"/>
    <col min="5" max="5" width="11.44140625" customWidth="1"/>
    <col min="6" max="6" width="12.33203125" customWidth="1"/>
    <col min="7" max="7" width="16.109375" customWidth="1"/>
    <col min="8" max="8" width="13.44140625" customWidth="1"/>
    <col min="9" max="9" width="19.33203125" style="87" customWidth="1"/>
    <col min="10" max="10" width="34.77734375" style="87" customWidth="1"/>
    <col min="11" max="132" width="8.88671875" style="87"/>
  </cols>
  <sheetData>
    <row r="1" spans="1:11" s="87" customFormat="1" ht="15.6" x14ac:dyDescent="0.3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s="87" customFormat="1" ht="16.2" thickBot="1" x14ac:dyDescent="0.3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 ht="16.2" thickBot="1" x14ac:dyDescent="0.35">
      <c r="A3" s="183" t="s">
        <v>73</v>
      </c>
      <c r="B3" s="185" t="s">
        <v>96</v>
      </c>
      <c r="C3" s="183" t="s">
        <v>75</v>
      </c>
      <c r="D3" s="188" t="s">
        <v>76</v>
      </c>
      <c r="E3" s="118"/>
      <c r="F3" s="118"/>
      <c r="G3" s="118"/>
      <c r="H3" s="118"/>
      <c r="I3" s="118"/>
      <c r="J3" s="118"/>
      <c r="K3" s="118"/>
    </row>
    <row r="4" spans="1:11" ht="31.8" thickBot="1" x14ac:dyDescent="0.35">
      <c r="A4" s="182" t="s">
        <v>77</v>
      </c>
      <c r="B4" s="196">
        <v>350</v>
      </c>
      <c r="C4" s="198">
        <v>200</v>
      </c>
      <c r="D4" s="189">
        <v>550</v>
      </c>
      <c r="E4" s="118"/>
      <c r="F4" s="118"/>
      <c r="G4" s="118"/>
      <c r="H4" s="118"/>
      <c r="I4" s="118"/>
      <c r="J4" s="118"/>
      <c r="K4" s="118"/>
    </row>
    <row r="5" spans="1:11" ht="50.4" customHeight="1" thickBot="1" x14ac:dyDescent="0.35">
      <c r="A5" s="180" t="s">
        <v>78</v>
      </c>
      <c r="B5" s="198">
        <v>20</v>
      </c>
      <c r="C5" s="200">
        <v>35</v>
      </c>
      <c r="D5" s="190">
        <v>55</v>
      </c>
      <c r="E5" s="118"/>
      <c r="F5" s="118"/>
      <c r="G5" s="119"/>
      <c r="H5" s="339" t="s">
        <v>101</v>
      </c>
      <c r="I5" s="340"/>
      <c r="J5" s="118"/>
      <c r="K5" s="118"/>
    </row>
    <row r="6" spans="1:11" ht="31.8" thickBot="1" x14ac:dyDescent="0.35">
      <c r="A6" s="180" t="s">
        <v>79</v>
      </c>
      <c r="B6" s="197">
        <v>3</v>
      </c>
      <c r="C6" s="198">
        <v>1.5</v>
      </c>
      <c r="D6" s="201">
        <v>5</v>
      </c>
      <c r="E6" s="118"/>
      <c r="F6" s="118"/>
      <c r="G6" s="118"/>
      <c r="H6" s="118"/>
      <c r="I6" s="118"/>
      <c r="J6" s="118"/>
      <c r="K6" s="118"/>
    </row>
    <row r="7" spans="1:11" ht="47.4" customHeight="1" thickBot="1" x14ac:dyDescent="0.35">
      <c r="A7" s="180" t="s">
        <v>80</v>
      </c>
      <c r="B7" s="186">
        <v>900</v>
      </c>
      <c r="C7" s="199">
        <v>400</v>
      </c>
      <c r="D7" s="198">
        <v>1200</v>
      </c>
      <c r="E7" s="115"/>
      <c r="F7" s="288" t="s">
        <v>102</v>
      </c>
      <c r="G7" s="341"/>
      <c r="H7" s="341"/>
      <c r="I7" s="341"/>
      <c r="J7" s="342"/>
      <c r="K7" s="118"/>
    </row>
    <row r="8" spans="1:11" ht="47.4" thickBot="1" x14ac:dyDescent="0.35">
      <c r="A8" s="180" t="s">
        <v>81</v>
      </c>
      <c r="B8" s="186">
        <v>8000</v>
      </c>
      <c r="C8" s="191">
        <v>6000</v>
      </c>
      <c r="D8" s="202">
        <v>12000</v>
      </c>
      <c r="E8" s="118"/>
      <c r="F8" s="118"/>
      <c r="G8" s="118"/>
      <c r="H8" s="118"/>
      <c r="I8" s="118"/>
      <c r="J8" s="118"/>
      <c r="K8" s="118"/>
    </row>
    <row r="9" spans="1:11" ht="31.8" thickBot="1" x14ac:dyDescent="0.35">
      <c r="A9" s="180" t="s">
        <v>82</v>
      </c>
      <c r="B9" s="186">
        <v>4200</v>
      </c>
      <c r="C9" s="184">
        <v>3000</v>
      </c>
      <c r="D9" s="198">
        <v>1000</v>
      </c>
      <c r="E9" s="118"/>
      <c r="F9" s="118"/>
      <c r="G9" s="118"/>
      <c r="H9" s="118"/>
      <c r="I9" s="118"/>
      <c r="J9" s="118"/>
      <c r="K9" s="118"/>
    </row>
    <row r="10" spans="1:11" ht="31.8" thickBot="1" x14ac:dyDescent="0.35">
      <c r="A10" s="180" t="s">
        <v>83</v>
      </c>
      <c r="B10" s="186" t="s">
        <v>103</v>
      </c>
      <c r="C10" s="203" t="s">
        <v>103</v>
      </c>
      <c r="D10" s="198" t="s">
        <v>104</v>
      </c>
      <c r="E10" s="118"/>
      <c r="F10" s="118"/>
      <c r="G10" s="118"/>
      <c r="H10" s="118"/>
      <c r="I10" s="118"/>
      <c r="J10" s="118"/>
      <c r="K10" s="118"/>
    </row>
    <row r="11" spans="1:11" ht="31.8" thickBot="1" x14ac:dyDescent="0.35">
      <c r="A11" s="181" t="s">
        <v>86</v>
      </c>
      <c r="B11" s="187" t="s">
        <v>105</v>
      </c>
      <c r="C11" s="198" t="s">
        <v>103</v>
      </c>
      <c r="D11" s="204" t="s">
        <v>106</v>
      </c>
      <c r="E11" s="118"/>
      <c r="F11" s="118"/>
      <c r="G11" s="118"/>
      <c r="H11" s="118"/>
      <c r="I11" s="118"/>
      <c r="J11" s="118"/>
      <c r="K11" s="118"/>
    </row>
    <row r="12" spans="1:11" ht="16.2" thickBot="1" x14ac:dyDescent="0.3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</row>
    <row r="13" spans="1:11" ht="90.6" customHeight="1" thickBot="1" x14ac:dyDescent="0.35">
      <c r="A13" s="356" t="s">
        <v>114</v>
      </c>
      <c r="B13" s="357"/>
      <c r="C13" s="358"/>
      <c r="D13" s="118"/>
      <c r="E13" s="118"/>
      <c r="F13" s="118"/>
      <c r="G13" s="118"/>
      <c r="H13" s="118"/>
      <c r="I13" s="118"/>
      <c r="J13" s="118"/>
      <c r="K13" s="118"/>
    </row>
    <row r="14" spans="1:11" ht="16.2" thickBot="1" x14ac:dyDescent="0.3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1:11" ht="35.4" customHeight="1" thickBot="1" x14ac:dyDescent="0.35">
      <c r="A15" s="353" t="s">
        <v>107</v>
      </c>
      <c r="B15" s="354"/>
      <c r="C15" s="355"/>
      <c r="D15" s="118"/>
      <c r="E15" s="118"/>
      <c r="F15" s="118"/>
      <c r="G15" s="118"/>
      <c r="H15" s="118"/>
      <c r="I15" s="118"/>
      <c r="J15" s="118"/>
      <c r="K15" s="118"/>
    </row>
    <row r="16" spans="1:11" ht="16.2" thickBot="1" x14ac:dyDescent="0.35">
      <c r="A16" s="343"/>
      <c r="B16" s="343"/>
      <c r="C16" s="344" t="s">
        <v>152</v>
      </c>
      <c r="D16" s="345"/>
      <c r="E16" s="346"/>
      <c r="F16" s="347" t="s">
        <v>153</v>
      </c>
      <c r="G16" s="348"/>
      <c r="H16" s="349"/>
      <c r="I16" s="118"/>
      <c r="J16" s="118"/>
      <c r="K16" s="118"/>
    </row>
    <row r="17" spans="1:11" ht="31.8" thickBot="1" x14ac:dyDescent="0.35">
      <c r="A17" s="214" t="s">
        <v>73</v>
      </c>
      <c r="B17" s="209" t="s">
        <v>108</v>
      </c>
      <c r="C17" s="207" t="s">
        <v>96</v>
      </c>
      <c r="D17" s="207" t="s">
        <v>75</v>
      </c>
      <c r="E17" s="207" t="s">
        <v>76</v>
      </c>
      <c r="F17" s="207" t="s">
        <v>96</v>
      </c>
      <c r="G17" s="207" t="s">
        <v>75</v>
      </c>
      <c r="H17" s="208" t="s">
        <v>76</v>
      </c>
      <c r="I17" s="118"/>
      <c r="J17" s="118"/>
      <c r="K17" s="118"/>
    </row>
    <row r="18" spans="1:11" ht="31.2" x14ac:dyDescent="0.3">
      <c r="A18" s="215" t="s">
        <v>77</v>
      </c>
      <c r="B18" s="221">
        <v>0.2</v>
      </c>
      <c r="C18" s="222">
        <f>B4/C4</f>
        <v>1.75</v>
      </c>
      <c r="D18" s="222">
        <f>C4/C4</f>
        <v>1</v>
      </c>
      <c r="E18" s="222">
        <f>D4/C4</f>
        <v>2.75</v>
      </c>
      <c r="F18" s="223">
        <f>B18*C18</f>
        <v>0.35000000000000003</v>
      </c>
      <c r="G18" s="223">
        <f>B18*D18</f>
        <v>0.2</v>
      </c>
      <c r="H18" s="224">
        <f>B18*E18</f>
        <v>0.55000000000000004</v>
      </c>
      <c r="I18" s="118"/>
      <c r="J18" s="118"/>
      <c r="K18" s="118"/>
    </row>
    <row r="19" spans="1:11" ht="46.8" x14ac:dyDescent="0.3">
      <c r="A19" s="216" t="s">
        <v>78</v>
      </c>
      <c r="B19" s="225">
        <v>0.05</v>
      </c>
      <c r="C19" s="120">
        <f>B5/B5</f>
        <v>1</v>
      </c>
      <c r="D19" s="120">
        <f>C5/B5</f>
        <v>1.75</v>
      </c>
      <c r="E19" s="120">
        <f>D5/B5</f>
        <v>2.75</v>
      </c>
      <c r="F19" s="121">
        <f t="shared" ref="F19:F25" si="0">B19*C19</f>
        <v>0.05</v>
      </c>
      <c r="G19" s="121">
        <f t="shared" ref="G19:G25" si="1">B19*D19</f>
        <v>8.7500000000000008E-2</v>
      </c>
      <c r="H19" s="226">
        <f t="shared" ref="H19:H25" si="2">B19*E19</f>
        <v>0.13750000000000001</v>
      </c>
      <c r="I19" s="118"/>
      <c r="J19" s="118"/>
      <c r="K19" s="118"/>
    </row>
    <row r="20" spans="1:11" ht="31.2" x14ac:dyDescent="0.3">
      <c r="A20" s="216" t="s">
        <v>79</v>
      </c>
      <c r="B20" s="225">
        <v>0.05</v>
      </c>
      <c r="C20" s="120">
        <f>B6/C6</f>
        <v>2</v>
      </c>
      <c r="D20" s="120">
        <f>C6/C6</f>
        <v>1</v>
      </c>
      <c r="E20" s="120">
        <f>D6/C6</f>
        <v>3.3333333333333335</v>
      </c>
      <c r="F20" s="121">
        <f t="shared" si="0"/>
        <v>0.1</v>
      </c>
      <c r="G20" s="121">
        <f t="shared" si="1"/>
        <v>0.05</v>
      </c>
      <c r="H20" s="226">
        <f t="shared" si="2"/>
        <v>0.16666666666666669</v>
      </c>
      <c r="I20" s="118"/>
      <c r="J20" s="118"/>
      <c r="K20" s="118"/>
    </row>
    <row r="21" spans="1:11" ht="46.8" x14ac:dyDescent="0.3">
      <c r="A21" s="216" t="s">
        <v>80</v>
      </c>
      <c r="B21" s="225">
        <v>0.1</v>
      </c>
      <c r="C21" s="120">
        <f>B7/D7</f>
        <v>0.75</v>
      </c>
      <c r="D21" s="120">
        <f>C7/D7</f>
        <v>0.33333333333333331</v>
      </c>
      <c r="E21" s="120">
        <f>D7/D7</f>
        <v>1</v>
      </c>
      <c r="F21" s="121">
        <f t="shared" si="0"/>
        <v>7.5000000000000011E-2</v>
      </c>
      <c r="G21" s="121">
        <f t="shared" si="1"/>
        <v>3.3333333333333333E-2</v>
      </c>
      <c r="H21" s="226">
        <f t="shared" si="2"/>
        <v>0.1</v>
      </c>
      <c r="I21" s="118"/>
      <c r="J21" s="118"/>
      <c r="K21" s="118"/>
    </row>
    <row r="22" spans="1:11" ht="46.8" x14ac:dyDescent="0.3">
      <c r="A22" s="216" t="s">
        <v>81</v>
      </c>
      <c r="B22" s="225">
        <v>0.15</v>
      </c>
      <c r="C22" s="120">
        <f>B8/D8</f>
        <v>0.66666666666666663</v>
      </c>
      <c r="D22" s="120">
        <f>C8/D8</f>
        <v>0.5</v>
      </c>
      <c r="E22" s="120">
        <f>D8/D8</f>
        <v>1</v>
      </c>
      <c r="F22" s="121">
        <f t="shared" si="0"/>
        <v>9.9999999999999992E-2</v>
      </c>
      <c r="G22" s="121">
        <f t="shared" si="1"/>
        <v>7.4999999999999997E-2</v>
      </c>
      <c r="H22" s="226">
        <f t="shared" si="2"/>
        <v>0.15</v>
      </c>
      <c r="I22" s="118"/>
      <c r="J22" s="118" t="s">
        <v>110</v>
      </c>
      <c r="K22" s="118"/>
    </row>
    <row r="23" spans="1:11" ht="31.2" x14ac:dyDescent="0.3">
      <c r="A23" s="216" t="s">
        <v>82</v>
      </c>
      <c r="B23" s="225">
        <v>0.25</v>
      </c>
      <c r="C23" s="120">
        <f>B9/D9</f>
        <v>4.2</v>
      </c>
      <c r="D23" s="120">
        <f>C9/D9</f>
        <v>3</v>
      </c>
      <c r="E23" s="120">
        <f>D9/D9</f>
        <v>1</v>
      </c>
      <c r="F23" s="121">
        <f t="shared" si="0"/>
        <v>1.05</v>
      </c>
      <c r="G23" s="121">
        <f t="shared" si="1"/>
        <v>0.75</v>
      </c>
      <c r="H23" s="226">
        <f t="shared" si="2"/>
        <v>0.25</v>
      </c>
      <c r="I23" s="118"/>
      <c r="J23" s="118"/>
      <c r="K23" s="118"/>
    </row>
    <row r="24" spans="1:11" ht="31.2" x14ac:dyDescent="0.3">
      <c r="A24" s="216" t="s">
        <v>83</v>
      </c>
      <c r="B24" s="225">
        <v>0.1</v>
      </c>
      <c r="C24" s="120">
        <v>3</v>
      </c>
      <c r="D24" s="120">
        <v>3</v>
      </c>
      <c r="E24" s="120">
        <v>1</v>
      </c>
      <c r="F24" s="121">
        <f t="shared" si="0"/>
        <v>0.30000000000000004</v>
      </c>
      <c r="G24" s="121">
        <f t="shared" si="1"/>
        <v>0.30000000000000004</v>
      </c>
      <c r="H24" s="226">
        <f t="shared" si="2"/>
        <v>0.1</v>
      </c>
      <c r="I24" s="118"/>
      <c r="J24" s="118"/>
      <c r="K24" s="118"/>
    </row>
    <row r="25" spans="1:11" ht="31.8" thickBot="1" x14ac:dyDescent="0.35">
      <c r="A25" s="216" t="s">
        <v>86</v>
      </c>
      <c r="B25" s="227">
        <v>0.1</v>
      </c>
      <c r="C25" s="120">
        <f>5/3</f>
        <v>1.6666666666666667</v>
      </c>
      <c r="D25" s="120">
        <v>1</v>
      </c>
      <c r="E25" s="120">
        <f>5/3</f>
        <v>1.6666666666666667</v>
      </c>
      <c r="F25" s="219">
        <f t="shared" si="0"/>
        <v>0.16666666666666669</v>
      </c>
      <c r="G25" s="121">
        <f t="shared" si="1"/>
        <v>0.1</v>
      </c>
      <c r="H25" s="226">
        <f t="shared" si="2"/>
        <v>0.16666666666666669</v>
      </c>
      <c r="I25" s="118"/>
      <c r="J25" s="118"/>
      <c r="K25" s="118"/>
    </row>
    <row r="26" spans="1:11" ht="16.2" thickBot="1" x14ac:dyDescent="0.35">
      <c r="A26" s="217" t="s">
        <v>93</v>
      </c>
      <c r="B26" s="228"/>
      <c r="C26" s="229"/>
      <c r="D26" s="229"/>
      <c r="E26" s="230"/>
      <c r="F26" s="220">
        <f>SUM(F18:F25)</f>
        <v>2.1916666666666669</v>
      </c>
      <c r="G26" s="231">
        <f t="shared" ref="G26:H26" si="3">SUM(G18:G25)</f>
        <v>1.5958333333333334</v>
      </c>
      <c r="H26" s="232">
        <f t="shared" si="3"/>
        <v>1.6208333333333336</v>
      </c>
      <c r="I26" s="118"/>
      <c r="J26" s="118"/>
      <c r="K26" s="118"/>
    </row>
    <row r="27" spans="1:11" ht="16.2" thickBot="1" x14ac:dyDescent="0.35">
      <c r="A27" s="192"/>
      <c r="B27" s="193"/>
      <c r="C27" s="194"/>
      <c r="D27" s="194"/>
      <c r="E27" s="194"/>
      <c r="F27" s="195"/>
      <c r="G27" s="118"/>
      <c r="H27" s="118"/>
      <c r="I27" s="118"/>
      <c r="J27" s="118"/>
      <c r="K27" s="118"/>
    </row>
    <row r="28" spans="1:11" ht="36.6" customHeight="1" thickBot="1" x14ac:dyDescent="0.35">
      <c r="A28" s="350" t="s">
        <v>109</v>
      </c>
      <c r="B28" s="351"/>
      <c r="C28" s="352"/>
      <c r="D28" s="118"/>
      <c r="E28" s="118"/>
      <c r="F28" s="118"/>
      <c r="G28" s="118"/>
      <c r="H28" s="118"/>
      <c r="I28" s="118"/>
      <c r="J28" s="118"/>
      <c r="K28" s="118"/>
    </row>
    <row r="29" spans="1:11" ht="16.2" customHeight="1" thickBot="1" x14ac:dyDescent="0.35">
      <c r="A29" s="115"/>
      <c r="B29" s="115"/>
      <c r="C29" s="344" t="s">
        <v>152</v>
      </c>
      <c r="D29" s="345"/>
      <c r="E29" s="346"/>
      <c r="F29" s="347" t="s">
        <v>153</v>
      </c>
      <c r="G29" s="348"/>
      <c r="H29" s="349"/>
      <c r="I29" s="118"/>
      <c r="J29" s="118"/>
      <c r="K29" s="118"/>
    </row>
    <row r="30" spans="1:11" ht="31.8" thickBot="1" x14ac:dyDescent="0.35">
      <c r="A30" s="214" t="s">
        <v>73</v>
      </c>
      <c r="B30" s="209" t="s">
        <v>108</v>
      </c>
      <c r="C30" s="207" t="s">
        <v>96</v>
      </c>
      <c r="D30" s="207" t="s">
        <v>75</v>
      </c>
      <c r="E30" s="207" t="s">
        <v>76</v>
      </c>
      <c r="F30" s="207" t="s">
        <v>96</v>
      </c>
      <c r="G30" s="207" t="s">
        <v>75</v>
      </c>
      <c r="H30" s="208" t="s">
        <v>76</v>
      </c>
      <c r="I30" s="118"/>
      <c r="J30" s="118"/>
      <c r="K30" s="118"/>
    </row>
    <row r="31" spans="1:11" ht="31.2" x14ac:dyDescent="0.3">
      <c r="A31" s="215" t="s">
        <v>77</v>
      </c>
      <c r="B31" s="210">
        <v>0.3</v>
      </c>
      <c r="C31" s="205">
        <v>1.75</v>
      </c>
      <c r="D31" s="205">
        <v>1</v>
      </c>
      <c r="E31" s="205">
        <v>2.75</v>
      </c>
      <c r="F31" s="206">
        <f>B31*C31</f>
        <v>0.52500000000000002</v>
      </c>
      <c r="G31" s="206">
        <f>B31*D31</f>
        <v>0.3</v>
      </c>
      <c r="H31" s="206">
        <f>B31*E31</f>
        <v>0.82499999999999996</v>
      </c>
      <c r="I31" s="118"/>
      <c r="J31" s="118"/>
      <c r="K31" s="118"/>
    </row>
    <row r="32" spans="1:11" ht="46.8" x14ac:dyDescent="0.3">
      <c r="A32" s="216" t="s">
        <v>78</v>
      </c>
      <c r="B32" s="211">
        <v>0.05</v>
      </c>
      <c r="C32" s="120">
        <v>1</v>
      </c>
      <c r="D32" s="120">
        <v>1.75</v>
      </c>
      <c r="E32" s="120">
        <v>2.75</v>
      </c>
      <c r="F32" s="121">
        <f t="shared" ref="F32:F38" si="4">B32*C32</f>
        <v>0.05</v>
      </c>
      <c r="G32" s="121">
        <f t="shared" ref="G32:G38" si="5">B32*D32</f>
        <v>8.7500000000000008E-2</v>
      </c>
      <c r="H32" s="121">
        <f t="shared" ref="H32:H38" si="6">B32*E32</f>
        <v>0.13750000000000001</v>
      </c>
      <c r="I32" s="118"/>
      <c r="J32" s="118"/>
      <c r="K32" s="118"/>
    </row>
    <row r="33" spans="1:11" ht="31.2" x14ac:dyDescent="0.3">
      <c r="A33" s="216" t="s">
        <v>79</v>
      </c>
      <c r="B33" s="211">
        <v>0.05</v>
      </c>
      <c r="C33" s="120">
        <v>2</v>
      </c>
      <c r="D33" s="120">
        <v>1</v>
      </c>
      <c r="E33" s="120">
        <v>3.3333333333333335</v>
      </c>
      <c r="F33" s="121">
        <f t="shared" si="4"/>
        <v>0.1</v>
      </c>
      <c r="G33" s="121">
        <f t="shared" si="5"/>
        <v>0.05</v>
      </c>
      <c r="H33" s="121">
        <f t="shared" si="6"/>
        <v>0.16666666666666669</v>
      </c>
      <c r="I33" s="118"/>
      <c r="J33" s="118"/>
      <c r="K33" s="118"/>
    </row>
    <row r="34" spans="1:11" ht="46.8" x14ac:dyDescent="0.3">
      <c r="A34" s="216" t="s">
        <v>80</v>
      </c>
      <c r="B34" s="211">
        <v>0.1</v>
      </c>
      <c r="C34" s="120">
        <v>0.75</v>
      </c>
      <c r="D34" s="120">
        <v>0.33333333333333331</v>
      </c>
      <c r="E34" s="120">
        <v>1</v>
      </c>
      <c r="F34" s="121">
        <f t="shared" si="4"/>
        <v>7.5000000000000011E-2</v>
      </c>
      <c r="G34" s="121">
        <f t="shared" si="5"/>
        <v>3.3333333333333333E-2</v>
      </c>
      <c r="H34" s="121">
        <f t="shared" si="6"/>
        <v>0.1</v>
      </c>
      <c r="I34" s="118"/>
      <c r="J34" s="118"/>
      <c r="K34" s="118"/>
    </row>
    <row r="35" spans="1:11" ht="46.8" x14ac:dyDescent="0.3">
      <c r="A35" s="216" t="s">
        <v>81</v>
      </c>
      <c r="B35" s="211">
        <v>0.15</v>
      </c>
      <c r="C35" s="120">
        <v>0.66666666666666663</v>
      </c>
      <c r="D35" s="120">
        <v>0.5</v>
      </c>
      <c r="E35" s="120">
        <v>1</v>
      </c>
      <c r="F35" s="121">
        <f t="shared" si="4"/>
        <v>9.9999999999999992E-2</v>
      </c>
      <c r="G35" s="121">
        <f t="shared" si="5"/>
        <v>7.4999999999999997E-2</v>
      </c>
      <c r="H35" s="121">
        <f t="shared" si="6"/>
        <v>0.15</v>
      </c>
      <c r="I35" s="118"/>
      <c r="J35" s="118"/>
      <c r="K35" s="118"/>
    </row>
    <row r="36" spans="1:11" ht="31.2" x14ac:dyDescent="0.3">
      <c r="A36" s="216" t="s">
        <v>82</v>
      </c>
      <c r="B36" s="211">
        <v>0.2</v>
      </c>
      <c r="C36" s="120">
        <v>4.2</v>
      </c>
      <c r="D36" s="120">
        <v>3</v>
      </c>
      <c r="E36" s="120">
        <v>1</v>
      </c>
      <c r="F36" s="121">
        <f t="shared" si="4"/>
        <v>0.84000000000000008</v>
      </c>
      <c r="G36" s="121">
        <f t="shared" si="5"/>
        <v>0.60000000000000009</v>
      </c>
      <c r="H36" s="121">
        <f t="shared" si="6"/>
        <v>0.2</v>
      </c>
      <c r="I36" s="118"/>
      <c r="J36" s="118"/>
      <c r="K36" s="118"/>
    </row>
    <row r="37" spans="1:11" ht="31.2" x14ac:dyDescent="0.3">
      <c r="A37" s="216" t="s">
        <v>83</v>
      </c>
      <c r="B37" s="211">
        <v>0.05</v>
      </c>
      <c r="C37" s="120">
        <v>3</v>
      </c>
      <c r="D37" s="120">
        <v>3</v>
      </c>
      <c r="E37" s="120">
        <v>1</v>
      </c>
      <c r="F37" s="121">
        <f t="shared" si="4"/>
        <v>0.15000000000000002</v>
      </c>
      <c r="G37" s="121">
        <f t="shared" si="5"/>
        <v>0.15000000000000002</v>
      </c>
      <c r="H37" s="121">
        <f t="shared" si="6"/>
        <v>0.05</v>
      </c>
      <c r="I37" s="118"/>
      <c r="J37" s="118"/>
      <c r="K37" s="118"/>
    </row>
    <row r="38" spans="1:11" ht="31.8" thickBot="1" x14ac:dyDescent="0.35">
      <c r="A38" s="216" t="s">
        <v>86</v>
      </c>
      <c r="B38" s="212">
        <v>0.1</v>
      </c>
      <c r="C38" s="120">
        <v>1.6666666666666667</v>
      </c>
      <c r="D38" s="120">
        <v>1</v>
      </c>
      <c r="E38" s="120">
        <v>1.6666666666666667</v>
      </c>
      <c r="F38" s="219">
        <f t="shared" si="4"/>
        <v>0.16666666666666669</v>
      </c>
      <c r="G38" s="121">
        <f t="shared" si="5"/>
        <v>0.1</v>
      </c>
      <c r="H38" s="121">
        <f t="shared" si="6"/>
        <v>0.16666666666666669</v>
      </c>
      <c r="I38" s="118"/>
      <c r="J38" s="118"/>
      <c r="K38" s="118"/>
    </row>
    <row r="39" spans="1:11" ht="16.2" thickBot="1" x14ac:dyDescent="0.35">
      <c r="A39" s="217" t="s">
        <v>93</v>
      </c>
      <c r="B39" s="213"/>
      <c r="C39" s="122"/>
      <c r="D39" s="122"/>
      <c r="E39" s="218"/>
      <c r="F39" s="220">
        <f>SUM(F31:F38)</f>
        <v>2.0066666666666664</v>
      </c>
      <c r="G39" s="233">
        <f t="shared" ref="G39:H39" si="7">SUM(G31:G38)</f>
        <v>1.3958333333333335</v>
      </c>
      <c r="H39" s="121">
        <f t="shared" si="7"/>
        <v>1.7958333333333334</v>
      </c>
      <c r="I39" s="118"/>
      <c r="J39" s="118"/>
      <c r="K39" s="118"/>
    </row>
    <row r="40" spans="1:11" s="87" customFormat="1" ht="15.6" x14ac:dyDescent="0.3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</row>
    <row r="41" spans="1:11" s="87" customFormat="1" x14ac:dyDescent="0.3"/>
    <row r="42" spans="1:11" s="87" customFormat="1" x14ac:dyDescent="0.3"/>
    <row r="43" spans="1:11" s="87" customFormat="1" x14ac:dyDescent="0.3"/>
    <row r="44" spans="1:11" s="87" customFormat="1" x14ac:dyDescent="0.3"/>
    <row r="45" spans="1:11" s="87" customFormat="1" x14ac:dyDescent="0.3"/>
    <row r="46" spans="1:11" s="87" customFormat="1" x14ac:dyDescent="0.3"/>
    <row r="47" spans="1:11" s="87" customFormat="1" x14ac:dyDescent="0.3"/>
    <row r="48" spans="1:11" s="87" customFormat="1" x14ac:dyDescent="0.3"/>
    <row r="49" s="87" customFormat="1" x14ac:dyDescent="0.3"/>
    <row r="50" s="87" customFormat="1" x14ac:dyDescent="0.3"/>
    <row r="51" s="87" customFormat="1" x14ac:dyDescent="0.3"/>
    <row r="52" s="87" customFormat="1" x14ac:dyDescent="0.3"/>
    <row r="53" s="87" customFormat="1" x14ac:dyDescent="0.3"/>
    <row r="54" s="87" customFormat="1" x14ac:dyDescent="0.3"/>
    <row r="55" s="87" customFormat="1" x14ac:dyDescent="0.3"/>
    <row r="56" s="87" customFormat="1" x14ac:dyDescent="0.3"/>
    <row r="57" s="87" customFormat="1" x14ac:dyDescent="0.3"/>
    <row r="58" s="87" customFormat="1" x14ac:dyDescent="0.3"/>
    <row r="59" s="87" customFormat="1" x14ac:dyDescent="0.3"/>
    <row r="60" s="87" customFormat="1" x14ac:dyDescent="0.3"/>
    <row r="61" s="87" customFormat="1" x14ac:dyDescent="0.3"/>
    <row r="62" s="87" customFormat="1" x14ac:dyDescent="0.3"/>
    <row r="63" s="87" customFormat="1" x14ac:dyDescent="0.3"/>
    <row r="64" s="87" customFormat="1" x14ac:dyDescent="0.3"/>
    <row r="65" s="87" customFormat="1" x14ac:dyDescent="0.3"/>
    <row r="66" s="87" customFormat="1" x14ac:dyDescent="0.3"/>
    <row r="67" s="87" customFormat="1" x14ac:dyDescent="0.3"/>
    <row r="68" s="87" customFormat="1" x14ac:dyDescent="0.3"/>
    <row r="69" s="87" customFormat="1" x14ac:dyDescent="0.3"/>
    <row r="70" s="87" customFormat="1" x14ac:dyDescent="0.3"/>
    <row r="71" s="87" customFormat="1" x14ac:dyDescent="0.3"/>
    <row r="72" s="87" customFormat="1" x14ac:dyDescent="0.3"/>
    <row r="73" s="87" customFormat="1" x14ac:dyDescent="0.3"/>
    <row r="74" s="87" customFormat="1" x14ac:dyDescent="0.3"/>
    <row r="75" s="87" customFormat="1" x14ac:dyDescent="0.3"/>
    <row r="76" s="87" customFormat="1" x14ac:dyDescent="0.3"/>
    <row r="77" s="87" customFormat="1" x14ac:dyDescent="0.3"/>
    <row r="78" s="87" customFormat="1" x14ac:dyDescent="0.3"/>
    <row r="79" s="87" customFormat="1" x14ac:dyDescent="0.3"/>
    <row r="80" s="87" customFormat="1" x14ac:dyDescent="0.3"/>
    <row r="81" s="87" customFormat="1" x14ac:dyDescent="0.3"/>
    <row r="82" s="87" customFormat="1" x14ac:dyDescent="0.3"/>
    <row r="83" s="87" customFormat="1" x14ac:dyDescent="0.3"/>
    <row r="84" s="87" customFormat="1" x14ac:dyDescent="0.3"/>
    <row r="85" s="87" customFormat="1" x14ac:dyDescent="0.3"/>
    <row r="86" s="87" customFormat="1" x14ac:dyDescent="0.3"/>
    <row r="87" s="87" customFormat="1" x14ac:dyDescent="0.3"/>
    <row r="88" s="87" customFormat="1" x14ac:dyDescent="0.3"/>
    <row r="89" s="87" customFormat="1" x14ac:dyDescent="0.3"/>
    <row r="90" s="87" customFormat="1" x14ac:dyDescent="0.3"/>
    <row r="91" s="87" customFormat="1" x14ac:dyDescent="0.3"/>
    <row r="92" s="87" customFormat="1" x14ac:dyDescent="0.3"/>
    <row r="93" s="87" customFormat="1" x14ac:dyDescent="0.3"/>
    <row r="94" s="87" customFormat="1" x14ac:dyDescent="0.3"/>
    <row r="95" s="87" customFormat="1" x14ac:dyDescent="0.3"/>
    <row r="96" s="87" customFormat="1" x14ac:dyDescent="0.3"/>
    <row r="97" s="87" customFormat="1" x14ac:dyDescent="0.3"/>
    <row r="98" s="87" customFormat="1" x14ac:dyDescent="0.3"/>
    <row r="99" s="87" customFormat="1" x14ac:dyDescent="0.3"/>
    <row r="100" s="87" customFormat="1" x14ac:dyDescent="0.3"/>
    <row r="101" s="87" customFormat="1" x14ac:dyDescent="0.3"/>
    <row r="102" s="87" customFormat="1" x14ac:dyDescent="0.3"/>
    <row r="103" s="87" customFormat="1" x14ac:dyDescent="0.3"/>
    <row r="104" s="87" customFormat="1" x14ac:dyDescent="0.3"/>
    <row r="105" s="87" customFormat="1" x14ac:dyDescent="0.3"/>
    <row r="106" s="87" customFormat="1" x14ac:dyDescent="0.3"/>
    <row r="107" s="87" customFormat="1" x14ac:dyDescent="0.3"/>
    <row r="108" s="87" customFormat="1" x14ac:dyDescent="0.3"/>
    <row r="109" s="87" customFormat="1" x14ac:dyDescent="0.3"/>
    <row r="110" s="87" customFormat="1" x14ac:dyDescent="0.3"/>
    <row r="111" s="87" customFormat="1" x14ac:dyDescent="0.3"/>
    <row r="112" s="87" customFormat="1" x14ac:dyDescent="0.3"/>
    <row r="113" s="87" customFormat="1" x14ac:dyDescent="0.3"/>
    <row r="114" s="87" customFormat="1" x14ac:dyDescent="0.3"/>
    <row r="115" s="87" customFormat="1" x14ac:dyDescent="0.3"/>
    <row r="116" s="87" customFormat="1" x14ac:dyDescent="0.3"/>
    <row r="117" s="87" customFormat="1" x14ac:dyDescent="0.3"/>
    <row r="118" s="87" customFormat="1" x14ac:dyDescent="0.3"/>
    <row r="119" s="87" customFormat="1" x14ac:dyDescent="0.3"/>
    <row r="120" s="87" customFormat="1" x14ac:dyDescent="0.3"/>
    <row r="121" s="87" customFormat="1" x14ac:dyDescent="0.3"/>
    <row r="122" s="87" customFormat="1" x14ac:dyDescent="0.3"/>
    <row r="123" s="87" customFormat="1" x14ac:dyDescent="0.3"/>
    <row r="124" s="87" customFormat="1" x14ac:dyDescent="0.3"/>
    <row r="125" s="87" customFormat="1" x14ac:dyDescent="0.3"/>
    <row r="126" s="87" customFormat="1" x14ac:dyDescent="0.3"/>
    <row r="127" s="87" customFormat="1" x14ac:dyDescent="0.3"/>
    <row r="128" s="87" customFormat="1" x14ac:dyDescent="0.3"/>
    <row r="129" s="87" customFormat="1" x14ac:dyDescent="0.3"/>
    <row r="130" s="87" customFormat="1" x14ac:dyDescent="0.3"/>
    <row r="131" s="87" customFormat="1" x14ac:dyDescent="0.3"/>
    <row r="132" s="87" customFormat="1" x14ac:dyDescent="0.3"/>
    <row r="133" s="87" customFormat="1" x14ac:dyDescent="0.3"/>
    <row r="134" s="87" customFormat="1" x14ac:dyDescent="0.3"/>
    <row r="135" s="87" customFormat="1" x14ac:dyDescent="0.3"/>
    <row r="136" s="87" customFormat="1" x14ac:dyDescent="0.3"/>
    <row r="137" s="87" customFormat="1" x14ac:dyDescent="0.3"/>
    <row r="138" s="87" customFormat="1" x14ac:dyDescent="0.3"/>
    <row r="139" s="87" customFormat="1" x14ac:dyDescent="0.3"/>
    <row r="140" s="87" customFormat="1" x14ac:dyDescent="0.3"/>
    <row r="141" s="87" customFormat="1" x14ac:dyDescent="0.3"/>
    <row r="142" s="87" customFormat="1" x14ac:dyDescent="0.3"/>
    <row r="143" s="87" customFormat="1" x14ac:dyDescent="0.3"/>
    <row r="144" s="87" customFormat="1" x14ac:dyDescent="0.3"/>
    <row r="145" s="87" customFormat="1" x14ac:dyDescent="0.3"/>
    <row r="146" s="87" customFormat="1" x14ac:dyDescent="0.3"/>
    <row r="147" s="87" customFormat="1" x14ac:dyDescent="0.3"/>
    <row r="148" s="87" customFormat="1" x14ac:dyDescent="0.3"/>
    <row r="149" s="87" customFormat="1" x14ac:dyDescent="0.3"/>
    <row r="150" s="87" customFormat="1" x14ac:dyDescent="0.3"/>
    <row r="151" s="87" customFormat="1" x14ac:dyDescent="0.3"/>
    <row r="152" s="87" customFormat="1" x14ac:dyDescent="0.3"/>
    <row r="153" s="87" customFormat="1" x14ac:dyDescent="0.3"/>
    <row r="154" s="87" customFormat="1" x14ac:dyDescent="0.3"/>
    <row r="155" s="87" customFormat="1" x14ac:dyDescent="0.3"/>
    <row r="156" s="87" customFormat="1" x14ac:dyDescent="0.3"/>
    <row r="157" s="87" customFormat="1" x14ac:dyDescent="0.3"/>
    <row r="158" s="87" customFormat="1" x14ac:dyDescent="0.3"/>
    <row r="159" s="87" customFormat="1" x14ac:dyDescent="0.3"/>
    <row r="160" s="87" customFormat="1" x14ac:dyDescent="0.3"/>
    <row r="161" s="87" customFormat="1" x14ac:dyDescent="0.3"/>
    <row r="162" s="87" customFormat="1" x14ac:dyDescent="0.3"/>
    <row r="163" s="87" customFormat="1" x14ac:dyDescent="0.3"/>
    <row r="164" s="87" customFormat="1" x14ac:dyDescent="0.3"/>
    <row r="165" s="87" customFormat="1" x14ac:dyDescent="0.3"/>
    <row r="166" s="87" customFormat="1" x14ac:dyDescent="0.3"/>
    <row r="167" s="87" customFormat="1" x14ac:dyDescent="0.3"/>
    <row r="168" s="87" customFormat="1" x14ac:dyDescent="0.3"/>
    <row r="169" s="87" customFormat="1" x14ac:dyDescent="0.3"/>
    <row r="170" s="87" customFormat="1" x14ac:dyDescent="0.3"/>
    <row r="171" s="87" customFormat="1" x14ac:dyDescent="0.3"/>
    <row r="172" s="87" customFormat="1" x14ac:dyDescent="0.3"/>
    <row r="173" s="87" customFormat="1" x14ac:dyDescent="0.3"/>
    <row r="174" s="87" customFormat="1" x14ac:dyDescent="0.3"/>
    <row r="175" s="87" customFormat="1" x14ac:dyDescent="0.3"/>
    <row r="176" s="87" customFormat="1" x14ac:dyDescent="0.3"/>
    <row r="177" s="87" customFormat="1" x14ac:dyDescent="0.3"/>
    <row r="178" s="87" customFormat="1" x14ac:dyDescent="0.3"/>
    <row r="179" s="87" customFormat="1" x14ac:dyDescent="0.3"/>
    <row r="180" s="87" customFormat="1" x14ac:dyDescent="0.3"/>
    <row r="181" s="87" customFormat="1" x14ac:dyDescent="0.3"/>
    <row r="182" s="87" customFormat="1" x14ac:dyDescent="0.3"/>
    <row r="183" s="87" customFormat="1" x14ac:dyDescent="0.3"/>
    <row r="184" s="87" customFormat="1" x14ac:dyDescent="0.3"/>
    <row r="185" s="87" customFormat="1" x14ac:dyDescent="0.3"/>
    <row r="186" s="87" customFormat="1" x14ac:dyDescent="0.3"/>
    <row r="187" s="87" customFormat="1" x14ac:dyDescent="0.3"/>
    <row r="188" s="87" customFormat="1" x14ac:dyDescent="0.3"/>
    <row r="189" s="87" customFormat="1" x14ac:dyDescent="0.3"/>
    <row r="190" s="87" customFormat="1" x14ac:dyDescent="0.3"/>
    <row r="191" s="87" customFormat="1" x14ac:dyDescent="0.3"/>
    <row r="192" s="87" customFormat="1" x14ac:dyDescent="0.3"/>
    <row r="193" s="87" customFormat="1" x14ac:dyDescent="0.3"/>
    <row r="194" s="87" customFormat="1" x14ac:dyDescent="0.3"/>
    <row r="195" s="87" customFormat="1" x14ac:dyDescent="0.3"/>
    <row r="196" s="87" customFormat="1" x14ac:dyDescent="0.3"/>
    <row r="197" s="87" customFormat="1" x14ac:dyDescent="0.3"/>
    <row r="198" s="87" customFormat="1" x14ac:dyDescent="0.3"/>
    <row r="199" s="87" customFormat="1" x14ac:dyDescent="0.3"/>
    <row r="200" s="87" customFormat="1" x14ac:dyDescent="0.3"/>
    <row r="201" s="87" customFormat="1" x14ac:dyDescent="0.3"/>
    <row r="202" s="87" customFormat="1" x14ac:dyDescent="0.3"/>
    <row r="203" s="87" customFormat="1" x14ac:dyDescent="0.3"/>
    <row r="204" s="87" customFormat="1" x14ac:dyDescent="0.3"/>
    <row r="205" s="87" customFormat="1" x14ac:dyDescent="0.3"/>
    <row r="206" s="87" customFormat="1" x14ac:dyDescent="0.3"/>
    <row r="207" s="87" customFormat="1" x14ac:dyDescent="0.3"/>
    <row r="208" s="87" customFormat="1" x14ac:dyDescent="0.3"/>
    <row r="209" s="87" customFormat="1" x14ac:dyDescent="0.3"/>
    <row r="210" s="87" customFormat="1" x14ac:dyDescent="0.3"/>
    <row r="211" s="87" customFormat="1" x14ac:dyDescent="0.3"/>
    <row r="212" s="87" customFormat="1" x14ac:dyDescent="0.3"/>
    <row r="213" s="87" customFormat="1" x14ac:dyDescent="0.3"/>
    <row r="214" s="87" customFormat="1" x14ac:dyDescent="0.3"/>
    <row r="215" s="87" customFormat="1" x14ac:dyDescent="0.3"/>
    <row r="216" s="87" customFormat="1" x14ac:dyDescent="0.3"/>
    <row r="217" s="87" customFormat="1" x14ac:dyDescent="0.3"/>
    <row r="218" s="87" customFormat="1" x14ac:dyDescent="0.3"/>
    <row r="219" s="87" customFormat="1" x14ac:dyDescent="0.3"/>
    <row r="220" s="87" customFormat="1" x14ac:dyDescent="0.3"/>
    <row r="221" s="87" customFormat="1" x14ac:dyDescent="0.3"/>
    <row r="222" s="87" customFormat="1" x14ac:dyDescent="0.3"/>
    <row r="223" s="87" customFormat="1" x14ac:dyDescent="0.3"/>
    <row r="224" s="87" customFormat="1" x14ac:dyDescent="0.3"/>
    <row r="225" s="87" customFormat="1" x14ac:dyDescent="0.3"/>
    <row r="226" s="87" customFormat="1" x14ac:dyDescent="0.3"/>
    <row r="227" s="87" customFormat="1" x14ac:dyDescent="0.3"/>
    <row r="228" s="87" customFormat="1" x14ac:dyDescent="0.3"/>
    <row r="229" s="87" customFormat="1" x14ac:dyDescent="0.3"/>
    <row r="230" s="87" customFormat="1" x14ac:dyDescent="0.3"/>
    <row r="231" s="87" customFormat="1" x14ac:dyDescent="0.3"/>
    <row r="232" s="87" customFormat="1" x14ac:dyDescent="0.3"/>
    <row r="233" s="87" customFormat="1" x14ac:dyDescent="0.3"/>
    <row r="234" s="87" customFormat="1" x14ac:dyDescent="0.3"/>
    <row r="235" s="87" customFormat="1" x14ac:dyDescent="0.3"/>
    <row r="236" s="87" customFormat="1" x14ac:dyDescent="0.3"/>
    <row r="237" s="87" customFormat="1" x14ac:dyDescent="0.3"/>
    <row r="238" s="87" customFormat="1" x14ac:dyDescent="0.3"/>
    <row r="239" s="87" customFormat="1" x14ac:dyDescent="0.3"/>
    <row r="240" s="87" customFormat="1" x14ac:dyDescent="0.3"/>
    <row r="241" s="87" customFormat="1" x14ac:dyDescent="0.3"/>
    <row r="242" s="87" customFormat="1" x14ac:dyDescent="0.3"/>
    <row r="243" s="87" customFormat="1" x14ac:dyDescent="0.3"/>
    <row r="244" s="87" customFormat="1" x14ac:dyDescent="0.3"/>
    <row r="245" s="87" customFormat="1" x14ac:dyDescent="0.3"/>
    <row r="246" s="87" customFormat="1" x14ac:dyDescent="0.3"/>
    <row r="247" s="87" customFormat="1" x14ac:dyDescent="0.3"/>
    <row r="248" s="87" customFormat="1" x14ac:dyDescent="0.3"/>
    <row r="249" s="87" customFormat="1" x14ac:dyDescent="0.3"/>
    <row r="250" s="87" customFormat="1" x14ac:dyDescent="0.3"/>
    <row r="251" s="87" customFormat="1" x14ac:dyDescent="0.3"/>
    <row r="252" s="87" customFormat="1" x14ac:dyDescent="0.3"/>
    <row r="253" s="87" customFormat="1" x14ac:dyDescent="0.3"/>
    <row r="254" s="87" customFormat="1" x14ac:dyDescent="0.3"/>
    <row r="255" s="87" customFormat="1" x14ac:dyDescent="0.3"/>
    <row r="256" s="87" customFormat="1" x14ac:dyDescent="0.3"/>
    <row r="257" s="87" customFormat="1" x14ac:dyDescent="0.3"/>
    <row r="258" s="87" customFormat="1" x14ac:dyDescent="0.3"/>
    <row r="259" s="87" customFormat="1" x14ac:dyDescent="0.3"/>
    <row r="260" s="87" customFormat="1" x14ac:dyDescent="0.3"/>
    <row r="261" s="87" customFormat="1" x14ac:dyDescent="0.3"/>
    <row r="262" s="87" customFormat="1" x14ac:dyDescent="0.3"/>
    <row r="263" s="87" customFormat="1" x14ac:dyDescent="0.3"/>
    <row r="264" s="87" customFormat="1" x14ac:dyDescent="0.3"/>
    <row r="265" s="87" customFormat="1" x14ac:dyDescent="0.3"/>
    <row r="266" s="87" customFormat="1" x14ac:dyDescent="0.3"/>
    <row r="267" s="87" customFormat="1" x14ac:dyDescent="0.3"/>
    <row r="268" s="87" customFormat="1" x14ac:dyDescent="0.3"/>
    <row r="269" s="87" customFormat="1" x14ac:dyDescent="0.3"/>
    <row r="270" s="87" customFormat="1" x14ac:dyDescent="0.3"/>
    <row r="271" s="87" customFormat="1" x14ac:dyDescent="0.3"/>
    <row r="272" s="87" customFormat="1" x14ac:dyDescent="0.3"/>
    <row r="273" s="87" customFormat="1" x14ac:dyDescent="0.3"/>
    <row r="274" s="87" customFormat="1" x14ac:dyDescent="0.3"/>
    <row r="275" s="87" customFormat="1" x14ac:dyDescent="0.3"/>
    <row r="276" s="87" customFormat="1" x14ac:dyDescent="0.3"/>
    <row r="277" s="87" customFormat="1" x14ac:dyDescent="0.3"/>
    <row r="278" s="87" customFormat="1" x14ac:dyDescent="0.3"/>
    <row r="279" s="87" customFormat="1" x14ac:dyDescent="0.3"/>
    <row r="280" s="87" customFormat="1" x14ac:dyDescent="0.3"/>
    <row r="281" s="87" customFormat="1" x14ac:dyDescent="0.3"/>
    <row r="282" s="87" customFormat="1" x14ac:dyDescent="0.3"/>
    <row r="283" s="87" customFormat="1" x14ac:dyDescent="0.3"/>
    <row r="284" s="87" customFormat="1" x14ac:dyDescent="0.3"/>
    <row r="285" s="87" customFormat="1" x14ac:dyDescent="0.3"/>
    <row r="286" s="87" customFormat="1" x14ac:dyDescent="0.3"/>
    <row r="287" s="87" customFormat="1" x14ac:dyDescent="0.3"/>
    <row r="288" s="87" customFormat="1" x14ac:dyDescent="0.3"/>
    <row r="289" s="87" customFormat="1" x14ac:dyDescent="0.3"/>
    <row r="290" s="87" customFormat="1" x14ac:dyDescent="0.3"/>
    <row r="291" s="87" customFormat="1" x14ac:dyDescent="0.3"/>
    <row r="292" s="87" customFormat="1" x14ac:dyDescent="0.3"/>
    <row r="293" s="87" customFormat="1" x14ac:dyDescent="0.3"/>
    <row r="294" s="87" customFormat="1" x14ac:dyDescent="0.3"/>
    <row r="295" s="87" customFormat="1" x14ac:dyDescent="0.3"/>
    <row r="296" s="87" customFormat="1" x14ac:dyDescent="0.3"/>
    <row r="297" s="87" customFormat="1" x14ac:dyDescent="0.3"/>
    <row r="298" s="87" customFormat="1" x14ac:dyDescent="0.3"/>
    <row r="299" s="87" customFormat="1" x14ac:dyDescent="0.3"/>
    <row r="300" s="87" customFormat="1" x14ac:dyDescent="0.3"/>
    <row r="301" s="87" customFormat="1" x14ac:dyDescent="0.3"/>
    <row r="302" s="87" customFormat="1" x14ac:dyDescent="0.3"/>
    <row r="303" s="87" customFormat="1" x14ac:dyDescent="0.3"/>
    <row r="304" s="87" customFormat="1" x14ac:dyDescent="0.3"/>
    <row r="305" s="87" customFormat="1" x14ac:dyDescent="0.3"/>
    <row r="306" s="87" customFormat="1" x14ac:dyDescent="0.3"/>
    <row r="307" s="87" customFormat="1" x14ac:dyDescent="0.3"/>
    <row r="308" s="87" customFormat="1" x14ac:dyDescent="0.3"/>
    <row r="309" s="87" customFormat="1" x14ac:dyDescent="0.3"/>
    <row r="310" s="87" customFormat="1" x14ac:dyDescent="0.3"/>
    <row r="311" s="87" customFormat="1" x14ac:dyDescent="0.3"/>
    <row r="312" s="87" customFormat="1" x14ac:dyDescent="0.3"/>
    <row r="313" s="87" customFormat="1" x14ac:dyDescent="0.3"/>
    <row r="314" s="87" customFormat="1" x14ac:dyDescent="0.3"/>
    <row r="315" s="87" customFormat="1" x14ac:dyDescent="0.3"/>
    <row r="316" s="87" customFormat="1" x14ac:dyDescent="0.3"/>
    <row r="317" s="87" customFormat="1" x14ac:dyDescent="0.3"/>
    <row r="318" s="87" customFormat="1" x14ac:dyDescent="0.3"/>
    <row r="319" s="87" customFormat="1" x14ac:dyDescent="0.3"/>
    <row r="320" s="87" customFormat="1" x14ac:dyDescent="0.3"/>
    <row r="321" s="87" customFormat="1" x14ac:dyDescent="0.3"/>
    <row r="322" s="87" customFormat="1" x14ac:dyDescent="0.3"/>
    <row r="323" s="87" customFormat="1" x14ac:dyDescent="0.3"/>
    <row r="324" s="87" customFormat="1" x14ac:dyDescent="0.3"/>
    <row r="325" s="87" customFormat="1" x14ac:dyDescent="0.3"/>
    <row r="326" s="87" customFormat="1" x14ac:dyDescent="0.3"/>
    <row r="327" s="87" customFormat="1" x14ac:dyDescent="0.3"/>
    <row r="328" s="87" customFormat="1" x14ac:dyDescent="0.3"/>
    <row r="329" s="87" customFormat="1" x14ac:dyDescent="0.3"/>
    <row r="330" s="87" customFormat="1" x14ac:dyDescent="0.3"/>
    <row r="331" s="87" customFormat="1" x14ac:dyDescent="0.3"/>
    <row r="332" s="87" customFormat="1" x14ac:dyDescent="0.3"/>
    <row r="333" s="87" customFormat="1" x14ac:dyDescent="0.3"/>
    <row r="334" s="87" customFormat="1" x14ac:dyDescent="0.3"/>
    <row r="335" s="87" customFormat="1" x14ac:dyDescent="0.3"/>
    <row r="336" s="87" customFormat="1" x14ac:dyDescent="0.3"/>
    <row r="337" s="87" customFormat="1" x14ac:dyDescent="0.3"/>
    <row r="338" s="87" customFormat="1" x14ac:dyDescent="0.3"/>
    <row r="339" s="87" customFormat="1" x14ac:dyDescent="0.3"/>
    <row r="340" s="87" customFormat="1" x14ac:dyDescent="0.3"/>
    <row r="341" s="87" customFormat="1" x14ac:dyDescent="0.3"/>
    <row r="342" s="87" customFormat="1" x14ac:dyDescent="0.3"/>
    <row r="343" s="87" customFormat="1" x14ac:dyDescent="0.3"/>
    <row r="344" s="87" customFormat="1" x14ac:dyDescent="0.3"/>
    <row r="345" s="87" customFormat="1" x14ac:dyDescent="0.3"/>
    <row r="346" s="87" customFormat="1" x14ac:dyDescent="0.3"/>
    <row r="347" s="87" customFormat="1" x14ac:dyDescent="0.3"/>
    <row r="348" s="87" customFormat="1" x14ac:dyDescent="0.3"/>
    <row r="349" s="87" customFormat="1" x14ac:dyDescent="0.3"/>
    <row r="350" s="87" customFormat="1" x14ac:dyDescent="0.3"/>
    <row r="351" s="87" customFormat="1" x14ac:dyDescent="0.3"/>
    <row r="352" s="87" customFormat="1" x14ac:dyDescent="0.3"/>
    <row r="353" s="87" customFormat="1" x14ac:dyDescent="0.3"/>
    <row r="354" s="87" customFormat="1" x14ac:dyDescent="0.3"/>
    <row r="355" s="87" customFormat="1" x14ac:dyDescent="0.3"/>
    <row r="356" s="87" customFormat="1" x14ac:dyDescent="0.3"/>
    <row r="357" s="87" customFormat="1" x14ac:dyDescent="0.3"/>
    <row r="358" s="87" customFormat="1" x14ac:dyDescent="0.3"/>
    <row r="359" s="87" customFormat="1" x14ac:dyDescent="0.3"/>
    <row r="360" s="87" customFormat="1" x14ac:dyDescent="0.3"/>
    <row r="361" s="87" customFormat="1" x14ac:dyDescent="0.3"/>
    <row r="362" s="87" customFormat="1" x14ac:dyDescent="0.3"/>
    <row r="363" s="87" customFormat="1" x14ac:dyDescent="0.3"/>
    <row r="364" s="87" customFormat="1" x14ac:dyDescent="0.3"/>
    <row r="365" s="87" customFormat="1" x14ac:dyDescent="0.3"/>
    <row r="366" s="87" customFormat="1" x14ac:dyDescent="0.3"/>
    <row r="367" s="87" customFormat="1" x14ac:dyDescent="0.3"/>
    <row r="368" s="87" customFormat="1" x14ac:dyDescent="0.3"/>
    <row r="369" s="87" customFormat="1" x14ac:dyDescent="0.3"/>
    <row r="370" s="87" customFormat="1" x14ac:dyDescent="0.3"/>
    <row r="371" s="87" customFormat="1" x14ac:dyDescent="0.3"/>
    <row r="372" s="87" customFormat="1" x14ac:dyDescent="0.3"/>
    <row r="373" s="87" customFormat="1" x14ac:dyDescent="0.3"/>
    <row r="374" s="87" customFormat="1" x14ac:dyDescent="0.3"/>
    <row r="375" s="87" customFormat="1" x14ac:dyDescent="0.3"/>
    <row r="376" s="87" customFormat="1" x14ac:dyDescent="0.3"/>
    <row r="377" s="87" customFormat="1" x14ac:dyDescent="0.3"/>
    <row r="378" s="87" customFormat="1" x14ac:dyDescent="0.3"/>
    <row r="379" s="87" customFormat="1" x14ac:dyDescent="0.3"/>
    <row r="380" s="87" customFormat="1" x14ac:dyDescent="0.3"/>
    <row r="381" s="87" customFormat="1" x14ac:dyDescent="0.3"/>
    <row r="382" s="87" customFormat="1" x14ac:dyDescent="0.3"/>
    <row r="383" s="87" customFormat="1" x14ac:dyDescent="0.3"/>
    <row r="384" s="87" customFormat="1" x14ac:dyDescent="0.3"/>
    <row r="385" s="87" customFormat="1" x14ac:dyDescent="0.3"/>
    <row r="386" s="87" customFormat="1" x14ac:dyDescent="0.3"/>
    <row r="387" s="87" customFormat="1" x14ac:dyDescent="0.3"/>
    <row r="388" s="87" customFormat="1" x14ac:dyDescent="0.3"/>
    <row r="389" s="87" customFormat="1" x14ac:dyDescent="0.3"/>
    <row r="390" s="87" customFormat="1" x14ac:dyDescent="0.3"/>
    <row r="391" s="87" customFormat="1" x14ac:dyDescent="0.3"/>
    <row r="392" s="87" customFormat="1" x14ac:dyDescent="0.3"/>
    <row r="393" s="87" customFormat="1" x14ac:dyDescent="0.3"/>
    <row r="394" s="87" customFormat="1" x14ac:dyDescent="0.3"/>
    <row r="395" s="87" customFormat="1" x14ac:dyDescent="0.3"/>
    <row r="396" s="87" customFormat="1" x14ac:dyDescent="0.3"/>
    <row r="397" s="87" customFormat="1" x14ac:dyDescent="0.3"/>
    <row r="398" s="87" customFormat="1" x14ac:dyDescent="0.3"/>
    <row r="399" s="87" customFormat="1" x14ac:dyDescent="0.3"/>
    <row r="400" s="87" customFormat="1" x14ac:dyDescent="0.3"/>
    <row r="401" s="87" customFormat="1" x14ac:dyDescent="0.3"/>
    <row r="402" s="87" customFormat="1" x14ac:dyDescent="0.3"/>
    <row r="403" s="87" customFormat="1" x14ac:dyDescent="0.3"/>
    <row r="404" s="87" customFormat="1" x14ac:dyDescent="0.3"/>
    <row r="405" s="87" customFormat="1" x14ac:dyDescent="0.3"/>
    <row r="406" s="87" customFormat="1" x14ac:dyDescent="0.3"/>
    <row r="407" s="87" customFormat="1" x14ac:dyDescent="0.3"/>
    <row r="408" s="87" customFormat="1" x14ac:dyDescent="0.3"/>
    <row r="409" s="87" customFormat="1" x14ac:dyDescent="0.3"/>
    <row r="410" s="87" customFormat="1" x14ac:dyDescent="0.3"/>
    <row r="411" s="87" customFormat="1" x14ac:dyDescent="0.3"/>
    <row r="412" s="87" customFormat="1" x14ac:dyDescent="0.3"/>
    <row r="413" s="87" customFormat="1" x14ac:dyDescent="0.3"/>
    <row r="414" s="87" customFormat="1" x14ac:dyDescent="0.3"/>
    <row r="415" s="87" customFormat="1" x14ac:dyDescent="0.3"/>
    <row r="416" s="87" customFormat="1" x14ac:dyDescent="0.3"/>
    <row r="417" s="87" customFormat="1" x14ac:dyDescent="0.3"/>
    <row r="418" s="87" customFormat="1" x14ac:dyDescent="0.3"/>
    <row r="419" s="87" customFormat="1" x14ac:dyDescent="0.3"/>
    <row r="420" s="87" customFormat="1" x14ac:dyDescent="0.3"/>
    <row r="421" s="87" customFormat="1" x14ac:dyDescent="0.3"/>
    <row r="422" s="87" customFormat="1" x14ac:dyDescent="0.3"/>
    <row r="423" s="87" customFormat="1" x14ac:dyDescent="0.3"/>
    <row r="424" s="87" customFormat="1" x14ac:dyDescent="0.3"/>
    <row r="425" s="87" customFormat="1" x14ac:dyDescent="0.3"/>
    <row r="426" s="87" customFormat="1" x14ac:dyDescent="0.3"/>
    <row r="427" s="87" customFormat="1" x14ac:dyDescent="0.3"/>
    <row r="428" s="87" customFormat="1" x14ac:dyDescent="0.3"/>
    <row r="429" s="87" customFormat="1" x14ac:dyDescent="0.3"/>
    <row r="430" s="87" customFormat="1" x14ac:dyDescent="0.3"/>
    <row r="431" s="87" customFormat="1" x14ac:dyDescent="0.3"/>
    <row r="432" s="87" customFormat="1" x14ac:dyDescent="0.3"/>
    <row r="433" s="87" customFormat="1" x14ac:dyDescent="0.3"/>
    <row r="434" s="87" customFormat="1" x14ac:dyDescent="0.3"/>
    <row r="435" s="87" customFormat="1" x14ac:dyDescent="0.3"/>
    <row r="436" s="87" customFormat="1" x14ac:dyDescent="0.3"/>
    <row r="437" s="87" customFormat="1" x14ac:dyDescent="0.3"/>
    <row r="438" s="87" customFormat="1" x14ac:dyDescent="0.3"/>
    <row r="439" s="87" customFormat="1" x14ac:dyDescent="0.3"/>
    <row r="440" s="87" customFormat="1" x14ac:dyDescent="0.3"/>
    <row r="441" s="87" customFormat="1" x14ac:dyDescent="0.3"/>
    <row r="442" s="87" customFormat="1" x14ac:dyDescent="0.3"/>
    <row r="443" s="87" customFormat="1" x14ac:dyDescent="0.3"/>
    <row r="444" s="87" customFormat="1" x14ac:dyDescent="0.3"/>
    <row r="445" s="87" customFormat="1" x14ac:dyDescent="0.3"/>
    <row r="446" s="87" customFormat="1" x14ac:dyDescent="0.3"/>
    <row r="447" s="87" customFormat="1" x14ac:dyDescent="0.3"/>
    <row r="448" s="87" customFormat="1" x14ac:dyDescent="0.3"/>
    <row r="449" s="87" customFormat="1" x14ac:dyDescent="0.3"/>
    <row r="450" s="87" customFormat="1" x14ac:dyDescent="0.3"/>
    <row r="451" s="87" customFormat="1" x14ac:dyDescent="0.3"/>
    <row r="452" s="87" customFormat="1" x14ac:dyDescent="0.3"/>
    <row r="453" s="87" customFormat="1" x14ac:dyDescent="0.3"/>
    <row r="454" s="87" customFormat="1" x14ac:dyDescent="0.3"/>
    <row r="455" s="87" customFormat="1" x14ac:dyDescent="0.3"/>
    <row r="456" s="87" customFormat="1" x14ac:dyDescent="0.3"/>
    <row r="457" s="87" customFormat="1" x14ac:dyDescent="0.3"/>
    <row r="458" s="87" customFormat="1" x14ac:dyDescent="0.3"/>
    <row r="459" s="87" customFormat="1" x14ac:dyDescent="0.3"/>
    <row r="460" s="87" customFormat="1" x14ac:dyDescent="0.3"/>
    <row r="461" s="87" customFormat="1" x14ac:dyDescent="0.3"/>
    <row r="462" s="87" customFormat="1" x14ac:dyDescent="0.3"/>
    <row r="463" s="87" customFormat="1" x14ac:dyDescent="0.3"/>
    <row r="464" s="87" customFormat="1" x14ac:dyDescent="0.3"/>
    <row r="465" s="87" customFormat="1" x14ac:dyDescent="0.3"/>
    <row r="466" s="87" customFormat="1" x14ac:dyDescent="0.3"/>
    <row r="467" s="87" customFormat="1" x14ac:dyDescent="0.3"/>
    <row r="468" s="87" customFormat="1" x14ac:dyDescent="0.3"/>
    <row r="469" s="87" customFormat="1" x14ac:dyDescent="0.3"/>
    <row r="470" s="87" customFormat="1" x14ac:dyDescent="0.3"/>
    <row r="471" s="87" customFormat="1" x14ac:dyDescent="0.3"/>
    <row r="472" s="87" customFormat="1" x14ac:dyDescent="0.3"/>
    <row r="473" s="87" customFormat="1" x14ac:dyDescent="0.3"/>
    <row r="474" s="87" customFormat="1" x14ac:dyDescent="0.3"/>
    <row r="475" s="87" customFormat="1" x14ac:dyDescent="0.3"/>
    <row r="476" s="87" customFormat="1" x14ac:dyDescent="0.3"/>
    <row r="477" s="87" customFormat="1" x14ac:dyDescent="0.3"/>
    <row r="478" s="87" customFormat="1" x14ac:dyDescent="0.3"/>
    <row r="479" s="87" customFormat="1" x14ac:dyDescent="0.3"/>
    <row r="480" s="87" customFormat="1" x14ac:dyDescent="0.3"/>
    <row r="481" s="87" customFormat="1" x14ac:dyDescent="0.3"/>
    <row r="482" s="87" customFormat="1" x14ac:dyDescent="0.3"/>
    <row r="483" s="87" customFormat="1" x14ac:dyDescent="0.3"/>
    <row r="484" s="87" customFormat="1" x14ac:dyDescent="0.3"/>
    <row r="485" s="87" customFormat="1" x14ac:dyDescent="0.3"/>
    <row r="486" s="87" customFormat="1" x14ac:dyDescent="0.3"/>
    <row r="487" s="87" customFormat="1" x14ac:dyDescent="0.3"/>
    <row r="488" s="87" customFormat="1" x14ac:dyDescent="0.3"/>
    <row r="489" s="87" customFormat="1" x14ac:dyDescent="0.3"/>
    <row r="490" s="87" customFormat="1" x14ac:dyDescent="0.3"/>
    <row r="491" s="87" customFormat="1" x14ac:dyDescent="0.3"/>
    <row r="492" s="87" customFormat="1" x14ac:dyDescent="0.3"/>
    <row r="493" s="87" customFormat="1" x14ac:dyDescent="0.3"/>
    <row r="494" s="87" customFormat="1" x14ac:dyDescent="0.3"/>
    <row r="495" s="87" customFormat="1" x14ac:dyDescent="0.3"/>
    <row r="496" s="87" customFormat="1" x14ac:dyDescent="0.3"/>
    <row r="497" s="87" customFormat="1" x14ac:dyDescent="0.3"/>
    <row r="498" s="87" customFormat="1" x14ac:dyDescent="0.3"/>
    <row r="499" s="87" customFormat="1" x14ac:dyDescent="0.3"/>
    <row r="500" s="87" customFormat="1" x14ac:dyDescent="0.3"/>
    <row r="501" s="87" customFormat="1" x14ac:dyDescent="0.3"/>
    <row r="502" s="87" customFormat="1" x14ac:dyDescent="0.3"/>
    <row r="503" s="87" customFormat="1" x14ac:dyDescent="0.3"/>
    <row r="504" s="87" customFormat="1" x14ac:dyDescent="0.3"/>
    <row r="505" s="87" customFormat="1" x14ac:dyDescent="0.3"/>
    <row r="506" s="87" customFormat="1" x14ac:dyDescent="0.3"/>
    <row r="507" s="87" customFormat="1" x14ac:dyDescent="0.3"/>
    <row r="508" s="87" customFormat="1" x14ac:dyDescent="0.3"/>
    <row r="509" s="87" customFormat="1" x14ac:dyDescent="0.3"/>
    <row r="510" s="87" customFormat="1" x14ac:dyDescent="0.3"/>
    <row r="511" s="87" customFormat="1" x14ac:dyDescent="0.3"/>
    <row r="512" s="87" customFormat="1" x14ac:dyDescent="0.3"/>
    <row r="513" s="87" customFormat="1" x14ac:dyDescent="0.3"/>
    <row r="514" s="87" customFormat="1" x14ac:dyDescent="0.3"/>
    <row r="515" s="87" customFormat="1" x14ac:dyDescent="0.3"/>
    <row r="516" s="87" customFormat="1" x14ac:dyDescent="0.3"/>
    <row r="517" s="87" customFormat="1" x14ac:dyDescent="0.3"/>
    <row r="518" s="87" customFormat="1" x14ac:dyDescent="0.3"/>
    <row r="519" s="87" customFormat="1" x14ac:dyDescent="0.3"/>
    <row r="520" s="87" customFormat="1" x14ac:dyDescent="0.3"/>
    <row r="521" s="87" customFormat="1" x14ac:dyDescent="0.3"/>
    <row r="522" s="87" customFormat="1" x14ac:dyDescent="0.3"/>
    <row r="523" s="87" customFormat="1" x14ac:dyDescent="0.3"/>
    <row r="524" s="87" customFormat="1" x14ac:dyDescent="0.3"/>
    <row r="525" s="87" customFormat="1" x14ac:dyDescent="0.3"/>
    <row r="526" s="87" customFormat="1" x14ac:dyDescent="0.3"/>
    <row r="527" s="87" customFormat="1" x14ac:dyDescent="0.3"/>
    <row r="528" s="87" customFormat="1" x14ac:dyDescent="0.3"/>
    <row r="529" s="87" customFormat="1" x14ac:dyDescent="0.3"/>
    <row r="530" s="87" customFormat="1" x14ac:dyDescent="0.3"/>
    <row r="531" s="87" customFormat="1" x14ac:dyDescent="0.3"/>
    <row r="532" s="87" customFormat="1" x14ac:dyDescent="0.3"/>
    <row r="533" s="87" customFormat="1" x14ac:dyDescent="0.3"/>
    <row r="534" s="87" customFormat="1" x14ac:dyDescent="0.3"/>
    <row r="535" s="87" customFormat="1" x14ac:dyDescent="0.3"/>
    <row r="536" s="87" customFormat="1" x14ac:dyDescent="0.3"/>
    <row r="537" s="87" customFormat="1" x14ac:dyDescent="0.3"/>
    <row r="538" s="87" customFormat="1" x14ac:dyDescent="0.3"/>
    <row r="539" s="87" customFormat="1" x14ac:dyDescent="0.3"/>
    <row r="540" s="87" customFormat="1" x14ac:dyDescent="0.3"/>
    <row r="541" s="87" customFormat="1" x14ac:dyDescent="0.3"/>
    <row r="542" s="87" customFormat="1" x14ac:dyDescent="0.3"/>
    <row r="543" s="87" customFormat="1" x14ac:dyDescent="0.3"/>
    <row r="544" s="87" customFormat="1" x14ac:dyDescent="0.3"/>
    <row r="545" s="87" customFormat="1" x14ac:dyDescent="0.3"/>
    <row r="546" s="87" customFormat="1" x14ac:dyDescent="0.3"/>
    <row r="547" s="87" customFormat="1" x14ac:dyDescent="0.3"/>
    <row r="548" s="87" customFormat="1" x14ac:dyDescent="0.3"/>
    <row r="549" s="87" customFormat="1" x14ac:dyDescent="0.3"/>
    <row r="550" s="87" customFormat="1" x14ac:dyDescent="0.3"/>
    <row r="551" s="87" customFormat="1" x14ac:dyDescent="0.3"/>
    <row r="552" s="87" customFormat="1" x14ac:dyDescent="0.3"/>
    <row r="553" s="87" customFormat="1" x14ac:dyDescent="0.3"/>
    <row r="554" s="87" customFormat="1" x14ac:dyDescent="0.3"/>
    <row r="555" s="87" customFormat="1" x14ac:dyDescent="0.3"/>
    <row r="556" s="87" customFormat="1" x14ac:dyDescent="0.3"/>
    <row r="557" s="87" customFormat="1" x14ac:dyDescent="0.3"/>
    <row r="558" s="87" customFormat="1" x14ac:dyDescent="0.3"/>
    <row r="559" s="87" customFormat="1" x14ac:dyDescent="0.3"/>
    <row r="560" s="87" customFormat="1" x14ac:dyDescent="0.3"/>
    <row r="561" s="87" customFormat="1" x14ac:dyDescent="0.3"/>
    <row r="562" s="87" customFormat="1" x14ac:dyDescent="0.3"/>
    <row r="563" s="87" customFormat="1" x14ac:dyDescent="0.3"/>
    <row r="564" s="87" customFormat="1" x14ac:dyDescent="0.3"/>
    <row r="565" s="87" customFormat="1" x14ac:dyDescent="0.3"/>
    <row r="566" s="87" customFormat="1" x14ac:dyDescent="0.3"/>
    <row r="567" s="87" customFormat="1" x14ac:dyDescent="0.3"/>
    <row r="568" s="87" customFormat="1" x14ac:dyDescent="0.3"/>
    <row r="569" s="87" customFormat="1" x14ac:dyDescent="0.3"/>
    <row r="570" s="87" customFormat="1" x14ac:dyDescent="0.3"/>
    <row r="571" s="87" customFormat="1" x14ac:dyDescent="0.3"/>
    <row r="572" s="87" customFormat="1" x14ac:dyDescent="0.3"/>
    <row r="573" s="87" customFormat="1" x14ac:dyDescent="0.3"/>
    <row r="574" s="87" customFormat="1" x14ac:dyDescent="0.3"/>
    <row r="575" s="87" customFormat="1" x14ac:dyDescent="0.3"/>
    <row r="576" s="87" customFormat="1" x14ac:dyDescent="0.3"/>
    <row r="577" s="87" customFormat="1" x14ac:dyDescent="0.3"/>
    <row r="578" s="87" customFormat="1" x14ac:dyDescent="0.3"/>
    <row r="579" s="87" customFormat="1" x14ac:dyDescent="0.3"/>
    <row r="580" s="87" customFormat="1" x14ac:dyDescent="0.3"/>
    <row r="581" s="87" customFormat="1" x14ac:dyDescent="0.3"/>
    <row r="582" s="87" customFormat="1" x14ac:dyDescent="0.3"/>
    <row r="583" s="87" customFormat="1" x14ac:dyDescent="0.3"/>
    <row r="584" s="87" customFormat="1" x14ac:dyDescent="0.3"/>
    <row r="585" s="87" customFormat="1" x14ac:dyDescent="0.3"/>
    <row r="586" s="87" customFormat="1" x14ac:dyDescent="0.3"/>
    <row r="587" s="87" customFormat="1" x14ac:dyDescent="0.3"/>
    <row r="588" s="87" customFormat="1" x14ac:dyDescent="0.3"/>
    <row r="589" s="87" customFormat="1" x14ac:dyDescent="0.3"/>
    <row r="590" s="87" customFormat="1" x14ac:dyDescent="0.3"/>
    <row r="591" s="87" customFormat="1" x14ac:dyDescent="0.3"/>
    <row r="592" s="87" customFormat="1" x14ac:dyDescent="0.3"/>
    <row r="593" s="87" customFormat="1" x14ac:dyDescent="0.3"/>
    <row r="594" s="87" customFormat="1" x14ac:dyDescent="0.3"/>
    <row r="595" s="87" customFormat="1" x14ac:dyDescent="0.3"/>
    <row r="596" s="87" customFormat="1" x14ac:dyDescent="0.3"/>
    <row r="597" s="87" customFormat="1" x14ac:dyDescent="0.3"/>
    <row r="598" s="87" customFormat="1" x14ac:dyDescent="0.3"/>
    <row r="599" s="87" customFormat="1" x14ac:dyDescent="0.3"/>
    <row r="600" s="87" customFormat="1" x14ac:dyDescent="0.3"/>
    <row r="601" s="87" customFormat="1" x14ac:dyDescent="0.3"/>
    <row r="602" s="87" customFormat="1" x14ac:dyDescent="0.3"/>
    <row r="603" s="87" customFormat="1" x14ac:dyDescent="0.3"/>
    <row r="604" s="87" customFormat="1" x14ac:dyDescent="0.3"/>
    <row r="605" s="87" customFormat="1" x14ac:dyDescent="0.3"/>
    <row r="606" s="87" customFormat="1" x14ac:dyDescent="0.3"/>
    <row r="607" s="87" customFormat="1" x14ac:dyDescent="0.3"/>
    <row r="608" s="87" customFormat="1" x14ac:dyDescent="0.3"/>
    <row r="609" s="87" customFormat="1" x14ac:dyDescent="0.3"/>
    <row r="610" s="87" customFormat="1" x14ac:dyDescent="0.3"/>
    <row r="611" s="87" customFormat="1" x14ac:dyDescent="0.3"/>
    <row r="612" s="87" customFormat="1" x14ac:dyDescent="0.3"/>
    <row r="613" s="87" customFormat="1" x14ac:dyDescent="0.3"/>
    <row r="614" s="87" customFormat="1" x14ac:dyDescent="0.3"/>
    <row r="615" s="87" customFormat="1" x14ac:dyDescent="0.3"/>
    <row r="616" s="87" customFormat="1" x14ac:dyDescent="0.3"/>
    <row r="617" s="87" customFormat="1" x14ac:dyDescent="0.3"/>
    <row r="618" s="87" customFormat="1" x14ac:dyDescent="0.3"/>
    <row r="619" s="87" customFormat="1" x14ac:dyDescent="0.3"/>
    <row r="620" s="87" customFormat="1" x14ac:dyDescent="0.3"/>
    <row r="621" s="87" customFormat="1" x14ac:dyDescent="0.3"/>
    <row r="622" s="87" customFormat="1" x14ac:dyDescent="0.3"/>
    <row r="623" s="87" customFormat="1" x14ac:dyDescent="0.3"/>
    <row r="624" s="87" customFormat="1" x14ac:dyDescent="0.3"/>
    <row r="625" s="87" customFormat="1" x14ac:dyDescent="0.3"/>
    <row r="626" s="87" customFormat="1" x14ac:dyDescent="0.3"/>
    <row r="627" s="87" customFormat="1" x14ac:dyDescent="0.3"/>
    <row r="628" s="87" customFormat="1" x14ac:dyDescent="0.3"/>
    <row r="629" s="87" customFormat="1" x14ac:dyDescent="0.3"/>
    <row r="630" s="87" customFormat="1" x14ac:dyDescent="0.3"/>
    <row r="631" s="87" customFormat="1" x14ac:dyDescent="0.3"/>
    <row r="632" s="87" customFormat="1" x14ac:dyDescent="0.3"/>
    <row r="633" s="87" customFormat="1" x14ac:dyDescent="0.3"/>
    <row r="634" s="87" customFormat="1" x14ac:dyDescent="0.3"/>
    <row r="635" s="87" customFormat="1" x14ac:dyDescent="0.3"/>
    <row r="636" s="87" customFormat="1" x14ac:dyDescent="0.3"/>
    <row r="637" s="87" customFormat="1" x14ac:dyDescent="0.3"/>
    <row r="638" s="87" customFormat="1" x14ac:dyDescent="0.3"/>
    <row r="639" s="87" customFormat="1" x14ac:dyDescent="0.3"/>
    <row r="640" s="87" customFormat="1" x14ac:dyDescent="0.3"/>
    <row r="641" s="87" customFormat="1" x14ac:dyDescent="0.3"/>
    <row r="642" s="87" customFormat="1" x14ac:dyDescent="0.3"/>
    <row r="643" s="87" customFormat="1" x14ac:dyDescent="0.3"/>
    <row r="644" s="87" customFormat="1" x14ac:dyDescent="0.3"/>
    <row r="645" s="87" customFormat="1" x14ac:dyDescent="0.3"/>
    <row r="646" s="87" customFormat="1" x14ac:dyDescent="0.3"/>
    <row r="647" s="87" customFormat="1" x14ac:dyDescent="0.3"/>
    <row r="648" s="87" customFormat="1" x14ac:dyDescent="0.3"/>
    <row r="649" s="87" customFormat="1" x14ac:dyDescent="0.3"/>
    <row r="650" s="87" customFormat="1" x14ac:dyDescent="0.3"/>
    <row r="651" s="87" customFormat="1" x14ac:dyDescent="0.3"/>
    <row r="652" s="87" customFormat="1" x14ac:dyDescent="0.3"/>
    <row r="653" s="87" customFormat="1" x14ac:dyDescent="0.3"/>
    <row r="654" s="87" customFormat="1" x14ac:dyDescent="0.3"/>
    <row r="655" s="87" customFormat="1" x14ac:dyDescent="0.3"/>
    <row r="656" s="87" customFormat="1" x14ac:dyDescent="0.3"/>
    <row r="657" s="87" customFormat="1" x14ac:dyDescent="0.3"/>
    <row r="658" s="87" customFormat="1" x14ac:dyDescent="0.3"/>
    <row r="659" s="87" customFormat="1" x14ac:dyDescent="0.3"/>
    <row r="660" s="87" customFormat="1" x14ac:dyDescent="0.3"/>
    <row r="661" s="87" customFormat="1" x14ac:dyDescent="0.3"/>
    <row r="662" s="87" customFormat="1" x14ac:dyDescent="0.3"/>
    <row r="663" s="87" customFormat="1" x14ac:dyDescent="0.3"/>
    <row r="664" s="87" customFormat="1" x14ac:dyDescent="0.3"/>
    <row r="665" s="87" customFormat="1" x14ac:dyDescent="0.3"/>
    <row r="666" s="87" customFormat="1" x14ac:dyDescent="0.3"/>
    <row r="667" s="87" customFormat="1" x14ac:dyDescent="0.3"/>
    <row r="668" s="87" customFormat="1" x14ac:dyDescent="0.3"/>
    <row r="669" s="87" customFormat="1" x14ac:dyDescent="0.3"/>
    <row r="670" s="87" customFormat="1" x14ac:dyDescent="0.3"/>
    <row r="671" s="87" customFormat="1" x14ac:dyDescent="0.3"/>
    <row r="672" s="87" customFormat="1" x14ac:dyDescent="0.3"/>
    <row r="673" s="87" customFormat="1" x14ac:dyDescent="0.3"/>
    <row r="674" s="87" customFormat="1" x14ac:dyDescent="0.3"/>
    <row r="675" s="87" customFormat="1" x14ac:dyDescent="0.3"/>
    <row r="676" s="87" customFormat="1" x14ac:dyDescent="0.3"/>
    <row r="677" s="87" customFormat="1" x14ac:dyDescent="0.3"/>
    <row r="678" s="87" customFormat="1" x14ac:dyDescent="0.3"/>
    <row r="679" s="87" customFormat="1" x14ac:dyDescent="0.3"/>
    <row r="680" s="87" customFormat="1" x14ac:dyDescent="0.3"/>
    <row r="681" s="87" customFormat="1" x14ac:dyDescent="0.3"/>
    <row r="682" s="87" customFormat="1" x14ac:dyDescent="0.3"/>
    <row r="683" s="87" customFormat="1" x14ac:dyDescent="0.3"/>
    <row r="684" s="87" customFormat="1" x14ac:dyDescent="0.3"/>
    <row r="685" s="87" customFormat="1" x14ac:dyDescent="0.3"/>
    <row r="686" s="87" customFormat="1" x14ac:dyDescent="0.3"/>
    <row r="687" s="87" customFormat="1" x14ac:dyDescent="0.3"/>
    <row r="688" s="87" customFormat="1" x14ac:dyDescent="0.3"/>
    <row r="689" s="87" customFormat="1" x14ac:dyDescent="0.3"/>
    <row r="690" s="87" customFormat="1" x14ac:dyDescent="0.3"/>
    <row r="691" s="87" customFormat="1" x14ac:dyDescent="0.3"/>
    <row r="692" s="87" customFormat="1" x14ac:dyDescent="0.3"/>
    <row r="693" s="87" customFormat="1" x14ac:dyDescent="0.3"/>
    <row r="694" s="87" customFormat="1" x14ac:dyDescent="0.3"/>
    <row r="695" s="87" customFormat="1" x14ac:dyDescent="0.3"/>
    <row r="696" s="87" customFormat="1" x14ac:dyDescent="0.3"/>
    <row r="697" s="87" customFormat="1" x14ac:dyDescent="0.3"/>
    <row r="698" s="87" customFormat="1" x14ac:dyDescent="0.3"/>
    <row r="699" s="87" customFormat="1" x14ac:dyDescent="0.3"/>
    <row r="700" s="87" customFormat="1" x14ac:dyDescent="0.3"/>
    <row r="701" s="87" customFormat="1" x14ac:dyDescent="0.3"/>
    <row r="702" s="87" customFormat="1" x14ac:dyDescent="0.3"/>
    <row r="703" s="87" customFormat="1" x14ac:dyDescent="0.3"/>
    <row r="704" s="87" customFormat="1" x14ac:dyDescent="0.3"/>
    <row r="705" s="87" customFormat="1" x14ac:dyDescent="0.3"/>
    <row r="706" s="87" customFormat="1" x14ac:dyDescent="0.3"/>
    <row r="707" s="87" customFormat="1" x14ac:dyDescent="0.3"/>
    <row r="708" s="87" customFormat="1" x14ac:dyDescent="0.3"/>
    <row r="709" s="87" customFormat="1" x14ac:dyDescent="0.3"/>
    <row r="710" s="87" customFormat="1" x14ac:dyDescent="0.3"/>
    <row r="711" s="87" customFormat="1" x14ac:dyDescent="0.3"/>
    <row r="712" s="87" customFormat="1" x14ac:dyDescent="0.3"/>
    <row r="713" s="87" customFormat="1" x14ac:dyDescent="0.3"/>
    <row r="714" s="87" customFormat="1" x14ac:dyDescent="0.3"/>
    <row r="715" s="87" customFormat="1" x14ac:dyDescent="0.3"/>
    <row r="716" s="87" customFormat="1" x14ac:dyDescent="0.3"/>
    <row r="717" s="87" customFormat="1" x14ac:dyDescent="0.3"/>
    <row r="718" s="87" customFormat="1" x14ac:dyDescent="0.3"/>
    <row r="719" s="87" customFormat="1" x14ac:dyDescent="0.3"/>
    <row r="720" s="87" customFormat="1" x14ac:dyDescent="0.3"/>
    <row r="721" s="87" customFormat="1" x14ac:dyDescent="0.3"/>
    <row r="722" s="87" customFormat="1" x14ac:dyDescent="0.3"/>
    <row r="723" s="87" customFormat="1" x14ac:dyDescent="0.3"/>
    <row r="724" s="87" customFormat="1" x14ac:dyDescent="0.3"/>
    <row r="725" s="87" customFormat="1" x14ac:dyDescent="0.3"/>
    <row r="726" s="87" customFormat="1" x14ac:dyDescent="0.3"/>
    <row r="727" s="87" customFormat="1" x14ac:dyDescent="0.3"/>
    <row r="728" s="87" customFormat="1" x14ac:dyDescent="0.3"/>
    <row r="729" s="87" customFormat="1" x14ac:dyDescent="0.3"/>
    <row r="730" s="87" customFormat="1" x14ac:dyDescent="0.3"/>
    <row r="731" s="87" customFormat="1" x14ac:dyDescent="0.3"/>
    <row r="732" s="87" customFormat="1" x14ac:dyDescent="0.3"/>
    <row r="733" s="87" customFormat="1" x14ac:dyDescent="0.3"/>
    <row r="734" s="87" customFormat="1" x14ac:dyDescent="0.3"/>
    <row r="735" s="87" customFormat="1" x14ac:dyDescent="0.3"/>
    <row r="736" s="87" customFormat="1" x14ac:dyDescent="0.3"/>
    <row r="737" s="87" customFormat="1" x14ac:dyDescent="0.3"/>
    <row r="738" s="87" customFormat="1" x14ac:dyDescent="0.3"/>
    <row r="739" s="87" customFormat="1" x14ac:dyDescent="0.3"/>
    <row r="740" s="87" customFormat="1" x14ac:dyDescent="0.3"/>
    <row r="741" s="87" customFormat="1" x14ac:dyDescent="0.3"/>
    <row r="742" s="87" customFormat="1" x14ac:dyDescent="0.3"/>
    <row r="743" s="87" customFormat="1" x14ac:dyDescent="0.3"/>
    <row r="744" s="87" customFormat="1" x14ac:dyDescent="0.3"/>
    <row r="745" s="87" customFormat="1" x14ac:dyDescent="0.3"/>
    <row r="746" s="87" customFormat="1" x14ac:dyDescent="0.3"/>
    <row r="747" s="87" customFormat="1" x14ac:dyDescent="0.3"/>
    <row r="748" s="87" customFormat="1" x14ac:dyDescent="0.3"/>
    <row r="749" s="87" customFormat="1" x14ac:dyDescent="0.3"/>
    <row r="750" s="87" customFormat="1" x14ac:dyDescent="0.3"/>
    <row r="751" s="87" customFormat="1" x14ac:dyDescent="0.3"/>
    <row r="752" s="87" customFormat="1" x14ac:dyDescent="0.3"/>
    <row r="753" s="87" customFormat="1" x14ac:dyDescent="0.3"/>
    <row r="754" s="87" customFormat="1" x14ac:dyDescent="0.3"/>
    <row r="755" s="87" customFormat="1" x14ac:dyDescent="0.3"/>
    <row r="756" s="87" customFormat="1" x14ac:dyDescent="0.3"/>
    <row r="757" s="87" customFormat="1" x14ac:dyDescent="0.3"/>
    <row r="758" s="87" customFormat="1" x14ac:dyDescent="0.3"/>
    <row r="759" s="87" customFormat="1" x14ac:dyDescent="0.3"/>
    <row r="760" s="87" customFormat="1" x14ac:dyDescent="0.3"/>
    <row r="761" s="87" customFormat="1" x14ac:dyDescent="0.3"/>
    <row r="762" s="87" customFormat="1" x14ac:dyDescent="0.3"/>
    <row r="763" s="87" customFormat="1" x14ac:dyDescent="0.3"/>
    <row r="764" s="87" customFormat="1" x14ac:dyDescent="0.3"/>
    <row r="765" s="87" customFormat="1" x14ac:dyDescent="0.3"/>
    <row r="766" s="87" customFormat="1" x14ac:dyDescent="0.3"/>
    <row r="767" s="87" customFormat="1" x14ac:dyDescent="0.3"/>
    <row r="768" s="87" customFormat="1" x14ac:dyDescent="0.3"/>
    <row r="769" s="87" customFormat="1" x14ac:dyDescent="0.3"/>
    <row r="770" s="87" customFormat="1" x14ac:dyDescent="0.3"/>
    <row r="771" s="87" customFormat="1" x14ac:dyDescent="0.3"/>
    <row r="772" s="87" customFormat="1" x14ac:dyDescent="0.3"/>
    <row r="773" s="87" customFormat="1" x14ac:dyDescent="0.3"/>
    <row r="774" s="87" customFormat="1" x14ac:dyDescent="0.3"/>
    <row r="775" s="87" customFormat="1" x14ac:dyDescent="0.3"/>
    <row r="776" s="87" customFormat="1" x14ac:dyDescent="0.3"/>
    <row r="777" s="87" customFormat="1" x14ac:dyDescent="0.3"/>
    <row r="778" s="87" customFormat="1" x14ac:dyDescent="0.3"/>
    <row r="779" s="87" customFormat="1" x14ac:dyDescent="0.3"/>
    <row r="780" s="87" customFormat="1" x14ac:dyDescent="0.3"/>
    <row r="781" s="87" customFormat="1" x14ac:dyDescent="0.3"/>
    <row r="782" s="87" customFormat="1" x14ac:dyDescent="0.3"/>
    <row r="783" s="87" customFormat="1" x14ac:dyDescent="0.3"/>
    <row r="784" s="87" customFormat="1" x14ac:dyDescent="0.3"/>
    <row r="785" s="87" customFormat="1" x14ac:dyDescent="0.3"/>
    <row r="786" s="87" customFormat="1" x14ac:dyDescent="0.3"/>
    <row r="787" s="87" customFormat="1" x14ac:dyDescent="0.3"/>
    <row r="788" s="87" customFormat="1" x14ac:dyDescent="0.3"/>
    <row r="789" s="87" customFormat="1" x14ac:dyDescent="0.3"/>
    <row r="790" s="87" customFormat="1" x14ac:dyDescent="0.3"/>
    <row r="791" s="87" customFormat="1" x14ac:dyDescent="0.3"/>
    <row r="792" s="87" customFormat="1" x14ac:dyDescent="0.3"/>
  </sheetData>
  <mergeCells count="10">
    <mergeCell ref="C29:E29"/>
    <mergeCell ref="F29:H29"/>
    <mergeCell ref="A28:C28"/>
    <mergeCell ref="A15:C15"/>
    <mergeCell ref="A13:C13"/>
    <mergeCell ref="H5:I5"/>
    <mergeCell ref="F7:J7"/>
    <mergeCell ref="A16:B16"/>
    <mergeCell ref="C16:E16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Q1 Summary</vt:lpstr>
      <vt:lpstr>Q2 Summary</vt:lpstr>
      <vt:lpstr>Question 1 </vt:lpstr>
      <vt:lpstr>Question 1 (a)</vt:lpstr>
      <vt:lpstr>Sensitivity Analysis</vt:lpstr>
      <vt:lpstr>Sensitivity Analysis (2)</vt:lpstr>
      <vt:lpstr>Sensitivity Analysis (3)</vt:lpstr>
      <vt:lpstr>Sensitivity Analysis (4)</vt:lpstr>
      <vt:lpstr>Sensitivity Analysis (5)</vt:lpstr>
      <vt:lpstr>Sensitivity Analysis (6)</vt:lpstr>
      <vt:lpstr>CEA</vt:lpstr>
      <vt:lpstr>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Singh</dc:creator>
  <cp:lastModifiedBy>Anshuman Singh</cp:lastModifiedBy>
  <dcterms:created xsi:type="dcterms:W3CDTF">2025-10-07T07:06:49Z</dcterms:created>
  <dcterms:modified xsi:type="dcterms:W3CDTF">2025-10-08T09:33:22Z</dcterms:modified>
</cp:coreProperties>
</file>