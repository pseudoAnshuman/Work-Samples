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SS Notes\2nd Sem\Energy\"/>
    </mc:Choice>
  </mc:AlternateContent>
  <xr:revisionPtr revIDLastSave="0" documentId="13_ncr:1_{EE72EF39-CD9D-4F2B-AAE3-81A67C109EB5}" xr6:coauthVersionLast="47" xr6:coauthVersionMax="47" xr10:uidLastSave="{00000000-0000-0000-0000-000000000000}"/>
  <bookViews>
    <workbookView xWindow="-108" yWindow="-108" windowWidth="23256" windowHeight="12456" activeTab="2" xr2:uid="{3CC2DAFD-DBD7-42ED-A604-75F0887E966A}"/>
  </bookViews>
  <sheets>
    <sheet name="Data" sheetId="2" r:id="rId1"/>
    <sheet name="Simple Decomposition" sheetId="3" r:id="rId2"/>
    <sheet name="Divisia based Decomposition" sheetId="4" r:id="rId3"/>
    <sheet name="Regression Analysis" sheetId="5" r:id="rId4"/>
    <sheet name="Interpretation 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8" i="5" l="1"/>
  <c r="Q34" i="5"/>
  <c r="F57" i="5" l="1"/>
  <c r="F58" i="5"/>
  <c r="F59" i="5"/>
  <c r="F60" i="5"/>
  <c r="F61" i="5"/>
  <c r="F62" i="5"/>
  <c r="F63" i="5"/>
  <c r="F64" i="5"/>
  <c r="F65" i="5"/>
  <c r="F6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6" i="5"/>
  <c r="R39" i="4"/>
  <c r="R40" i="4"/>
  <c r="R41" i="4"/>
  <c r="R38" i="4"/>
  <c r="K39" i="4"/>
  <c r="K40" i="4"/>
  <c r="K41" i="4"/>
  <c r="K38" i="4"/>
  <c r="J39" i="4"/>
  <c r="J40" i="4"/>
  <c r="J41" i="4"/>
  <c r="J38" i="4"/>
  <c r="G39" i="4"/>
  <c r="G40" i="4"/>
  <c r="G41" i="4"/>
  <c r="G38" i="4"/>
  <c r="F39" i="4"/>
  <c r="F40" i="4"/>
  <c r="F41" i="4"/>
  <c r="F38" i="4"/>
  <c r="R17" i="4"/>
  <c r="R18" i="4"/>
  <c r="R19" i="4"/>
  <c r="R16" i="4"/>
  <c r="K17" i="4"/>
  <c r="K18" i="4"/>
  <c r="K19" i="4"/>
  <c r="K16" i="4"/>
  <c r="J17" i="4"/>
  <c r="J18" i="4"/>
  <c r="J19" i="4"/>
  <c r="J16" i="4"/>
  <c r="G17" i="4"/>
  <c r="G18" i="4"/>
  <c r="G19" i="4"/>
  <c r="G16" i="4"/>
  <c r="F17" i="4"/>
  <c r="F18" i="4"/>
  <c r="F19" i="4"/>
  <c r="F16" i="4"/>
  <c r="H12" i="3"/>
  <c r="U7" i="4"/>
  <c r="U8" i="4"/>
  <c r="U9" i="4"/>
  <c r="U6" i="4"/>
  <c r="O7" i="4"/>
  <c r="O8" i="4"/>
  <c r="O9" i="4"/>
  <c r="O6" i="4"/>
  <c r="I7" i="4"/>
  <c r="I8" i="4"/>
  <c r="I9" i="4"/>
  <c r="I6" i="4"/>
  <c r="U11" i="3"/>
  <c r="M43" i="3"/>
  <c r="M44" i="3"/>
  <c r="M45" i="3"/>
  <c r="M46" i="3"/>
  <c r="M42" i="3"/>
  <c r="H46" i="3"/>
  <c r="L43" i="3"/>
  <c r="L44" i="3"/>
  <c r="L45" i="3"/>
  <c r="L46" i="3"/>
  <c r="L42" i="3"/>
  <c r="H43" i="3"/>
  <c r="H44" i="3"/>
  <c r="H45" i="3"/>
  <c r="H42" i="3"/>
  <c r="G43" i="3"/>
  <c r="G44" i="3"/>
  <c r="G45" i="3"/>
  <c r="G46" i="3"/>
  <c r="G42" i="3"/>
  <c r="G9" i="3"/>
  <c r="G10" i="3"/>
  <c r="G11" i="3"/>
  <c r="G12" i="3"/>
  <c r="M12" i="3"/>
  <c r="M9" i="3"/>
  <c r="M10" i="3"/>
  <c r="M11" i="3"/>
  <c r="M8" i="3"/>
  <c r="H9" i="3"/>
  <c r="H10" i="3"/>
  <c r="H11" i="3"/>
  <c r="H8" i="3"/>
  <c r="L9" i="3"/>
  <c r="L10" i="3"/>
  <c r="L11" i="3"/>
  <c r="L12" i="3"/>
  <c r="L8" i="3"/>
  <c r="G8" i="3"/>
  <c r="P9" i="3" l="1"/>
  <c r="N46" i="3"/>
  <c r="P12" i="3"/>
  <c r="N45" i="3"/>
  <c r="N11" i="3"/>
  <c r="O12" i="3"/>
  <c r="U8" i="3" s="1"/>
  <c r="I12" i="3"/>
  <c r="U7" i="3" s="1"/>
  <c r="I10" i="3"/>
  <c r="I9" i="3"/>
  <c r="P42" i="3"/>
  <c r="Q42" i="3" s="1"/>
  <c r="P8" i="3"/>
  <c r="Q8" i="3" s="1"/>
  <c r="O10" i="3"/>
  <c r="P10" i="3"/>
  <c r="Q10" i="3" s="1"/>
  <c r="I8" i="3"/>
  <c r="P11" i="3"/>
  <c r="Q11" i="3" s="1"/>
  <c r="I46" i="3"/>
  <c r="O9" i="3"/>
  <c r="P45" i="3"/>
  <c r="Q45" i="3" s="1"/>
  <c r="O44" i="3"/>
  <c r="O11" i="3"/>
  <c r="O8" i="3"/>
  <c r="N43" i="3"/>
  <c r="Q9" i="3"/>
  <c r="P43" i="3"/>
  <c r="Q43" i="3" s="1"/>
  <c r="P46" i="3"/>
  <c r="N42" i="3"/>
  <c r="N44" i="3"/>
  <c r="O46" i="3"/>
  <c r="P44" i="3"/>
  <c r="Q44" i="3" s="1"/>
  <c r="I42" i="3"/>
  <c r="I45" i="3"/>
  <c r="I44" i="3"/>
  <c r="I43" i="3"/>
  <c r="O45" i="3"/>
  <c r="H39" i="4"/>
  <c r="H38" i="4"/>
  <c r="H41" i="4"/>
  <c r="H19" i="4"/>
  <c r="H18" i="4"/>
  <c r="H40" i="4"/>
  <c r="H17" i="4"/>
  <c r="H16" i="4"/>
  <c r="R42" i="4"/>
  <c r="R20" i="4"/>
  <c r="O42" i="3"/>
  <c r="O43" i="3"/>
  <c r="I11" i="3"/>
  <c r="N9" i="3"/>
  <c r="N8" i="3"/>
  <c r="N10" i="3"/>
  <c r="N12" i="3"/>
  <c r="Q46" i="3" l="1"/>
  <c r="Q12" i="3"/>
  <c r="U9" i="3" s="1"/>
  <c r="U10" i="3" s="1"/>
  <c r="U12" i="3" s="1"/>
  <c r="H42" i="4"/>
  <c r="I39" i="4" s="1"/>
  <c r="L39" i="4" s="1"/>
  <c r="H20" i="4"/>
  <c r="I19" i="4" s="1"/>
  <c r="L19" i="4" s="1"/>
  <c r="I40" i="4" l="1"/>
  <c r="L40" i="4" s="1"/>
  <c r="O40" i="4" s="1"/>
  <c r="M39" i="4"/>
  <c r="P39" i="4" s="1"/>
  <c r="I18" i="4"/>
  <c r="M18" i="4" s="1"/>
  <c r="P18" i="4" s="1"/>
  <c r="I38" i="4"/>
  <c r="M38" i="4" s="1"/>
  <c r="I41" i="4"/>
  <c r="M41" i="4" s="1"/>
  <c r="P41" i="4" s="1"/>
  <c r="M19" i="4"/>
  <c r="P19" i="4" s="1"/>
  <c r="I17" i="4"/>
  <c r="L17" i="4" s="1"/>
  <c r="I16" i="4"/>
  <c r="M40" i="4"/>
  <c r="P40" i="4" s="1"/>
  <c r="O19" i="4"/>
  <c r="O39" i="4"/>
  <c r="N39" i="4" l="1"/>
  <c r="Q39" i="4"/>
  <c r="S39" i="4" s="1"/>
  <c r="N40" i="4"/>
  <c r="L41" i="4"/>
  <c r="N41" i="4" s="1"/>
  <c r="L38" i="4"/>
  <c r="N38" i="4" s="1"/>
  <c r="L18" i="4"/>
  <c r="Q19" i="4"/>
  <c r="S19" i="4" s="1"/>
  <c r="N19" i="4"/>
  <c r="M17" i="4"/>
  <c r="P17" i="4" s="1"/>
  <c r="O17" i="4"/>
  <c r="Q40" i="4"/>
  <c r="S40" i="4" s="1"/>
  <c r="L16" i="4"/>
  <c r="M16" i="4"/>
  <c r="P38" i="4"/>
  <c r="M42" i="4"/>
  <c r="O41" i="4"/>
  <c r="Q41" i="4" s="1"/>
  <c r="S41" i="4" s="1"/>
  <c r="L42" i="4" l="1"/>
  <c r="O42" i="4" s="1"/>
  <c r="O38" i="4"/>
  <c r="N18" i="4"/>
  <c r="O18" i="4"/>
  <c r="Q18" i="4" s="1"/>
  <c r="S18" i="4" s="1"/>
  <c r="Q17" i="4"/>
  <c r="S17" i="4" s="1"/>
  <c r="N17" i="4"/>
  <c r="P16" i="4"/>
  <c r="M20" i="4"/>
  <c r="P20" i="4" s="1"/>
  <c r="N16" i="4"/>
  <c r="L20" i="4"/>
  <c r="O16" i="4"/>
  <c r="N42" i="4"/>
  <c r="P42" i="4"/>
  <c r="Q42" i="4" s="1"/>
  <c r="S42" i="4" s="1"/>
  <c r="Q38" i="4"/>
  <c r="S38" i="4" s="1"/>
  <c r="Q16" i="4" l="1"/>
  <c r="S16" i="4" s="1"/>
  <c r="O20" i="4"/>
  <c r="Q20" i="4" s="1"/>
  <c r="S20" i="4" s="1"/>
  <c r="N20" i="4"/>
</calcChain>
</file>

<file path=xl/sharedStrings.xml><?xml version="1.0" encoding="utf-8"?>
<sst xmlns="http://schemas.openxmlformats.org/spreadsheetml/2006/main" count="520" uniqueCount="298">
  <si>
    <t>Transport</t>
  </si>
  <si>
    <t>Total</t>
  </si>
  <si>
    <t>Industry</t>
  </si>
  <si>
    <t>Sectors</t>
  </si>
  <si>
    <t>Others</t>
  </si>
  <si>
    <t>Agricultural</t>
  </si>
  <si>
    <t xml:space="preserve">Sl no. </t>
  </si>
  <si>
    <t>Symbol</t>
  </si>
  <si>
    <t xml:space="preserve">Explanation </t>
  </si>
  <si>
    <t>EI</t>
  </si>
  <si>
    <t xml:space="preserve">Energy Intensity </t>
  </si>
  <si>
    <t xml:space="preserve">Sectoral contribution </t>
  </si>
  <si>
    <t xml:space="preserve">Weight of each component </t>
  </si>
  <si>
    <t xml:space="preserve">Weight of each component in 0th year </t>
  </si>
  <si>
    <t xml:space="preserve">Weight of each component in 1st year </t>
  </si>
  <si>
    <t>Natural logarithm of sector i's energy share in base year</t>
  </si>
  <si>
    <t>Natural logarithm of sector i's energy share in final year</t>
  </si>
  <si>
    <t>w*</t>
  </si>
  <si>
    <t xml:space="preserve">Normalised weight </t>
  </si>
  <si>
    <t>Logarithmic mean of Wi0 and Wi1</t>
  </si>
  <si>
    <t>Change in energy consumption due to energy intensity change</t>
  </si>
  <si>
    <t>Change in energy consumption due to energy structural change</t>
  </si>
  <si>
    <t>Change in energy consumption due to activity change</t>
  </si>
  <si>
    <t>Total change in energy use across all sectors due to energy intensity changes</t>
  </si>
  <si>
    <t>Total change due to shifts in structure of the economy</t>
  </si>
  <si>
    <t>Combined decomposed change in energy use</t>
  </si>
  <si>
    <t>Observed or measured change in energy use</t>
  </si>
  <si>
    <t xml:space="preserve">Any small differences </t>
  </si>
  <si>
    <t>Energy  Consumption (MToe)</t>
  </si>
  <si>
    <t>GDP (USD Billion)</t>
  </si>
  <si>
    <t>S.No.</t>
  </si>
  <si>
    <t>E0</t>
  </si>
  <si>
    <t>Q0</t>
  </si>
  <si>
    <t>Sit</t>
  </si>
  <si>
    <t>E1</t>
  </si>
  <si>
    <t>Q1</t>
  </si>
  <si>
    <t>EI*S</t>
  </si>
  <si>
    <t>S1-S0</t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</si>
  <si>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Aptos Narrow"/>
        <family val="2"/>
      </rPr>
      <t>E</t>
    </r>
    <r>
      <rPr>
        <b/>
        <sz val="11"/>
        <color theme="1"/>
        <rFont val="Aptos Narrow"/>
        <family val="1"/>
        <charset val="2"/>
      </rPr>
      <t>I*</t>
    </r>
    <r>
      <rPr>
        <b/>
        <sz val="11"/>
        <color theme="1"/>
        <rFont val="Aptos Narrow"/>
        <family val="2"/>
      </rPr>
      <t>S</t>
    </r>
    <r>
      <rPr>
        <b/>
        <sz val="11"/>
        <color theme="1"/>
        <rFont val="Aptos Narrow"/>
        <family val="1"/>
        <charset val="2"/>
      </rPr>
      <t>0</t>
    </r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</si>
  <si>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Aptos Narrow"/>
        <family val="2"/>
      </rPr>
      <t>S</t>
    </r>
    <r>
      <rPr>
        <b/>
        <sz val="11"/>
        <color theme="1"/>
        <rFont val="Aptos Narrow"/>
        <family val="1"/>
        <charset val="2"/>
      </rPr>
      <t>*EI</t>
    </r>
  </si>
  <si>
    <t>SIMPLE DECOMPOSITION ANALYSIS</t>
  </si>
  <si>
    <t xml:space="preserve">Activity effect </t>
  </si>
  <si>
    <t>Structural effect</t>
  </si>
  <si>
    <t>Intensity effect</t>
  </si>
  <si>
    <t>Actual</t>
  </si>
  <si>
    <t>Residual</t>
  </si>
  <si>
    <t>Divisia based Decomposition Analysis</t>
  </si>
  <si>
    <t>Wi</t>
  </si>
  <si>
    <t>Comparing 2016-2020</t>
  </si>
  <si>
    <t>Wi0</t>
  </si>
  <si>
    <t>Wi1</t>
  </si>
  <si>
    <t>ln(Wi0)</t>
  </si>
  <si>
    <t>ln(Wi1)</t>
  </si>
  <si>
    <t>L(Wi0,Wi1)</t>
  </si>
  <si>
    <t>ln(EI1/EI0)</t>
  </si>
  <si>
    <t>ln(Si1/Si0)</t>
  </si>
  <si>
    <t>ΔEintensity</t>
  </si>
  <si>
    <t>ΔEstructural</t>
  </si>
  <si>
    <t>ΔEtotal</t>
  </si>
  <si>
    <t>Dintensity</t>
  </si>
  <si>
    <t>Dstructural</t>
  </si>
  <si>
    <t>Dtotal</t>
  </si>
  <si>
    <t>Dactual</t>
  </si>
  <si>
    <t>Dresidual</t>
  </si>
  <si>
    <t>Comparing 2020-2024</t>
  </si>
  <si>
    <t>YEAR</t>
  </si>
  <si>
    <t>Year (X)</t>
  </si>
  <si>
    <t xml:space="preserve">TPES 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</si>
  <si>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</si>
  <si>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</si>
  <si>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</si>
  <si>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</si>
  <si>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</si>
  <si>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</si>
  <si>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</si>
  <si>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</si>
  <si>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</si>
  <si>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</si>
  <si>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</si>
  <si>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</si>
  <si>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</si>
  <si>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</si>
  <si>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</si>
  <si>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</si>
  <si>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</si>
  <si>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</si>
  <si>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</si>
  <si>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</si>
  <si>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Ln TPES (Y)</t>
  </si>
  <si>
    <t xml:space="preserve">Energy consumption for respective year </t>
  </si>
  <si>
    <t>GDP in USD Billion</t>
  </si>
  <si>
    <r>
      <t>E</t>
    </r>
    <r>
      <rPr>
        <b/>
        <sz val="6"/>
        <color theme="1"/>
        <rFont val="Sabon Next LT"/>
      </rPr>
      <t>i</t>
    </r>
  </si>
  <si>
    <r>
      <t>Q</t>
    </r>
    <r>
      <rPr>
        <b/>
        <sz val="6"/>
        <color theme="1"/>
        <rFont val="Sabon Next LT"/>
      </rPr>
      <t>0</t>
    </r>
  </si>
  <si>
    <r>
      <t>S</t>
    </r>
    <r>
      <rPr>
        <b/>
        <sz val="6"/>
        <color theme="1"/>
        <rFont val="Sabon Next LT"/>
      </rPr>
      <t>it</t>
    </r>
  </si>
  <si>
    <r>
      <t>W</t>
    </r>
    <r>
      <rPr>
        <b/>
        <sz val="6"/>
        <color theme="1"/>
        <rFont val="Sabon Next LT"/>
      </rPr>
      <t>i</t>
    </r>
    <r>
      <rPr>
        <b/>
        <sz val="11"/>
        <color theme="1"/>
        <rFont val="Sabon Next LT"/>
      </rPr>
      <t xml:space="preserve"> </t>
    </r>
  </si>
  <si>
    <r>
      <t>W</t>
    </r>
    <r>
      <rPr>
        <b/>
        <sz val="6"/>
        <color theme="1"/>
        <rFont val="Sabon Next LT"/>
      </rPr>
      <t>i0</t>
    </r>
  </si>
  <si>
    <r>
      <t>W</t>
    </r>
    <r>
      <rPr>
        <b/>
        <sz val="6"/>
        <color theme="1"/>
        <rFont val="Sabon Next LT"/>
      </rPr>
      <t xml:space="preserve">i1	</t>
    </r>
  </si>
  <si>
    <r>
      <t>ln(W</t>
    </r>
    <r>
      <rPr>
        <b/>
        <sz val="6"/>
        <color theme="1"/>
        <rFont val="Sabon Next LT"/>
      </rPr>
      <t>i0</t>
    </r>
    <r>
      <rPr>
        <b/>
        <sz val="11"/>
        <color theme="1"/>
        <rFont val="Sabon Next LT"/>
      </rPr>
      <t>)</t>
    </r>
  </si>
  <si>
    <r>
      <t>ln(W</t>
    </r>
    <r>
      <rPr>
        <b/>
        <sz val="6"/>
        <color theme="1"/>
        <rFont val="Sabon Next LT"/>
      </rPr>
      <t>i1</t>
    </r>
    <r>
      <rPr>
        <b/>
        <sz val="11"/>
        <color theme="1"/>
        <rFont val="Sabon Next LT"/>
      </rPr>
      <t>)</t>
    </r>
  </si>
  <si>
    <r>
      <t>L(W</t>
    </r>
    <r>
      <rPr>
        <b/>
        <sz val="6"/>
        <color theme="1"/>
        <rFont val="Sabon Next LT"/>
      </rPr>
      <t>i0</t>
    </r>
    <r>
      <rPr>
        <b/>
        <sz val="11"/>
        <color theme="1"/>
        <rFont val="Sabon Next LT"/>
      </rPr>
      <t>, W</t>
    </r>
    <r>
      <rPr>
        <b/>
        <sz val="6"/>
        <color theme="1"/>
        <rFont val="Sabon Next LT"/>
      </rPr>
      <t>i1</t>
    </r>
    <r>
      <rPr>
        <b/>
        <sz val="11"/>
        <color theme="1"/>
        <rFont val="Sabon Next LT"/>
      </rPr>
      <t>)</t>
    </r>
  </si>
  <si>
    <r>
      <t>ΔE</t>
    </r>
    <r>
      <rPr>
        <b/>
        <sz val="6"/>
        <color theme="1"/>
        <rFont val="Sabon Next LT"/>
      </rPr>
      <t>intensity</t>
    </r>
  </si>
  <si>
    <r>
      <t>ΔE</t>
    </r>
    <r>
      <rPr>
        <b/>
        <sz val="6"/>
        <color theme="1"/>
        <rFont val="Sabon Next LT"/>
      </rPr>
      <t>structural</t>
    </r>
  </si>
  <si>
    <r>
      <t>ΔE</t>
    </r>
    <r>
      <rPr>
        <b/>
        <sz val="6"/>
        <color theme="1"/>
        <rFont val="Sabon Next LT"/>
      </rPr>
      <t xml:space="preserve">activity </t>
    </r>
  </si>
  <si>
    <r>
      <t>ΔE</t>
    </r>
    <r>
      <rPr>
        <b/>
        <sz val="6"/>
        <color theme="1"/>
        <rFont val="Sabon Next LT"/>
      </rPr>
      <t>total</t>
    </r>
  </si>
  <si>
    <r>
      <t>D</t>
    </r>
    <r>
      <rPr>
        <b/>
        <sz val="6"/>
        <color theme="1"/>
        <rFont val="Sabon Next LT"/>
      </rPr>
      <t>intensity</t>
    </r>
  </si>
  <si>
    <r>
      <t>D</t>
    </r>
    <r>
      <rPr>
        <b/>
        <sz val="6"/>
        <color theme="1"/>
        <rFont val="Sabon Next LT"/>
      </rPr>
      <t>structural</t>
    </r>
  </si>
  <si>
    <r>
      <t>D</t>
    </r>
    <r>
      <rPr>
        <b/>
        <sz val="6"/>
        <color theme="1"/>
        <rFont val="Sabon Next LT"/>
      </rPr>
      <t>total</t>
    </r>
  </si>
  <si>
    <r>
      <t>D</t>
    </r>
    <r>
      <rPr>
        <b/>
        <sz val="6"/>
        <color theme="1"/>
        <rFont val="Sabon Next LT"/>
      </rPr>
      <t>actual</t>
    </r>
  </si>
  <si>
    <r>
      <t>D</t>
    </r>
    <r>
      <rPr>
        <b/>
        <sz val="6"/>
        <color theme="1"/>
        <rFont val="Sabon Next LT"/>
      </rPr>
      <t xml:space="preserve">residual </t>
    </r>
  </si>
  <si>
    <r>
      <t>Combined effect of all drivers. (in divisia method ΔE</t>
    </r>
    <r>
      <rPr>
        <i/>
        <sz val="6"/>
        <color theme="1"/>
        <rFont val="Sabon Next LT"/>
      </rPr>
      <t>activity</t>
    </r>
    <r>
      <rPr>
        <i/>
        <sz val="11"/>
        <color theme="1"/>
        <rFont val="Sabon Next LT"/>
      </rPr>
      <t xml:space="preserve">  is not considered)</t>
    </r>
  </si>
  <si>
    <r>
      <t xml:space="preserve">Time Periods selected for analysis: </t>
    </r>
    <r>
      <rPr>
        <b/>
        <i/>
        <sz val="14"/>
        <color theme="1"/>
        <rFont val="Aptos Narrow"/>
        <family val="2"/>
        <scheme val="minor"/>
      </rPr>
      <t>2016-2020</t>
    </r>
    <r>
      <rPr>
        <sz val="14"/>
        <color theme="1"/>
        <rFont val="Aptos Narrow"/>
        <family val="2"/>
        <scheme val="minor"/>
      </rPr>
      <t xml:space="preserve"> and </t>
    </r>
    <r>
      <rPr>
        <b/>
        <i/>
        <sz val="14"/>
        <color theme="1"/>
        <rFont val="Aptos Narrow"/>
        <family val="2"/>
        <scheme val="minor"/>
      </rPr>
      <t>2020-2024</t>
    </r>
  </si>
  <si>
    <r>
      <rPr>
        <b/>
        <sz val="14"/>
        <color theme="1"/>
        <rFont val="Aptos Narrow"/>
        <family val="2"/>
        <scheme val="minor"/>
      </rPr>
      <t>Interval</t>
    </r>
    <r>
      <rPr>
        <sz val="14"/>
        <color theme="1"/>
        <rFont val="Aptos Narrow"/>
        <family val="2"/>
        <scheme val="minor"/>
      </rPr>
      <t>: 4 years</t>
    </r>
  </si>
  <si>
    <r>
      <rPr>
        <b/>
        <sz val="14"/>
        <color theme="1"/>
        <rFont val="Aptos Narrow"/>
        <family val="2"/>
        <scheme val="minor"/>
      </rPr>
      <t>Years</t>
    </r>
    <r>
      <rPr>
        <sz val="14"/>
        <color theme="1"/>
        <rFont val="Aptos Narrow"/>
        <family val="2"/>
        <scheme val="minor"/>
      </rPr>
      <t>: 2016, 2020 and  2024.</t>
    </r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</si>
  <si>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</si>
  <si>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</si>
  <si>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</si>
  <si>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</si>
  <si>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</si>
  <si>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</si>
  <si>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</si>
  <si>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</si>
  <si>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</si>
  <si>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</si>
  <si>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</si>
  <si>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</si>
  <si>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</si>
  <si>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</si>
  <si>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</si>
  <si>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</si>
  <si>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</si>
  <si>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</si>
  <si>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</si>
  <si>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</si>
  <si>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</si>
  <si>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</si>
  <si>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</si>
  <si>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 xml:space="preserve">Regression equation </t>
  </si>
  <si>
    <t>ln(1+r)</t>
  </si>
  <si>
    <t>1+r</t>
  </si>
  <si>
    <t xml:space="preserve">r </t>
  </si>
  <si>
    <t>y= 13.114+0.028x</t>
  </si>
  <si>
    <t>y= 13.052+0.039x</t>
  </si>
  <si>
    <t>y= 13.263+0.018x</t>
  </si>
  <si>
    <t>20 year Regression Analysis</t>
  </si>
  <si>
    <r>
      <t xml:space="preserve">Regression analysis- </t>
    </r>
    <r>
      <rPr>
        <b/>
        <i/>
        <u/>
        <sz val="20"/>
        <color theme="1"/>
        <rFont val="Aptos Narrow"/>
        <family val="2"/>
        <scheme val="minor"/>
      </rPr>
      <t>2003-2013</t>
    </r>
  </si>
  <si>
    <r>
      <t xml:space="preserve">Regression analysis- </t>
    </r>
    <r>
      <rPr>
        <b/>
        <i/>
        <u/>
        <sz val="20"/>
        <color theme="1"/>
        <rFont val="Aptos Narrow"/>
        <family val="2"/>
        <scheme val="minor"/>
      </rPr>
      <t>2014-2023</t>
    </r>
  </si>
  <si>
    <t>Inferences drawn from the Regression Analysis</t>
  </si>
  <si>
    <t>CAGR</t>
  </si>
  <si>
    <t>Slope (β)</t>
  </si>
  <si>
    <t xml:space="preserve">p value </t>
  </si>
  <si>
    <t>2003-2023</t>
  </si>
  <si>
    <t>2003-2013</t>
  </si>
  <si>
    <t>2014-2023</t>
  </si>
  <si>
    <t>1)</t>
  </si>
  <si>
    <t>Interpretation:</t>
  </si>
  <si>
    <t>The CAGR of 3% indicates a steady, albeit moderate, average annual increase in India's TPES over the entire 20-year period.</t>
  </si>
  <si>
    <t>The high R-squared value of 95% suggests that the linear regression model fits the data very well, meaning that time explains a significant portion of the variation in TPES.</t>
  </si>
  <si>
    <t>The positive slope (β = 0.02801) further confirms an upward trend.</t>
  </si>
  <si>
    <t>The highly significant p-value (4.82E-13, which is far less than 0.05) reinforces the statistical significance of this positive trend.</t>
  </si>
  <si>
    <t>2)</t>
  </si>
  <si>
    <t>The period between 2003 and 2013 witnessed a higher CAGR of 4%.</t>
  </si>
  <si>
    <t>The R-squared value is exceptionally high at 99%, indicating an almost perfect linear relationship between time and TPES during this decade.</t>
  </si>
  <si>
    <t>The slope is also higher (β = 0.039489) compared to the entire period</t>
  </si>
  <si>
    <t>The p-value is also highly significant (3.15E-10).</t>
  </si>
  <si>
    <t>3)</t>
  </si>
  <si>
    <t>The CAGR for the period 2014-2023 slowed down to 2%.</t>
  </si>
  <si>
    <t>The R-squared value decreased to 75%, suggesting a less strong linear fit compared to the previous decade, although it still indicates a substantial portion of the variation in TPES is explained by time.</t>
  </si>
  <si>
    <t>The slope also decreased (β = 0.018329), but the p-value remains significant (0.00107).</t>
  </si>
  <si>
    <t>Overall Energy Consumption Change (2016-2020)</t>
  </si>
  <si>
    <t>Sectoral Analysis:</t>
  </si>
  <si>
    <t>1. Industry Sector:</t>
  </si>
  <si>
    <t>Had the largest sectoral weight increase (0.373324 to 0.529735)</t>
  </si>
  <si>
    <t>Showed positive intensity effect (0.349155), suggesting declining efficiency</t>
  </si>
  <si>
    <t>Negative structural effect (-0.03181), indicating its share in GDP decreased slightly</t>
  </si>
  <si>
    <t>Overall, industry contributed significantly to energy consumption growth (Dtotal = 2.386557)</t>
  </si>
  <si>
    <t>2. Transport Sector:</t>
  </si>
  <si>
    <t>Dramatic decrease in sectoral weight (0.254021 to 0.096962)</t>
  </si>
  <si>
    <t>Showed improved energy efficiency (negative intensity effect: -0.01118)</t>
  </si>
  <si>
    <t>Negative structural effect (-0.07529), showing reduced economic activity share</t>
  </si>
  <si>
    <t>Despite efficiency improvements, still contributed to overall energy increase (Dtotal = 1.925832)</t>
  </si>
  <si>
    <t>Has a large negative residual (-1.32713), suggesting other unaccounted factors affected this sector</t>
  </si>
  <si>
    <t>3. Agricultural Sector:</t>
  </si>
  <si>
    <t>Smallest sectoral weight, which decreased slightly (0.051273 to 0.036522)</t>
  </si>
  <si>
    <t>Small positive intensity effect (0.00465), indicating minor efficiency deterioration</t>
  </si>
  <si>
    <t>Minimal structural effect (0.00372), showing stable economic contribution</t>
  </si>
  <si>
    <t>Contributed least to overall energy consumption growth</t>
  </si>
  <si>
    <t>4. Others Sector:</t>
  </si>
  <si>
    <t>Significant weight increase (0.321381 to 0.627666)</t>
  </si>
  <si>
    <t>Substantial positive intensity effect (0.052198), showing efficiency decline</t>
  </si>
  <si>
    <t>Large positive structural effect (0.434917), indicating increased economic importance</t>
  </si>
  <si>
    <t>Second largest contributor to overall energy consumption growth</t>
  </si>
  <si>
    <t>Key Drivers of Energy Change:</t>
  </si>
  <si>
    <r>
      <t>1. Intensity Effect (Dintensity = 2.039079)</t>
    </r>
    <r>
      <rPr>
        <sz val="11"/>
        <color theme="1"/>
        <rFont val="Aptos Narrow"/>
        <family val="2"/>
        <scheme val="minor"/>
      </rPr>
      <t>: The largest driver, indicating overall declining energy efficiency across sectors</t>
    </r>
  </si>
  <si>
    <r>
      <t>2. Structural Effect (Dstructural = 0.988293)</t>
    </r>
    <r>
      <rPr>
        <sz val="11"/>
        <color theme="1"/>
        <rFont val="Aptos Narrow"/>
        <family val="2"/>
        <scheme val="minor"/>
      </rPr>
      <t>: Shows economic shifts toward more energy-intensive activities</t>
    </r>
  </si>
  <si>
    <r>
      <t>3. Industry and Others sectors</t>
    </r>
    <r>
      <rPr>
        <sz val="11"/>
        <color theme="1"/>
        <rFont val="Aptos Narrow"/>
        <family val="2"/>
        <scheme val="minor"/>
      </rPr>
      <t xml:space="preserve"> were the primary contributors to increased energy consumption</t>
    </r>
  </si>
  <si>
    <r>
      <t>4. Transport sector</t>
    </r>
    <r>
      <rPr>
        <sz val="11"/>
        <color theme="1"/>
        <rFont val="Aptos Narrow"/>
        <family val="2"/>
        <scheme val="minor"/>
      </rPr>
      <t xml:space="preserve"> showed the most dramatic structural shift, with its weight dropping by more than half</t>
    </r>
  </si>
  <si>
    <t>Overall Energy Consumption Change (2020-2024)</t>
  </si>
  <si>
    <t xml:space="preserve">The actual change in total energy consumption (Dactual) was 2.491981, while the decomposed total (Dtotal) was 1.511373, with a residual value of 0.980608. </t>
  </si>
  <si>
    <t>This indicates there are some factors affecting energy use that aren't fully captured in the model.</t>
  </si>
  <si>
    <t>Moderate increase in sectoral weight (0.529735 to 0.615331)</t>
  </si>
  <si>
    <t>Showed positive intensity effect (0.111196), suggesting declining efficiency</t>
  </si>
  <si>
    <t>Significant negative structural effect (-0.24118), indicating its share in GDP decreased</t>
  </si>
  <si>
    <t>Overall contributed substantially to energy consumption change (Dtotal = 1.840584)</t>
  </si>
  <si>
    <t>Large negative residual (-1.23522), suggesting other unaccounted factors</t>
  </si>
  <si>
    <t>Increased sectoral weight (0.096962 to 0.139562)</t>
  </si>
  <si>
    <t>Showed declining efficiency (positive intensity effect: 0.059814)</t>
  </si>
  <si>
    <t>Slight negative structural effect (-0.02323)</t>
  </si>
  <si>
    <t>Contributed significantly to total energy change (Dtotal = 1.982943)</t>
  </si>
  <si>
    <t>Large negative residual (-1.19327)</t>
  </si>
  <si>
    <t>Increased weight (0.036522 to 0.052656)</t>
  </si>
  <si>
    <t>Notable efficiency decline (positive intensity effect: 0.108801)</t>
  </si>
  <si>
    <t>Small negative structural effect (-0.01051)</t>
  </si>
  <si>
    <t>Contributed moderately to energy consumption growth (Dtotal = 1.993587)</t>
  </si>
  <si>
    <t>Significant negative residual (-1.24041)</t>
  </si>
  <si>
    <t>Dramatic decrease in weight (0.627666 to 0.32013)</t>
  </si>
  <si>
    <t>Showed improved efficiency (negative intensity effect: -0.14604)</t>
  </si>
  <si>
    <t>Large negative structural effect (-0.41009), showing substantial reduction in economic importance</t>
  </si>
  <si>
    <t>Still contributed positively to overall energy change (Dtotal = 1.609046)</t>
  </si>
  <si>
    <t>Large negative residual (-1.26527)</t>
  </si>
  <si>
    <t xml:space="preserve">The actual change in total energy consumption (Dactual) was 3.928149, while the decomposed total (Dtotal) was 3.027372, with a residual value of 0.908592, </t>
  </si>
  <si>
    <t>indicating the model captures most but not all factors affecting energy use.</t>
  </si>
  <si>
    <r>
      <t>1. Structural Effect (Dstructural = 1.007285)</t>
    </r>
    <r>
      <rPr>
        <sz val="11"/>
        <color theme="1"/>
        <rFont val="Aptos Narrow"/>
        <family val="2"/>
        <scheme val="minor"/>
      </rPr>
      <t>: Now the primary driver, indicating economic structure shifts were the main factor in energy consumption changes</t>
    </r>
  </si>
  <si>
    <r>
      <t>2. Intensity Effect (Dintensity = 0.504088)</t>
    </r>
    <r>
      <rPr>
        <sz val="11"/>
        <color theme="1"/>
        <rFont val="Aptos Narrow"/>
        <family val="2"/>
        <scheme val="minor"/>
      </rPr>
      <t>: Still positive but much lower than the previous period, suggesting a slower decline in energy efficiency</t>
    </r>
  </si>
  <si>
    <r>
      <t>3. Total energy change</t>
    </r>
    <r>
      <rPr>
        <sz val="11"/>
        <color theme="1"/>
        <rFont val="Aptos Narrow"/>
        <family val="2"/>
        <scheme val="minor"/>
      </rPr>
      <t>: The overall ΔEtotal is negative (-0.67775), indicating a decrease in energy consumption when considering only intensity and structural effects</t>
    </r>
  </si>
  <si>
    <r>
      <t>4. All sectors except Others</t>
    </r>
    <r>
      <rPr>
        <sz val="11"/>
        <color theme="1"/>
        <rFont val="Aptos Narrow"/>
        <family val="2"/>
        <scheme val="minor"/>
      </rPr>
      <t>: Show declining efficiency (positive intensity effects)</t>
    </r>
  </si>
  <si>
    <t>COMMENTS ON COMPARISON BETWEEN THE TWO TIME PERIODS</t>
  </si>
  <si>
    <t>A significant shift occurred - the "Others" sector dropped dramatically in weight while all other sectors increased their weights</t>
  </si>
  <si>
    <t>The intensity effect (efficiency factor) has decreased substantially, suggesting better energy efficiency management in this period</t>
  </si>
  <si>
    <t>The structural effect has become more significant, indicating economic restructuring is now the primary driver of energy consumption changes</t>
  </si>
  <si>
    <t>The "Others" sector's dramatic weight reduction and efficiency improvements stand out as the most significant change between periods</t>
  </si>
  <si>
    <t xml:space="preserve">The total energy consumption increased from 298.4 units in 2016 to 618.8 units in 2020, representing an actual increase of 320.4 units. </t>
  </si>
  <si>
    <t>The decomposed total accounts for 208.1393 units, leaving a significant residual of 112.2607 units.</t>
  </si>
  <si>
    <t>Key Insights:</t>
  </si>
  <si>
    <t>1. The economy-wide energy intensity increased substantially (1.45 to 2.25), driving most of the growth in energy consumption</t>
  </si>
  <si>
    <t>2. The intensity effect (efficiency decline) was the primary driver of increased energy consumption, accounting for nearly 80% of the explained change</t>
  </si>
  <si>
    <t>3. The transport sector showed remarkable efficiency improvements, while industry and "others" sectors experienced severe efficiency deterioration</t>
  </si>
  <si>
    <t>4. Economic growth (activity effect) contributed positively but at a much lower magnitude than the intensity effect</t>
  </si>
  <si>
    <t>5. The large residual (112.26 units) suggests significant factors affecting energy consumption that aren't captured in this simple decomposition</t>
  </si>
  <si>
    <t>Energy consumption nearly tripled (111.4 to 327.8 units)</t>
  </si>
  <si>
    <t>Energy intensity more than doubled (2.01 to 4.79)</t>
  </si>
  <si>
    <t>Slight decrease in structural contribution (0.269 to 0.249)</t>
  </si>
  <si>
    <t>Highest positive ΔEI*S0 value (10.32), indicating substantial efficiency deterioration</t>
  </si>
  <si>
    <t>Energy consumption decreased (75.8 to 60 units) despite GDP growth</t>
  </si>
  <si>
    <t>Significant improvement in energy intensity (2.20 to 1.31)</t>
  </si>
  <si>
    <t>Nearly stable structural contribution (0.168 to 0.166)</t>
  </si>
  <si>
    <t>Large negative ΔEI*S0 value (-5.25), showing major efficiency improvements</t>
  </si>
  <si>
    <t>Moderate increase in energy consumption (15.3 to 22.6 units)</t>
  </si>
  <si>
    <t>Improved energy intensity (0.47 to 0.51)</t>
  </si>
  <si>
    <t>Stable structural contribution (0.159 to 0.160)</t>
  </si>
  <si>
    <t>Small positive ΔEI*S0 (0.294), indicating minor efficiency decline</t>
  </si>
  <si>
    <t>Dramatic increase in energy consumption (95.9 to 388.4 units)</t>
  </si>
  <si>
    <t>Substantial deterioration in energy intensity (1.16 to 3.32)</t>
  </si>
  <si>
    <t>Increased structural contribution (0.400 to 0.426)</t>
  </si>
  <si>
    <t>Large positive ΔEI*S0 (5.35), showing significant efficiency decline</t>
  </si>
  <si>
    <t>Decomposition Effects:</t>
  </si>
  <si>
    <r>
      <t>1. Activity Effect</t>
    </r>
    <r>
      <rPr>
        <sz val="11"/>
        <color theme="1"/>
        <rFont val="Aptos Narrow"/>
        <family val="2"/>
        <scheme val="minor"/>
      </rPr>
      <t>: 47.813 units (22.9% of explained change)</t>
    </r>
  </si>
  <si>
    <t>Shows the impact of overall economic growth on energy consumption</t>
  </si>
  <si>
    <r>
      <t>2. Intensity Effect</t>
    </r>
    <r>
      <rPr>
        <sz val="11"/>
        <color theme="1"/>
        <rFont val="Aptos Narrow"/>
        <family val="2"/>
        <scheme val="minor"/>
      </rPr>
      <t>: 164.429 units (79.0% of explained change)</t>
    </r>
  </si>
  <si>
    <t>The dominant factor, indicating significant overall decline in energy efficiency</t>
  </si>
  <si>
    <r>
      <t>3. Structural Effect</t>
    </r>
    <r>
      <rPr>
        <sz val="11"/>
        <color theme="1"/>
        <rFont val="Aptos Narrow"/>
        <family val="2"/>
        <scheme val="minor"/>
      </rPr>
      <t>: -4.103 units (-2.0% of explained change)</t>
    </r>
  </si>
  <si>
    <t>Slight negative effect, showing minor shifts toward less energy-intensive sectors</t>
  </si>
  <si>
    <t xml:space="preserve">The total energy consumption decreased from 618.8 units in 2020 to 429.2 units in 2024, representing an actual decrease of 189.6 units. </t>
  </si>
  <si>
    <t>The decomposed total accounts for a reduction of 234.267 units, with a residual of 44.667 units.</t>
  </si>
  <si>
    <t>Significant decrease in energy consumption (327.8 to 264.1 units)</t>
  </si>
  <si>
    <t>Dramatic improvement in energy intensity (4.79 to 2.90)</t>
  </si>
  <si>
    <t>Slight decrease in structural contribution (0.333 to 0.278)</t>
  </si>
  <si>
    <t>Large negative ΔEI*S0 value (-5.681), indicating substantial efficiency improvement</t>
  </si>
  <si>
    <t>Relatively stable energy consumption (60 to 59.9 units)</t>
  </si>
  <si>
    <t>Continued improvement in energy intensity (1.31 to 1.04)</t>
  </si>
  <si>
    <t>Reduced structural contribution (0.223 to 0.176)</t>
  </si>
  <si>
    <t>Negative ΔEI*S0 value (-1.247), showing continued efficiency improvements</t>
  </si>
  <si>
    <t>Stable energy consumption (22.6 units in both periods)</t>
  </si>
  <si>
    <t>Significant improvement in energy intensity (0.515 to 0.388)</t>
  </si>
  <si>
    <t>Reduced structural contribution (0.213 to 0.178)</t>
  </si>
  <si>
    <t>Negative ΔEI*S0 (-0.595), indicating efficiency improvement</t>
  </si>
  <si>
    <t>Dramatic decrease in energy consumption (388.4 to 137.4 units)</t>
  </si>
  <si>
    <t>Massive improvement in energy intensity (6.06 to 1.14)</t>
  </si>
  <si>
    <t>Increased structural contribution (0.311 to 0.368)</t>
  </si>
  <si>
    <t xml:space="preserve">Very large negative ΔEI*S0 (-15.812), showing the most </t>
  </si>
  <si>
    <t>substantial efficiency improvement.</t>
  </si>
  <si>
    <r>
      <t>1. Activity Effect</t>
    </r>
    <r>
      <rPr>
        <sz val="11"/>
        <color theme="1"/>
        <rFont val="Aptos Narrow"/>
        <family val="2"/>
        <scheme val="minor"/>
      </rPr>
      <t>: 23.340 units</t>
    </r>
  </si>
  <si>
    <t>Positive contribution due to economic growth (GDP increased from 275.1 to 327.6 billion USD)</t>
  </si>
  <si>
    <r>
      <t>2. Intensity Effect</t>
    </r>
    <r>
      <rPr>
        <sz val="11"/>
        <color theme="1"/>
        <rFont val="Aptos Narrow"/>
        <family val="2"/>
        <scheme val="minor"/>
      </rPr>
      <t>: -258.382 units</t>
    </r>
  </si>
  <si>
    <t>Dominant factor, showing substantial improvement in energy efficiency across all sectors</t>
  </si>
  <si>
    <r>
      <t>3. Structural Effect</t>
    </r>
    <r>
      <rPr>
        <sz val="11"/>
        <color theme="1"/>
        <rFont val="Aptos Narrow"/>
        <family val="2"/>
        <scheme val="minor"/>
      </rPr>
      <t>: 0.775 units</t>
    </r>
  </si>
  <si>
    <t>Small positive effect, indicating minor shifts toward more energy-intensive sectors</t>
  </si>
  <si>
    <t>1. The economy-wide energy intensity improved dramatically (2.25 to 1.31), driving most of the reduction in energy consumption</t>
  </si>
  <si>
    <t>2. The intensity effect (efficiency improvement) was the overwhelming driver of decreased energy consumption, more than offsetting the increased consumption from economic growth</t>
  </si>
  <si>
    <t>3. All sectors showed significant energy efficiency improvements, with the "Others" sector showing the most dramatic improvement</t>
  </si>
  <si>
    <t>4. Despite GDP growth of 19% (from 275.1 to 327.6 billion USD), total energy consumption decreased by 31% (from 618.8 to 429.2 units)</t>
  </si>
  <si>
    <t>5. The positive residual (44.67 units) suggests the model underestimates the reduction in energy consumption</t>
  </si>
  <si>
    <t>Complete reversal in energy intensity trend - from severe deterioration to substantial improvement</t>
  </si>
  <si>
    <t>The "Others" sector showed the most dramatic change - from being the worst performer in efficiency to the best performer</t>
  </si>
  <si>
    <t>The economy shifted from energy-intensive growth to energy-efficient growth</t>
  </si>
  <si>
    <t>The overall energy intensity of the economy decreased by 42% (from 2.25 to 1.31), compared to a 55% increase in the previous period</t>
  </si>
  <si>
    <t>Defining the Variables</t>
  </si>
  <si>
    <r>
      <rPr>
        <b/>
        <sz val="16"/>
        <color theme="1"/>
        <rFont val="Aptos Narrow"/>
        <family val="2"/>
        <scheme val="minor"/>
      </rPr>
      <t xml:space="preserve">Submitted By: </t>
    </r>
    <r>
      <rPr>
        <sz val="16"/>
        <color theme="1"/>
        <rFont val="Aptos Narrow"/>
        <family val="2"/>
        <scheme val="minor"/>
      </rPr>
      <t>Anshuman Singh</t>
    </r>
  </si>
  <si>
    <r>
      <rPr>
        <b/>
        <sz val="16"/>
        <color theme="1"/>
        <rFont val="Aptos Narrow"/>
        <family val="2"/>
        <scheme val="minor"/>
      </rPr>
      <t>Roll No.:</t>
    </r>
    <r>
      <rPr>
        <sz val="16"/>
        <color theme="1"/>
        <rFont val="Aptos Narrow"/>
        <family val="2"/>
        <scheme val="minor"/>
      </rPr>
      <t xml:space="preserve"> M2024ECCSS003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</si>
</sst>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Aptos Narrow"/>
      <family val="1"/>
      <charset val="2"/>
    </font>
    <font>
      <b/>
      <sz val="11"/>
      <color theme="1"/>
      <name val="Symbol"/>
      <family val="1"/>
      <charset val="2"/>
    </font>
    <font>
      <b/>
      <sz val="11"/>
      <color theme="1"/>
      <name val="Aptos Narrow"/>
      <family val="2"/>
    </font>
    <font>
      <b/>
      <u/>
      <sz val="14"/>
      <color theme="1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Sabon Next LT"/>
    </font>
    <font>
      <b/>
      <sz val="6"/>
      <color theme="1"/>
      <name val="Sabon Next LT"/>
    </font>
    <font>
      <b/>
      <u/>
      <sz val="12"/>
      <color theme="1"/>
      <name val="Sabon Next LT"/>
    </font>
    <font>
      <i/>
      <sz val="11"/>
      <color theme="1"/>
      <name val="Sabon Next LT"/>
    </font>
    <font>
      <i/>
      <sz val="6"/>
      <color theme="1"/>
      <name val="Sabon Next LT"/>
    </font>
    <font>
      <b/>
      <i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i/>
      <u/>
      <sz val="14"/>
      <color theme="1"/>
      <name val="Aptos Narrow"/>
      <family val="2"/>
      <scheme val="minor"/>
    </font>
    <font>
      <b/>
      <i/>
      <u/>
      <sz val="20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10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0" fillId="0" borderId="1" xfId="0" applyBorder="1"/>
    <xf numFmtId="0" fontId="11" fillId="0" borderId="0" xfId="0" applyFont="1"/>
    <xf numFmtId="0" fontId="12" fillId="0" borderId="0" xfId="0" applyFont="1"/>
    <xf numFmtId="0" fontId="0" fillId="0" borderId="6" xfId="0" applyBorder="1" applyAlignment="1">
      <alignment vertical="center" wrapText="1"/>
    </xf>
    <xf numFmtId="0" fontId="0" fillId="0" borderId="6" xfId="0" applyBorder="1"/>
    <xf numFmtId="0" fontId="0" fillId="3" borderId="0" xfId="0" applyFill="1"/>
    <xf numFmtId="0" fontId="13" fillId="0" borderId="0" xfId="0" applyFont="1"/>
    <xf numFmtId="9" fontId="0" fillId="0" borderId="0" xfId="1" applyFont="1" applyFill="1" applyBorder="1" applyAlignment="1"/>
    <xf numFmtId="0" fontId="21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9" fontId="0" fillId="0" borderId="0" xfId="0" applyNumberFormat="1"/>
    <xf numFmtId="0" fontId="7" fillId="0" borderId="0" xfId="0" applyFont="1" applyAlignment="1">
      <alignment horizontal="left"/>
    </xf>
    <xf numFmtId="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4" borderId="0" xfId="0" applyFill="1"/>
    <xf numFmtId="0" fontId="0" fillId="8" borderId="0" xfId="0" applyFill="1"/>
    <xf numFmtId="0" fontId="0" fillId="10" borderId="0" xfId="0" applyFill="1"/>
    <xf numFmtId="0" fontId="25" fillId="10" borderId="13" xfId="0" applyFont="1" applyFill="1" applyBorder="1"/>
    <xf numFmtId="0" fontId="0" fillId="10" borderId="14" xfId="0" applyFill="1" applyBorder="1"/>
    <xf numFmtId="0" fontId="0" fillId="10" borderId="15" xfId="0" applyFill="1" applyBorder="1"/>
    <xf numFmtId="0" fontId="0" fillId="10" borderId="16" xfId="0" applyFill="1" applyBorder="1"/>
    <xf numFmtId="0" fontId="0" fillId="10" borderId="17" xfId="0" applyFill="1" applyBorder="1"/>
    <xf numFmtId="0" fontId="20" fillId="10" borderId="16" xfId="0" applyFont="1" applyFill="1" applyBorder="1"/>
    <xf numFmtId="0" fontId="20" fillId="10" borderId="0" xfId="0" applyFont="1" applyFill="1"/>
    <xf numFmtId="0" fontId="20" fillId="10" borderId="18" xfId="0" applyFont="1" applyFill="1" applyBorder="1"/>
    <xf numFmtId="0" fontId="20" fillId="10" borderId="9" xfId="0" applyFont="1" applyFill="1" applyBorder="1"/>
    <xf numFmtId="0" fontId="0" fillId="10" borderId="9" xfId="0" applyFill="1" applyBorder="1"/>
    <xf numFmtId="0" fontId="0" fillId="10" borderId="19" xfId="0" applyFill="1" applyBorder="1"/>
    <xf numFmtId="0" fontId="24" fillId="2" borderId="13" xfId="0" applyFont="1" applyFill="1" applyBorder="1" applyAlignment="1">
      <alignment vertical="center"/>
    </xf>
    <xf numFmtId="0" fontId="0" fillId="2" borderId="14" xfId="0" applyFill="1" applyBorder="1"/>
    <xf numFmtId="0" fontId="0" fillId="2" borderId="14" xfId="0" applyFill="1" applyBorder="1" applyAlignment="1">
      <alignment horizontal="left" vertical="center" indent="1"/>
    </xf>
    <xf numFmtId="0" fontId="0" fillId="2" borderId="15" xfId="0" applyFill="1" applyBorder="1"/>
    <xf numFmtId="0" fontId="0" fillId="2" borderId="16" xfId="0" applyFill="1" applyBorder="1"/>
    <xf numFmtId="0" fontId="0" fillId="2" borderId="0" xfId="0" applyFill="1"/>
    <xf numFmtId="0" fontId="0" fillId="2" borderId="17" xfId="0" applyFill="1" applyBorder="1"/>
    <xf numFmtId="0" fontId="2" fillId="2" borderId="16" xfId="0" applyFont="1" applyFill="1" applyBorder="1"/>
    <xf numFmtId="0" fontId="2" fillId="2" borderId="0" xfId="0" applyFont="1" applyFill="1"/>
    <xf numFmtId="0" fontId="0" fillId="2" borderId="16" xfId="0" applyFill="1" applyBorder="1" applyAlignment="1">
      <alignment horizontal="left" vertical="center" indent="1"/>
    </xf>
    <xf numFmtId="0" fontId="0" fillId="2" borderId="0" xfId="0" applyFill="1" applyAlignment="1">
      <alignment horizontal="left" vertical="center" indent="1"/>
    </xf>
    <xf numFmtId="0" fontId="0" fillId="2" borderId="18" xfId="0" applyFill="1" applyBorder="1" applyAlignment="1">
      <alignment horizontal="left" vertical="center" indent="1"/>
    </xf>
    <xf numFmtId="0" fontId="0" fillId="2" borderId="9" xfId="0" applyFill="1" applyBorder="1"/>
    <xf numFmtId="0" fontId="0" fillId="2" borderId="9" xfId="0" applyFill="1" applyBorder="1" applyAlignment="1">
      <alignment horizontal="left" vertical="center" indent="1"/>
    </xf>
    <xf numFmtId="0" fontId="0" fillId="2" borderId="19" xfId="0" applyFill="1" applyBorder="1"/>
    <xf numFmtId="0" fontId="24" fillId="4" borderId="13" xfId="0" applyFont="1" applyFill="1" applyBorder="1" applyAlignment="1">
      <alignment vertical="center"/>
    </xf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18" xfId="0" applyFill="1" applyBorder="1"/>
    <xf numFmtId="0" fontId="0" fillId="4" borderId="9" xfId="0" applyFill="1" applyBorder="1"/>
    <xf numFmtId="0" fontId="0" fillId="4" borderId="19" xfId="0" applyFill="1" applyBorder="1"/>
    <xf numFmtId="0" fontId="24" fillId="8" borderId="13" xfId="0" applyFont="1" applyFill="1" applyBorder="1" applyAlignment="1">
      <alignment vertical="center"/>
    </xf>
    <xf numFmtId="0" fontId="0" fillId="8" borderId="14" xfId="0" applyFill="1" applyBorder="1"/>
    <xf numFmtId="0" fontId="0" fillId="8" borderId="15" xfId="0" applyFill="1" applyBorder="1"/>
    <xf numFmtId="0" fontId="0" fillId="8" borderId="16" xfId="0" applyFill="1" applyBorder="1" applyAlignment="1">
      <alignment horizontal="left" vertical="center" indent="1"/>
    </xf>
    <xf numFmtId="0" fontId="0" fillId="8" borderId="17" xfId="0" applyFill="1" applyBorder="1"/>
    <xf numFmtId="0" fontId="2" fillId="8" borderId="16" xfId="0" applyFont="1" applyFill="1" applyBorder="1" applyAlignment="1">
      <alignment horizontal="left" vertical="center" indent="1"/>
    </xf>
    <xf numFmtId="0" fontId="2" fillId="8" borderId="18" xfId="0" applyFont="1" applyFill="1" applyBorder="1" applyAlignment="1">
      <alignment horizontal="left" vertical="center" indent="1"/>
    </xf>
    <xf numFmtId="0" fontId="0" fillId="8" borderId="9" xfId="0" applyFill="1" applyBorder="1"/>
    <xf numFmtId="0" fontId="0" fillId="8" borderId="19" xfId="0" applyFill="1" applyBorder="1"/>
    <xf numFmtId="0" fontId="24" fillId="2" borderId="14" xfId="0" applyFont="1" applyFill="1" applyBorder="1" applyAlignment="1">
      <alignment vertical="center"/>
    </xf>
    <xf numFmtId="0" fontId="2" fillId="2" borderId="17" xfId="0" applyFont="1" applyFill="1" applyBorder="1"/>
    <xf numFmtId="0" fontId="0" fillId="2" borderId="17" xfId="0" applyFill="1" applyBorder="1" applyAlignment="1">
      <alignment horizontal="left" vertical="center" indent="1"/>
    </xf>
    <xf numFmtId="0" fontId="24" fillId="11" borderId="13" xfId="0" applyFont="1" applyFill="1" applyBorder="1" applyAlignment="1">
      <alignment vertical="center"/>
    </xf>
    <xf numFmtId="0" fontId="0" fillId="11" borderId="14" xfId="0" applyFill="1" applyBorder="1"/>
    <xf numFmtId="0" fontId="0" fillId="11" borderId="15" xfId="0" applyFill="1" applyBorder="1"/>
    <xf numFmtId="0" fontId="0" fillId="11" borderId="16" xfId="0" applyFill="1" applyBorder="1" applyAlignment="1">
      <alignment horizontal="left" vertical="center" indent="1"/>
    </xf>
    <xf numFmtId="0" fontId="0" fillId="11" borderId="0" xfId="0" applyFill="1"/>
    <xf numFmtId="0" fontId="0" fillId="11" borderId="17" xfId="0" applyFill="1" applyBorder="1"/>
    <xf numFmtId="0" fontId="0" fillId="11" borderId="18" xfId="0" applyFill="1" applyBorder="1" applyAlignment="1">
      <alignment horizontal="left" vertical="center" indent="1"/>
    </xf>
    <xf numFmtId="0" fontId="0" fillId="11" borderId="9" xfId="0" applyFill="1" applyBorder="1"/>
    <xf numFmtId="0" fontId="0" fillId="11" borderId="19" xfId="0" applyFill="1" applyBorder="1"/>
    <xf numFmtId="0" fontId="24" fillId="6" borderId="13" xfId="0" applyFont="1" applyFill="1" applyBorder="1" applyAlignment="1">
      <alignment vertical="center"/>
    </xf>
    <xf numFmtId="0" fontId="0" fillId="6" borderId="14" xfId="0" applyFill="1" applyBorder="1"/>
    <xf numFmtId="0" fontId="0" fillId="6" borderId="15" xfId="0" applyFill="1" applyBorder="1"/>
    <xf numFmtId="0" fontId="0" fillId="6" borderId="16" xfId="0" applyFill="1" applyBorder="1"/>
    <xf numFmtId="0" fontId="0" fillId="6" borderId="0" xfId="0" applyFill="1"/>
    <xf numFmtId="0" fontId="0" fillId="6" borderId="17" xfId="0" applyFill="1" applyBorder="1"/>
    <xf numFmtId="0" fontId="0" fillId="6" borderId="19" xfId="0" applyFill="1" applyBorder="1"/>
    <xf numFmtId="0" fontId="0" fillId="6" borderId="18" xfId="0" applyFill="1" applyBorder="1"/>
    <xf numFmtId="0" fontId="0" fillId="6" borderId="9" xfId="0" applyFill="1" applyBorder="1"/>
    <xf numFmtId="0" fontId="0" fillId="12" borderId="0" xfId="0" applyFill="1"/>
    <xf numFmtId="0" fontId="24" fillId="12" borderId="13" xfId="0" applyFont="1" applyFill="1" applyBorder="1" applyAlignment="1">
      <alignment vertical="center"/>
    </xf>
    <xf numFmtId="0" fontId="0" fillId="12" borderId="14" xfId="0" applyFill="1" applyBorder="1"/>
    <xf numFmtId="0" fontId="0" fillId="12" borderId="15" xfId="0" applyFill="1" applyBorder="1"/>
    <xf numFmtId="0" fontId="0" fillId="12" borderId="16" xfId="0" applyFill="1" applyBorder="1"/>
    <xf numFmtId="0" fontId="0" fillId="12" borderId="17" xfId="0" applyFill="1" applyBorder="1"/>
    <xf numFmtId="0" fontId="2" fillId="12" borderId="16" xfId="0" applyFont="1" applyFill="1" applyBorder="1"/>
    <xf numFmtId="0" fontId="2" fillId="12" borderId="0" xfId="0" applyFont="1" applyFill="1"/>
    <xf numFmtId="0" fontId="0" fillId="12" borderId="16" xfId="0" applyFill="1" applyBorder="1" applyAlignment="1">
      <alignment horizontal="left" vertical="center" indent="1"/>
    </xf>
    <xf numFmtId="0" fontId="0" fillId="12" borderId="0" xfId="0" applyFill="1" applyAlignment="1">
      <alignment horizontal="left" vertical="center" indent="1"/>
    </xf>
    <xf numFmtId="0" fontId="0" fillId="12" borderId="18" xfId="0" applyFill="1" applyBorder="1" applyAlignment="1">
      <alignment horizontal="left" vertical="center" indent="1"/>
    </xf>
    <xf numFmtId="0" fontId="0" fillId="12" borderId="9" xfId="0" applyFill="1" applyBorder="1"/>
    <xf numFmtId="0" fontId="0" fillId="12" borderId="9" xfId="0" applyFill="1" applyBorder="1" applyAlignment="1">
      <alignment horizontal="left" vertical="center" indent="1"/>
    </xf>
    <xf numFmtId="0" fontId="0" fillId="12" borderId="19" xfId="0" applyFill="1" applyBorder="1"/>
    <xf numFmtId="0" fontId="24" fillId="7" borderId="13" xfId="0" applyFont="1" applyFill="1" applyBorder="1" applyAlignment="1">
      <alignment vertical="center"/>
    </xf>
    <xf numFmtId="0" fontId="0" fillId="7" borderId="14" xfId="0" applyFill="1" applyBorder="1"/>
    <xf numFmtId="0" fontId="0" fillId="7" borderId="15" xfId="0" applyFill="1" applyBorder="1"/>
    <xf numFmtId="0" fontId="0" fillId="7" borderId="16" xfId="0" applyFill="1" applyBorder="1" applyAlignment="1">
      <alignment horizontal="left" vertical="center" indent="1"/>
    </xf>
    <xf numFmtId="0" fontId="0" fillId="7" borderId="0" xfId="0" applyFill="1"/>
    <xf numFmtId="0" fontId="0" fillId="7" borderId="17" xfId="0" applyFill="1" applyBorder="1"/>
    <xf numFmtId="0" fontId="2" fillId="7" borderId="16" xfId="0" applyFont="1" applyFill="1" applyBorder="1" applyAlignment="1">
      <alignment horizontal="left" vertical="center" indent="1"/>
    </xf>
    <xf numFmtId="0" fontId="0" fillId="7" borderId="16" xfId="0" applyFill="1" applyBorder="1" applyAlignment="1">
      <alignment horizontal="left" vertical="center" indent="2"/>
    </xf>
    <xf numFmtId="0" fontId="0" fillId="7" borderId="18" xfId="0" applyFill="1" applyBorder="1" applyAlignment="1">
      <alignment horizontal="left" vertical="center" indent="2"/>
    </xf>
    <xf numFmtId="0" fontId="0" fillId="7" borderId="9" xfId="0" applyFill="1" applyBorder="1"/>
    <xf numFmtId="0" fontId="0" fillId="7" borderId="19" xfId="0" applyFill="1" applyBorder="1"/>
    <xf numFmtId="0" fontId="0" fillId="0" borderId="31" xfId="0" applyBorder="1"/>
    <xf numFmtId="0" fontId="0" fillId="8" borderId="16" xfId="0" applyFill="1" applyBorder="1"/>
    <xf numFmtId="0" fontId="0" fillId="7" borderId="14" xfId="0" applyFill="1" applyBorder="1" applyAlignment="1">
      <alignment horizontal="left" vertical="center" indent="1"/>
    </xf>
    <xf numFmtId="0" fontId="0" fillId="10" borderId="18" xfId="0" applyFill="1" applyBorder="1"/>
    <xf numFmtId="0" fontId="5" fillId="2" borderId="8" xfId="0" applyFont="1" applyFill="1" applyBorder="1" applyAlignment="1">
      <alignment horizontal="centerContinuous"/>
    </xf>
    <xf numFmtId="0" fontId="5" fillId="2" borderId="8" xfId="0" applyFont="1" applyFill="1" applyBorder="1" applyAlignment="1">
      <alignment horizontal="center"/>
    </xf>
    <xf numFmtId="0" fontId="5" fillId="9" borderId="8" xfId="0" applyFont="1" applyFill="1" applyBorder="1" applyAlignment="1">
      <alignment horizontal="centerContinuous"/>
    </xf>
    <xf numFmtId="0" fontId="0" fillId="9" borderId="9" xfId="0" applyFill="1" applyBorder="1"/>
    <xf numFmtId="0" fontId="5" fillId="9" borderId="8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Continuous"/>
    </xf>
    <xf numFmtId="0" fontId="0" fillId="5" borderId="9" xfId="0" applyFill="1" applyBorder="1"/>
    <xf numFmtId="0" fontId="5" fillId="5" borderId="8" xfId="0" applyFont="1" applyFill="1" applyBorder="1" applyAlignment="1">
      <alignment horizontal="center"/>
    </xf>
    <xf numFmtId="0" fontId="22" fillId="2" borderId="13" xfId="0" applyFont="1" applyFill="1" applyBorder="1"/>
    <xf numFmtId="0" fontId="5" fillId="2" borderId="33" xfId="0" applyFont="1" applyFill="1" applyBorder="1" applyAlignment="1">
      <alignment horizontal="centerContinuous"/>
    </xf>
    <xf numFmtId="0" fontId="0" fillId="2" borderId="18" xfId="0" applyFill="1" applyBorder="1"/>
    <xf numFmtId="164" fontId="0" fillId="2" borderId="17" xfId="0" applyNumberFormat="1" applyFill="1" applyBorder="1"/>
    <xf numFmtId="0" fontId="5" fillId="2" borderId="33" xfId="0" applyFont="1" applyFill="1" applyBorder="1" applyAlignment="1">
      <alignment horizontal="center"/>
    </xf>
    <xf numFmtId="0" fontId="22" fillId="9" borderId="13" xfId="0" applyFont="1" applyFill="1" applyBorder="1"/>
    <xf numFmtId="0" fontId="0" fillId="9" borderId="14" xfId="0" applyFill="1" applyBorder="1"/>
    <xf numFmtId="0" fontId="0" fillId="9" borderId="16" xfId="0" applyFill="1" applyBorder="1"/>
    <xf numFmtId="0" fontId="0" fillId="9" borderId="0" xfId="0" applyFill="1"/>
    <xf numFmtId="0" fontId="0" fillId="9" borderId="17" xfId="0" applyFill="1" applyBorder="1"/>
    <xf numFmtId="0" fontId="5" fillId="9" borderId="33" xfId="0" applyFont="1" applyFill="1" applyBorder="1" applyAlignment="1">
      <alignment horizontal="centerContinuous"/>
    </xf>
    <xf numFmtId="0" fontId="0" fillId="9" borderId="18" xfId="0" applyFill="1" applyBorder="1"/>
    <xf numFmtId="0" fontId="5" fillId="9" borderId="33" xfId="0" applyFont="1" applyFill="1" applyBorder="1" applyAlignment="1">
      <alignment horizontal="center"/>
    </xf>
    <xf numFmtId="0" fontId="0" fillId="9" borderId="19" xfId="0" applyFill="1" applyBorder="1"/>
    <xf numFmtId="0" fontId="22" fillId="5" borderId="13" xfId="0" applyFont="1" applyFill="1" applyBorder="1"/>
    <xf numFmtId="0" fontId="0" fillId="5" borderId="14" xfId="0" applyFill="1" applyBorder="1"/>
    <xf numFmtId="0" fontId="0" fillId="5" borderId="16" xfId="0" applyFill="1" applyBorder="1"/>
    <xf numFmtId="0" fontId="0" fillId="5" borderId="0" xfId="0" applyFill="1"/>
    <xf numFmtId="0" fontId="0" fillId="5" borderId="17" xfId="0" applyFill="1" applyBorder="1"/>
    <xf numFmtId="0" fontId="5" fillId="5" borderId="33" xfId="0" applyFont="1" applyFill="1" applyBorder="1" applyAlignment="1">
      <alignment horizontal="centerContinuous"/>
    </xf>
    <xf numFmtId="0" fontId="0" fillId="5" borderId="18" xfId="0" applyFill="1" applyBorder="1"/>
    <xf numFmtId="0" fontId="5" fillId="5" borderId="33" xfId="0" applyFont="1" applyFill="1" applyBorder="1" applyAlignment="1">
      <alignment horizontal="center"/>
    </xf>
    <xf numFmtId="0" fontId="0" fillId="5" borderId="19" xfId="0" applyFill="1" applyBorder="1"/>
    <xf numFmtId="0" fontId="21" fillId="7" borderId="13" xfId="0" applyFont="1" applyFill="1" applyBorder="1"/>
    <xf numFmtId="0" fontId="6" fillId="7" borderId="14" xfId="0" applyFont="1" applyFill="1" applyBorder="1" applyAlignment="1">
      <alignment horizontal="center" vertical="center"/>
    </xf>
    <xf numFmtId="0" fontId="0" fillId="7" borderId="16" xfId="0" applyFill="1" applyBorder="1"/>
    <xf numFmtId="0" fontId="0" fillId="7" borderId="18" xfId="0" applyFill="1" applyBorder="1"/>
    <xf numFmtId="0" fontId="12" fillId="7" borderId="9" xfId="0" applyFont="1" applyFill="1" applyBorder="1"/>
    <xf numFmtId="0" fontId="21" fillId="9" borderId="13" xfId="0" applyFont="1" applyFill="1" applyBorder="1"/>
    <xf numFmtId="0" fontId="0" fillId="9" borderId="15" xfId="0" applyFill="1" applyBorder="1"/>
    <xf numFmtId="0" fontId="21" fillId="8" borderId="13" xfId="0" applyFont="1" applyFill="1" applyBorder="1"/>
    <xf numFmtId="0" fontId="0" fillId="8" borderId="18" xfId="0" applyFill="1" applyBorder="1"/>
    <xf numFmtId="0" fontId="17" fillId="2" borderId="34" xfId="0" applyFont="1" applyFill="1" applyBorder="1" applyAlignment="1">
      <alignment horizontal="left"/>
    </xf>
    <xf numFmtId="0" fontId="20" fillId="6" borderId="35" xfId="0" applyFont="1" applyFill="1" applyBorder="1"/>
    <xf numFmtId="0" fontId="20" fillId="6" borderId="36" xfId="0" applyFont="1" applyFill="1" applyBorder="1"/>
    <xf numFmtId="0" fontId="20" fillId="6" borderId="37" xfId="0" applyFont="1" applyFill="1" applyBorder="1"/>
    <xf numFmtId="0" fontId="20" fillId="6" borderId="12" xfId="0" applyFont="1" applyFill="1" applyBorder="1"/>
    <xf numFmtId="0" fontId="0" fillId="6" borderId="37" xfId="0" applyFill="1" applyBorder="1"/>
    <xf numFmtId="0" fontId="17" fillId="2" borderId="1" xfId="0" applyFont="1" applyFill="1" applyBorder="1" applyAlignment="1">
      <alignment horizontal="left"/>
    </xf>
    <xf numFmtId="0" fontId="17" fillId="2" borderId="29" xfId="0" applyFont="1" applyFill="1" applyBorder="1" applyAlignment="1">
      <alignment horizontal="left"/>
    </xf>
    <xf numFmtId="0" fontId="17" fillId="5" borderId="31" xfId="0" applyFont="1" applyFill="1" applyBorder="1" applyAlignment="1">
      <alignment horizontal="left"/>
    </xf>
    <xf numFmtId="0" fontId="17" fillId="5" borderId="32" xfId="0" applyFont="1" applyFill="1" applyBorder="1" applyAlignment="1">
      <alignment horizontal="left"/>
    </xf>
    <xf numFmtId="0" fontId="17" fillId="2" borderId="5" xfId="0" applyFont="1" applyFill="1" applyBorder="1" applyAlignment="1">
      <alignment horizontal="left"/>
    </xf>
    <xf numFmtId="0" fontId="17" fillId="13" borderId="1" xfId="0" applyFont="1" applyFill="1" applyBorder="1" applyAlignment="1">
      <alignment horizontal="left"/>
    </xf>
    <xf numFmtId="0" fontId="17" fillId="13" borderId="29" xfId="0" applyFont="1" applyFill="1" applyBorder="1" applyAlignment="1">
      <alignment horizontal="left"/>
    </xf>
    <xf numFmtId="0" fontId="17" fillId="5" borderId="1" xfId="0" applyFont="1" applyFill="1" applyBorder="1" applyAlignment="1">
      <alignment horizontal="left"/>
    </xf>
    <xf numFmtId="0" fontId="17" fillId="5" borderId="29" xfId="0" applyFont="1" applyFill="1" applyBorder="1" applyAlignment="1">
      <alignment horizontal="left"/>
    </xf>
    <xf numFmtId="0" fontId="24" fillId="4" borderId="20" xfId="0" applyFont="1" applyFill="1" applyBorder="1" applyAlignment="1">
      <alignment horizontal="left" vertical="center"/>
    </xf>
    <xf numFmtId="0" fontId="24" fillId="4" borderId="21" xfId="0" applyFont="1" applyFill="1" applyBorder="1" applyAlignment="1">
      <alignment horizontal="left" vertical="center"/>
    </xf>
    <xf numFmtId="0" fontId="24" fillId="4" borderId="22" xfId="0" applyFont="1" applyFill="1" applyBorder="1" applyAlignment="1">
      <alignment horizontal="left" vertical="center"/>
    </xf>
    <xf numFmtId="0" fontId="0" fillId="4" borderId="23" xfId="0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0" fillId="4" borderId="24" xfId="0" applyFill="1" applyBorder="1" applyAlignment="1">
      <alignment horizontal="left"/>
    </xf>
    <xf numFmtId="0" fontId="0" fillId="4" borderId="18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19" xfId="0" applyFill="1" applyBorder="1" applyAlignment="1">
      <alignment horizontal="left"/>
    </xf>
    <xf numFmtId="0" fontId="2" fillId="7" borderId="28" xfId="0" applyFont="1" applyFill="1" applyBorder="1"/>
    <xf numFmtId="0" fontId="0" fillId="0" borderId="29" xfId="0" applyBorder="1"/>
    <xf numFmtId="0" fontId="2" fillId="7" borderId="30" xfId="0" applyFont="1" applyFill="1" applyBorder="1"/>
    <xf numFmtId="0" fontId="0" fillId="0" borderId="32" xfId="0" applyBorder="1"/>
    <xf numFmtId="0" fontId="2" fillId="2" borderId="36" xfId="0" applyFont="1" applyFill="1" applyBorder="1"/>
    <xf numFmtId="0" fontId="2" fillId="4" borderId="36" xfId="0" applyFont="1" applyFill="1" applyBorder="1"/>
    <xf numFmtId="0" fontId="2" fillId="5" borderId="36" xfId="0" applyFont="1" applyFill="1" applyBorder="1"/>
    <xf numFmtId="0" fontId="2" fillId="5" borderId="37" xfId="0" applyFont="1" applyFill="1" applyBorder="1"/>
    <xf numFmtId="0" fontId="0" fillId="2" borderId="35" xfId="0" applyFill="1" applyBorder="1"/>
    <xf numFmtId="0" fontId="0" fillId="0" borderId="0" xfId="0" applyBorder="1"/>
    <xf numFmtId="0" fontId="2" fillId="2" borderId="35" xfId="0" applyFont="1" applyFill="1" applyBorder="1" applyAlignment="1">
      <alignment horizontal="center"/>
    </xf>
    <xf numFmtId="0" fontId="0" fillId="2" borderId="36" xfId="0" applyFill="1" applyBorder="1"/>
    <xf numFmtId="0" fontId="2" fillId="2" borderId="36" xfId="0" applyFont="1" applyFill="1" applyBorder="1" applyAlignment="1">
      <alignment horizontal="center"/>
    </xf>
    <xf numFmtId="0" fontId="0" fillId="4" borderId="36" xfId="0" applyFill="1" applyBorder="1"/>
    <xf numFmtId="0" fontId="2" fillId="4" borderId="36" xfId="0" applyFont="1" applyFill="1" applyBorder="1" applyAlignment="1">
      <alignment horizontal="center"/>
    </xf>
    <xf numFmtId="0" fontId="0" fillId="4" borderId="37" xfId="0" applyFill="1" applyBorder="1"/>
    <xf numFmtId="0" fontId="2" fillId="7" borderId="25" xfId="0" applyFont="1" applyFill="1" applyBorder="1" applyAlignment="1">
      <alignment horizontal="left"/>
    </xf>
    <xf numFmtId="0" fontId="2" fillId="7" borderId="28" xfId="0" applyFont="1" applyFill="1" applyBorder="1" applyAlignment="1">
      <alignment horizontal="left"/>
    </xf>
    <xf numFmtId="0" fontId="2" fillId="7" borderId="30" xfId="0" applyFont="1" applyFill="1" applyBorder="1" applyAlignment="1">
      <alignment horizontal="left"/>
    </xf>
    <xf numFmtId="0" fontId="2" fillId="7" borderId="39" xfId="0" applyFont="1" applyFill="1" applyBorder="1" applyAlignment="1">
      <alignment horizontal="left"/>
    </xf>
    <xf numFmtId="0" fontId="2" fillId="7" borderId="4" xfId="0" applyFont="1" applyFill="1" applyBorder="1" applyAlignment="1">
      <alignment horizontal="left"/>
    </xf>
    <xf numFmtId="0" fontId="2" fillId="7" borderId="40" xfId="0" applyFont="1" applyFill="1" applyBorder="1" applyAlignment="1">
      <alignment horizontal="left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2" fillId="7" borderId="27" xfId="0" applyFont="1" applyFill="1" applyBorder="1" applyAlignment="1">
      <alignment horizontal="left"/>
    </xf>
    <xf numFmtId="0" fontId="2" fillId="7" borderId="29" xfId="0" applyFont="1" applyFill="1" applyBorder="1" applyAlignment="1">
      <alignment horizontal="left"/>
    </xf>
    <xf numFmtId="0" fontId="2" fillId="7" borderId="32" xfId="0" applyFont="1" applyFill="1" applyBorder="1" applyAlignment="1">
      <alignment horizontal="left"/>
    </xf>
    <xf numFmtId="0" fontId="0" fillId="0" borderId="41" xfId="0" applyBorder="1" applyAlignment="1">
      <alignment horizontal="right" wrapText="1"/>
    </xf>
    <xf numFmtId="0" fontId="0" fillId="0" borderId="42" xfId="0" applyBorder="1" applyAlignment="1">
      <alignment horizontal="right" wrapText="1"/>
    </xf>
    <xf numFmtId="0" fontId="0" fillId="0" borderId="43" xfId="0" applyBorder="1" applyAlignment="1">
      <alignment horizontal="right" wrapText="1"/>
    </xf>
    <xf numFmtId="0" fontId="0" fillId="0" borderId="4" xfId="0" applyBorder="1"/>
    <xf numFmtId="0" fontId="0" fillId="0" borderId="40" xfId="0" applyBorder="1"/>
    <xf numFmtId="0" fontId="0" fillId="0" borderId="44" xfId="0" applyBorder="1"/>
    <xf numFmtId="0" fontId="0" fillId="0" borderId="34" xfId="0" applyBorder="1"/>
    <xf numFmtId="0" fontId="0" fillId="0" borderId="46" xfId="0" applyBorder="1"/>
    <xf numFmtId="0" fontId="0" fillId="2" borderId="37" xfId="0" applyFill="1" applyBorder="1"/>
    <xf numFmtId="0" fontId="0" fillId="0" borderId="28" xfId="0" applyBorder="1" applyAlignment="1">
      <alignment vertical="center" wrapText="1"/>
    </xf>
    <xf numFmtId="0" fontId="0" fillId="0" borderId="28" xfId="0" applyBorder="1"/>
    <xf numFmtId="0" fontId="0" fillId="0" borderId="30" xfId="0" applyBorder="1"/>
    <xf numFmtId="0" fontId="2" fillId="7" borderId="33" xfId="0" applyFont="1" applyFill="1" applyBorder="1"/>
    <xf numFmtId="0" fontId="2" fillId="7" borderId="48" xfId="0" applyFont="1" applyFill="1" applyBorder="1"/>
    <xf numFmtId="0" fontId="2" fillId="7" borderId="49" xfId="0" applyFont="1" applyFill="1" applyBorder="1"/>
    <xf numFmtId="0" fontId="3" fillId="7" borderId="42" xfId="0" applyFont="1" applyFill="1" applyBorder="1" applyAlignment="1">
      <alignment vertical="center" wrapText="1"/>
    </xf>
    <xf numFmtId="0" fontId="3" fillId="7" borderId="43" xfId="0" applyFont="1" applyFill="1" applyBorder="1" applyAlignment="1">
      <alignment vertical="center" wrapText="1"/>
    </xf>
    <xf numFmtId="0" fontId="2" fillId="7" borderId="48" xfId="0" applyFont="1" applyFill="1" applyBorder="1" applyAlignment="1">
      <alignment vertical="center"/>
    </xf>
    <xf numFmtId="0" fontId="2" fillId="7" borderId="49" xfId="0" applyFont="1" applyFill="1" applyBorder="1" applyAlignment="1">
      <alignment vertical="center"/>
    </xf>
    <xf numFmtId="0" fontId="2" fillId="7" borderId="50" xfId="0" applyFont="1" applyFill="1" applyBorder="1" applyAlignment="1">
      <alignment vertical="center"/>
    </xf>
    <xf numFmtId="0" fontId="3" fillId="7" borderId="47" xfId="0" applyFont="1" applyFill="1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0" fillId="0" borderId="3" xfId="0" applyBorder="1"/>
    <xf numFmtId="0" fontId="0" fillId="0" borderId="52" xfId="0" applyBorder="1"/>
    <xf numFmtId="0" fontId="0" fillId="0" borderId="10" xfId="0" applyBorder="1" applyAlignment="1">
      <alignment vertical="center" wrapText="1"/>
    </xf>
    <xf numFmtId="0" fontId="0" fillId="0" borderId="7" xfId="0" applyBorder="1"/>
    <xf numFmtId="0" fontId="0" fillId="0" borderId="53" xfId="0" applyBorder="1"/>
    <xf numFmtId="0" fontId="2" fillId="7" borderId="35" xfId="0" applyFont="1" applyFill="1" applyBorder="1"/>
    <xf numFmtId="0" fontId="3" fillId="7" borderId="12" xfId="0" applyFont="1" applyFill="1" applyBorder="1"/>
    <xf numFmtId="0" fontId="2" fillId="2" borderId="54" xfId="0" applyFont="1" applyFill="1" applyBorder="1"/>
    <xf numFmtId="0" fontId="2" fillId="2" borderId="45" xfId="0" applyFont="1" applyFill="1" applyBorder="1"/>
    <xf numFmtId="0" fontId="2" fillId="2" borderId="55" xfId="0" applyFont="1" applyFill="1" applyBorder="1"/>
    <xf numFmtId="0" fontId="2" fillId="2" borderId="12" xfId="0" applyFont="1" applyFill="1" applyBorder="1"/>
    <xf numFmtId="0" fontId="2" fillId="4" borderId="56" xfId="0" applyFont="1" applyFill="1" applyBorder="1"/>
    <xf numFmtId="0" fontId="2" fillId="4" borderId="45" xfId="0" applyFont="1" applyFill="1" applyBorder="1"/>
    <xf numFmtId="0" fontId="2" fillId="4" borderId="55" xfId="0" applyFont="1" applyFill="1" applyBorder="1"/>
    <xf numFmtId="0" fontId="8" fillId="5" borderId="45" xfId="0" applyFont="1" applyFill="1" applyBorder="1"/>
    <xf numFmtId="0" fontId="2" fillId="5" borderId="45" xfId="0" applyFont="1" applyFill="1" applyBorder="1"/>
    <xf numFmtId="0" fontId="8" fillId="5" borderId="57" xfId="0" applyFont="1" applyFill="1" applyBorder="1"/>
    <xf numFmtId="0" fontId="2" fillId="7" borderId="50" xfId="0" applyFont="1" applyFill="1" applyBorder="1"/>
    <xf numFmtId="0" fontId="2" fillId="2" borderId="56" xfId="0" applyFont="1" applyFill="1" applyBorder="1"/>
    <xf numFmtId="0" fontId="2" fillId="2" borderId="37" xfId="0" applyFont="1" applyFill="1" applyBorder="1"/>
    <xf numFmtId="0" fontId="2" fillId="2" borderId="58" xfId="0" applyFont="1" applyFill="1" applyBorder="1"/>
    <xf numFmtId="0" fontId="2" fillId="2" borderId="59" xfId="0" applyFont="1" applyFill="1" applyBorder="1"/>
    <xf numFmtId="0" fontId="2" fillId="2" borderId="60" xfId="0" applyFont="1" applyFill="1" applyBorder="1"/>
    <xf numFmtId="0" fontId="2" fillId="2" borderId="61" xfId="0" applyFont="1" applyFill="1" applyBorder="1"/>
    <xf numFmtId="0" fontId="2" fillId="5" borderId="56" xfId="0" applyFont="1" applyFill="1" applyBorder="1"/>
    <xf numFmtId="0" fontId="8" fillId="5" borderId="35" xfId="0" applyFont="1" applyFill="1" applyBorder="1"/>
    <xf numFmtId="0" fontId="0" fillId="0" borderId="50" xfId="0" applyBorder="1"/>
    <xf numFmtId="0" fontId="0" fillId="0" borderId="48" xfId="0" applyBorder="1"/>
    <xf numFmtId="0" fontId="0" fillId="0" borderId="49" xfId="0" applyBorder="1"/>
    <xf numFmtId="0" fontId="2" fillId="4" borderId="35" xfId="0" applyFont="1" applyFill="1" applyBorder="1"/>
    <xf numFmtId="0" fontId="2" fillId="4" borderId="37" xfId="0" applyFont="1" applyFill="1" applyBorder="1"/>
    <xf numFmtId="0" fontId="2" fillId="5" borderId="35" xfId="0" applyFont="1" applyFill="1" applyBorder="1"/>
    <xf numFmtId="0" fontId="2" fillId="7" borderId="51" xfId="0" applyFont="1" applyFill="1" applyBorder="1"/>
    <xf numFmtId="0" fontId="2" fillId="7" borderId="54" xfId="0" applyFont="1" applyFill="1" applyBorder="1"/>
    <xf numFmtId="0" fontId="2" fillId="5" borderId="57" xfId="0" applyFont="1" applyFill="1" applyBorder="1"/>
    <xf numFmtId="0" fontId="2" fillId="7" borderId="12" xfId="0" applyFont="1" applyFill="1" applyBorder="1"/>
    <xf numFmtId="0" fontId="2" fillId="7" borderId="41" xfId="0" applyFont="1" applyFill="1" applyBorder="1"/>
    <xf numFmtId="0" fontId="2" fillId="7" borderId="42" xfId="0" applyFont="1" applyFill="1" applyBorder="1"/>
    <xf numFmtId="0" fontId="2" fillId="7" borderId="43" xfId="0" applyFont="1" applyFill="1" applyBorder="1"/>
    <xf numFmtId="0" fontId="0" fillId="0" borderId="26" xfId="0" applyBorder="1"/>
    <xf numFmtId="0" fontId="2" fillId="5" borderId="12" xfId="0" applyFont="1" applyFill="1" applyBorder="1"/>
    <xf numFmtId="0" fontId="2" fillId="7" borderId="5" xfId="0" applyFont="1" applyFill="1" applyBorder="1"/>
    <xf numFmtId="0" fontId="2" fillId="7" borderId="62" xfId="0" applyFont="1" applyFill="1" applyBorder="1"/>
    <xf numFmtId="0" fontId="2" fillId="7" borderId="47" xfId="0" applyFont="1" applyFill="1" applyBorder="1"/>
    <xf numFmtId="0" fontId="2" fillId="7" borderId="2" xfId="0" applyFont="1" applyFill="1" applyBorder="1"/>
    <xf numFmtId="0" fontId="0" fillId="0" borderId="51" xfId="0" applyBorder="1"/>
    <xf numFmtId="0" fontId="2" fillId="7" borderId="36" xfId="0" applyFont="1" applyFill="1" applyBorder="1"/>
    <xf numFmtId="0" fontId="2" fillId="2" borderId="45" xfId="0" applyFont="1" applyFill="1" applyBorder="1" applyAlignment="1">
      <alignment horizontal="center"/>
    </xf>
    <xf numFmtId="0" fontId="2" fillId="2" borderId="57" xfId="0" applyFont="1" applyFill="1" applyBorder="1" applyAlignment="1">
      <alignment horizontal="center"/>
    </xf>
    <xf numFmtId="0" fontId="2" fillId="6" borderId="54" xfId="0" applyFont="1" applyFill="1" applyBorder="1"/>
    <xf numFmtId="0" fontId="2" fillId="6" borderId="45" xfId="0" applyFont="1" applyFill="1" applyBorder="1"/>
    <xf numFmtId="0" fontId="2" fillId="6" borderId="57" xfId="0" applyFont="1" applyFill="1" applyBorder="1"/>
    <xf numFmtId="0" fontId="2" fillId="9" borderId="54" xfId="0" applyFont="1" applyFill="1" applyBorder="1"/>
    <xf numFmtId="0" fontId="2" fillId="9" borderId="45" xfId="0" applyFont="1" applyFill="1" applyBorder="1"/>
    <xf numFmtId="0" fontId="2" fillId="9" borderId="57" xfId="0" applyFont="1" applyFill="1" applyBorder="1"/>
    <xf numFmtId="0" fontId="19" fillId="7" borderId="64" xfId="0" applyFont="1" applyFill="1" applyBorder="1" applyAlignment="1">
      <alignment vertical="center" wrapText="1"/>
    </xf>
    <xf numFmtId="0" fontId="19" fillId="7" borderId="65" xfId="0" applyFont="1" applyFill="1" applyBorder="1" applyAlignment="1">
      <alignment vertical="center" wrapText="1"/>
    </xf>
    <xf numFmtId="0" fontId="0" fillId="0" borderId="64" xfId="0" applyBorder="1" applyAlignment="1">
      <alignment horizontal="left" vertical="center" wrapText="1"/>
    </xf>
    <xf numFmtId="0" fontId="0" fillId="0" borderId="65" xfId="0" applyBorder="1" applyAlignment="1">
      <alignment horizontal="left" vertical="center" wrapText="1"/>
    </xf>
    <xf numFmtId="0" fontId="0" fillId="0" borderId="66" xfId="0" applyBorder="1" applyAlignment="1">
      <alignment horizontal="left"/>
    </xf>
    <xf numFmtId="0" fontId="0" fillId="0" borderId="67" xfId="0" applyBorder="1" applyAlignment="1">
      <alignment horizontal="left"/>
    </xf>
    <xf numFmtId="3" fontId="0" fillId="0" borderId="64" xfId="0" applyNumberFormat="1" applyBorder="1" applyAlignment="1">
      <alignment horizontal="left" vertical="center" wrapText="1"/>
    </xf>
    <xf numFmtId="3" fontId="0" fillId="0" borderId="65" xfId="0" applyNumberFormat="1" applyBorder="1" applyAlignment="1">
      <alignment horizontal="left" vertical="center" wrapText="1"/>
    </xf>
    <xf numFmtId="0" fontId="0" fillId="0" borderId="64" xfId="0" applyBorder="1" applyAlignment="1">
      <alignment horizontal="left"/>
    </xf>
    <xf numFmtId="0" fontId="0" fillId="0" borderId="65" xfId="0" applyBorder="1" applyAlignment="1">
      <alignment horizontal="left"/>
    </xf>
    <xf numFmtId="0" fontId="19" fillId="7" borderId="68" xfId="0" applyFont="1" applyFill="1" applyBorder="1" applyAlignment="1">
      <alignment vertical="center" wrapText="1"/>
    </xf>
    <xf numFmtId="0" fontId="0" fillId="0" borderId="68" xfId="0" applyBorder="1" applyAlignment="1">
      <alignment horizontal="left" vertical="center" wrapText="1"/>
    </xf>
    <xf numFmtId="3" fontId="0" fillId="0" borderId="68" xfId="0" applyNumberFormat="1" applyBorder="1" applyAlignment="1">
      <alignment horizontal="left" vertical="center" wrapText="1"/>
    </xf>
    <xf numFmtId="0" fontId="0" fillId="0" borderId="68" xfId="0" applyBorder="1" applyAlignment="1">
      <alignment horizontal="left"/>
    </xf>
    <xf numFmtId="0" fontId="2" fillId="7" borderId="12" xfId="0" applyFont="1" applyFill="1" applyBorder="1" applyAlignment="1">
      <alignment horizontal="center" vertical="center" wrapText="1"/>
    </xf>
    <xf numFmtId="0" fontId="0" fillId="2" borderId="70" xfId="0" applyFill="1" applyBorder="1"/>
    <xf numFmtId="0" fontId="2" fillId="9" borderId="48" xfId="0" applyFont="1" applyFill="1" applyBorder="1"/>
    <xf numFmtId="0" fontId="2" fillId="9" borderId="49" xfId="0" applyFont="1" applyFill="1" applyBorder="1"/>
    <xf numFmtId="0" fontId="2" fillId="9" borderId="50" xfId="0" applyFont="1" applyFill="1" applyBorder="1"/>
    <xf numFmtId="0" fontId="2" fillId="9" borderId="69" xfId="0" applyFont="1" applyFill="1" applyBorder="1"/>
    <xf numFmtId="0" fontId="2" fillId="9" borderId="37" xfId="0" applyFont="1" applyFill="1" applyBorder="1" applyAlignment="1">
      <alignment horizontal="right"/>
    </xf>
    <xf numFmtId="0" fontId="0" fillId="9" borderId="36" xfId="0" applyFill="1" applyBorder="1"/>
    <xf numFmtId="0" fontId="0" fillId="9" borderId="70" xfId="0" applyFill="1" applyBorder="1"/>
    <xf numFmtId="0" fontId="19" fillId="7" borderId="71" xfId="0" applyFont="1" applyFill="1" applyBorder="1"/>
    <xf numFmtId="0" fontId="19" fillId="7" borderId="72" xfId="0" applyFont="1" applyFill="1" applyBorder="1"/>
    <xf numFmtId="0" fontId="19" fillId="7" borderId="73" xfId="0" applyFont="1" applyFill="1" applyBorder="1"/>
    <xf numFmtId="0" fontId="19" fillId="7" borderId="71" xfId="0" applyFont="1" applyFill="1" applyBorder="1" applyAlignment="1">
      <alignment vertical="center" wrapText="1"/>
    </xf>
    <xf numFmtId="0" fontId="19" fillId="7" borderId="72" xfId="0" applyFont="1" applyFill="1" applyBorder="1" applyAlignment="1">
      <alignment vertical="center" wrapText="1"/>
    </xf>
    <xf numFmtId="0" fontId="19" fillId="7" borderId="73" xfId="0" applyFont="1" applyFill="1" applyBorder="1" applyAlignment="1">
      <alignment vertical="center" wrapText="1"/>
    </xf>
    <xf numFmtId="0" fontId="0" fillId="0" borderId="74" xfId="0" applyBorder="1" applyAlignment="1">
      <alignment horizontal="left"/>
    </xf>
    <xf numFmtId="0" fontId="2" fillId="7" borderId="37" xfId="0" applyFont="1" applyFill="1" applyBorder="1"/>
    <xf numFmtId="0" fontId="2" fillId="5" borderId="69" xfId="0" applyFont="1" applyFill="1" applyBorder="1"/>
    <xf numFmtId="0" fontId="0" fillId="5" borderId="70" xfId="0" applyFill="1" applyBorder="1"/>
    <xf numFmtId="0" fontId="0" fillId="5" borderId="38" xfId="0" applyFill="1" applyBorder="1"/>
    <xf numFmtId="0" fontId="0" fillId="9" borderId="63" xfId="0" applyFill="1" applyBorder="1"/>
    <xf numFmtId="0" fontId="0" fillId="9" borderId="64" xfId="0" applyFill="1" applyBorder="1"/>
    <xf numFmtId="9" fontId="0" fillId="9" borderId="65" xfId="1" applyFont="1" applyFill="1" applyBorder="1" applyAlignment="1"/>
    <xf numFmtId="0" fontId="0" fillId="2" borderId="63" xfId="0" applyFill="1" applyBorder="1"/>
    <xf numFmtId="0" fontId="0" fillId="2" borderId="64" xfId="0" applyFill="1" applyBorder="1"/>
    <xf numFmtId="9" fontId="0" fillId="2" borderId="65" xfId="0" applyNumberFormat="1" applyFill="1" applyBorder="1"/>
    <xf numFmtId="0" fontId="2" fillId="5" borderId="73" xfId="0" applyFont="1" applyFill="1" applyBorder="1"/>
    <xf numFmtId="0" fontId="2" fillId="5" borderId="71" xfId="0" applyFont="1" applyFill="1" applyBorder="1"/>
    <xf numFmtId="0" fontId="2" fillId="5" borderId="72" xfId="0" applyFont="1" applyFill="1" applyBorder="1"/>
    <xf numFmtId="0" fontId="0" fillId="5" borderId="63" xfId="0" applyFill="1" applyBorder="1"/>
    <xf numFmtId="0" fontId="0" fillId="5" borderId="64" xfId="0" applyFill="1" applyBorder="1"/>
    <xf numFmtId="9" fontId="0" fillId="5" borderId="65" xfId="1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9" fontId="0" fillId="3" borderId="75" xfId="0" applyNumberFormat="1" applyFill="1" applyBorder="1"/>
    <xf numFmtId="9" fontId="7" fillId="0" borderId="75" xfId="0" applyNumberFormat="1" applyFont="1" applyBorder="1" applyAlignment="1">
      <alignment horizontal="center" vertical="center"/>
    </xf>
    <xf numFmtId="0" fontId="0" fillId="0" borderId="75" xfId="0" applyBorder="1"/>
    <xf numFmtId="9" fontId="0" fillId="0" borderId="75" xfId="1" applyFont="1" applyBorder="1" applyAlignment="1"/>
    <xf numFmtId="0" fontId="6" fillId="9" borderId="12" xfId="0" applyFont="1" applyFill="1" applyBorder="1" applyAlignment="1">
      <alignment horizontal="center" vertical="center"/>
    </xf>
    <xf numFmtId="9" fontId="0" fillId="0" borderId="18" xfId="1" applyFont="1" applyFill="1" applyBorder="1" applyAlignment="1"/>
    <xf numFmtId="0" fontId="6" fillId="8" borderId="35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/>
    </xf>
    <xf numFmtId="0" fontId="16" fillId="3" borderId="14" xfId="0" applyFont="1" applyFill="1" applyBorder="1" applyAlignment="1">
      <alignment horizontal="center"/>
    </xf>
    <xf numFmtId="0" fontId="16" fillId="3" borderId="15" xfId="0" applyFont="1" applyFill="1" applyBorder="1" applyAlignment="1">
      <alignment horizontal="center"/>
    </xf>
    <xf numFmtId="0" fontId="14" fillId="7" borderId="45" xfId="0" applyFont="1" applyFill="1" applyBorder="1" applyAlignment="1">
      <alignment horizontal="left"/>
    </xf>
    <xf numFmtId="0" fontId="14" fillId="7" borderId="57" xfId="0" applyFont="1" applyFill="1" applyBorder="1" applyAlignment="1">
      <alignment horizontal="left"/>
    </xf>
    <xf numFmtId="0" fontId="14" fillId="7" borderId="35" xfId="0" applyFont="1" applyFill="1" applyBorder="1" applyAlignment="1">
      <alignment horizontal="left"/>
    </xf>
    <xf numFmtId="0" fontId="14" fillId="7" borderId="12" xfId="0" applyFont="1" applyFill="1" applyBorder="1" applyAlignment="1">
      <alignment horizontal="left"/>
    </xf>
    <xf numFmtId="0" fontId="14" fillId="7" borderId="54" xfId="0" applyFont="1" applyFill="1" applyBorder="1" applyAlignment="1">
      <alignment horizontal="left"/>
    </xf>
    <xf numFmtId="0" fontId="14" fillId="2" borderId="41" xfId="0" applyFont="1" applyFill="1" applyBorder="1" applyAlignment="1">
      <alignment horizontal="left"/>
    </xf>
    <xf numFmtId="0" fontId="14" fillId="2" borderId="42" xfId="0" applyFont="1" applyFill="1" applyBorder="1" applyAlignment="1">
      <alignment horizontal="left"/>
    </xf>
    <xf numFmtId="0" fontId="14" fillId="13" borderId="42" xfId="0" applyFont="1" applyFill="1" applyBorder="1" applyAlignment="1">
      <alignment horizontal="left"/>
    </xf>
    <xf numFmtId="0" fontId="14" fillId="5" borderId="42" xfId="0" applyFont="1" applyFill="1" applyBorder="1" applyAlignment="1">
      <alignment horizontal="left"/>
    </xf>
    <xf numFmtId="0" fontId="14" fillId="5" borderId="43" xfId="0" applyFont="1" applyFill="1" applyBorder="1" applyAlignment="1">
      <alignment horizontal="left"/>
    </xf>
    <xf numFmtId="0" fontId="17" fillId="2" borderId="25" xfId="0" applyFont="1" applyFill="1" applyBorder="1" applyAlignment="1">
      <alignment horizontal="left"/>
    </xf>
    <xf numFmtId="0" fontId="17" fillId="2" borderId="26" xfId="0" applyFont="1" applyFill="1" applyBorder="1" applyAlignment="1">
      <alignment horizontal="left"/>
    </xf>
    <xf numFmtId="0" fontId="17" fillId="2" borderId="27" xfId="0" applyFont="1" applyFill="1" applyBorder="1" applyAlignment="1">
      <alignment horizontal="left"/>
    </xf>
    <xf numFmtId="0" fontId="17" fillId="2" borderId="48" xfId="0" applyFont="1" applyFill="1" applyBorder="1" applyAlignment="1">
      <alignment horizontal="left"/>
    </xf>
    <xf numFmtId="0" fontId="17" fillId="2" borderId="28" xfId="0" applyFont="1" applyFill="1" applyBorder="1" applyAlignment="1">
      <alignment horizontal="left"/>
    </xf>
    <xf numFmtId="0" fontId="17" fillId="13" borderId="28" xfId="0" applyFont="1" applyFill="1" applyBorder="1" applyAlignment="1">
      <alignment horizontal="left"/>
    </xf>
    <xf numFmtId="0" fontId="17" fillId="5" borderId="28" xfId="0" applyFont="1" applyFill="1" applyBorder="1" applyAlignment="1">
      <alignment horizontal="left"/>
    </xf>
    <xf numFmtId="0" fontId="17" fillId="5" borderId="30" xfId="0" applyFont="1" applyFill="1" applyBorder="1" applyAlignment="1">
      <alignment horizontal="left"/>
    </xf>
    <xf numFmtId="0" fontId="14" fillId="13" borderId="43" xfId="0" applyFont="1" applyFill="1" applyBorder="1" applyAlignment="1">
      <alignment horizontal="left"/>
    </xf>
    <xf numFmtId="0" fontId="17" fillId="13" borderId="30" xfId="0" applyFont="1" applyFill="1" applyBorder="1" applyAlignment="1">
      <alignment horizontal="left"/>
    </xf>
    <xf numFmtId="0" fontId="17" fillId="13" borderId="31" xfId="0" applyFont="1" applyFill="1" applyBorder="1" applyAlignment="1">
      <alignment horizontal="left"/>
    </xf>
    <xf numFmtId="0" fontId="17" fillId="13" borderId="32" xfId="0" applyFont="1" applyFill="1" applyBorder="1" applyAlignment="1">
      <alignment horizontal="left"/>
    </xf>
    <xf numFmtId="0" fontId="14" fillId="2" borderId="76" xfId="0" applyFont="1" applyFill="1" applyBorder="1" applyAlignment="1">
      <alignment horizontal="left"/>
    </xf>
    <xf numFmtId="0" fontId="17" fillId="2" borderId="77" xfId="0" applyFont="1" applyFill="1" applyBorder="1" applyAlignment="1">
      <alignment horizontal="left"/>
    </xf>
    <xf numFmtId="0" fontId="17" fillId="2" borderId="78" xfId="0" applyFont="1" applyFill="1" applyBorder="1" applyAlignment="1">
      <alignment horizontal="left"/>
    </xf>
    <xf numFmtId="0" fontId="17" fillId="2" borderId="79" xfId="0" applyFont="1" applyFill="1" applyBorder="1" applyAlignment="1">
      <alignment horizontal="left"/>
    </xf>
    <xf numFmtId="0" fontId="14" fillId="13" borderId="41" xfId="0" applyFont="1" applyFill="1" applyBorder="1" applyAlignment="1">
      <alignment horizontal="left"/>
    </xf>
    <xf numFmtId="0" fontId="17" fillId="13" borderId="25" xfId="0" applyFont="1" applyFill="1" applyBorder="1" applyAlignment="1">
      <alignment horizontal="left"/>
    </xf>
    <xf numFmtId="0" fontId="17" fillId="13" borderId="26" xfId="0" applyFont="1" applyFill="1" applyBorder="1" applyAlignment="1">
      <alignment horizontal="left"/>
    </xf>
    <xf numFmtId="0" fontId="17" fillId="13" borderId="27" xfId="0" applyFont="1" applyFill="1" applyBorder="1" applyAlignment="1">
      <alignment horizontal="left"/>
    </xf>
    <xf numFmtId="0" fontId="14" fillId="5" borderId="41" xfId="0" applyFont="1" applyFill="1" applyBorder="1" applyAlignment="1">
      <alignment horizontal="left"/>
    </xf>
    <xf numFmtId="0" fontId="17" fillId="5" borderId="25" xfId="0" applyFont="1" applyFill="1" applyBorder="1" applyAlignment="1">
      <alignment horizontal="left"/>
    </xf>
    <xf numFmtId="0" fontId="17" fillId="5" borderId="26" xfId="0" applyFont="1" applyFill="1" applyBorder="1" applyAlignment="1">
      <alignment horizontal="left"/>
    </xf>
    <xf numFmtId="0" fontId="17" fillId="5" borderId="27" xfId="0" applyFont="1" applyFill="1" applyBorder="1" applyAlignment="1">
      <alignment horizontal="left"/>
    </xf>
    <xf numFmtId="0" fontId="3" fillId="7" borderId="57" xfId="0" applyFont="1" applyFill="1" applyBorder="1"/>
    <xf numFmtId="0" fontId="3" fillId="7" borderId="53" xfId="0" applyFont="1" applyFill="1" applyBorder="1" applyAlignment="1">
      <alignment vertical="center" wrapText="1"/>
    </xf>
    <xf numFmtId="0" fontId="3" fillId="7" borderId="29" xfId="0" applyFont="1" applyFill="1" applyBorder="1" applyAlignment="1">
      <alignment vertical="center" wrapText="1"/>
    </xf>
    <xf numFmtId="0" fontId="3" fillId="7" borderId="32" xfId="0" applyFont="1" applyFill="1" applyBorder="1" applyAlignment="1">
      <alignment vertical="center" wrapText="1"/>
    </xf>
    <xf numFmtId="0" fontId="3" fillId="2" borderId="35" xfId="0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4" borderId="35" xfId="0" applyFont="1" applyFill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0" fontId="3" fillId="5" borderId="35" xfId="0" applyFont="1" applyFill="1" applyBorder="1" applyAlignment="1">
      <alignment horizontal="center"/>
    </xf>
    <xf numFmtId="0" fontId="3" fillId="2" borderId="37" xfId="0" applyFont="1" applyFill="1" applyBorder="1"/>
    <xf numFmtId="0" fontId="3" fillId="2" borderId="12" xfId="0" applyFont="1" applyFill="1" applyBorder="1"/>
    <xf numFmtId="0" fontId="0" fillId="0" borderId="47" xfId="0" applyBorder="1" applyAlignment="1">
      <alignment vertical="center" wrapText="1"/>
    </xf>
    <xf numFmtId="0" fontId="0" fillId="0" borderId="42" xfId="0" applyBorder="1" applyAlignment="1">
      <alignment vertical="center" wrapText="1"/>
    </xf>
    <xf numFmtId="0" fontId="3" fillId="4" borderId="37" xfId="0" applyFont="1" applyFill="1" applyBorder="1"/>
    <xf numFmtId="0" fontId="3" fillId="4" borderId="12" xfId="0" applyFont="1" applyFill="1" applyBorder="1"/>
    <xf numFmtId="0" fontId="3" fillId="5" borderId="37" xfId="0" applyFont="1" applyFill="1" applyBorder="1"/>
    <xf numFmtId="0" fontId="3" fillId="5" borderId="12" xfId="0" applyFont="1" applyFill="1" applyBorder="1"/>
    <xf numFmtId="0" fontId="26" fillId="14" borderId="35" xfId="0" applyFont="1" applyFill="1" applyBorder="1"/>
    <xf numFmtId="0" fontId="26" fillId="14" borderId="37" xfId="0" applyFont="1" applyFill="1" applyBorder="1"/>
    <xf numFmtId="0" fontId="0" fillId="14" borderId="37" xfId="0" applyFill="1" applyBorder="1"/>
    <xf numFmtId="0" fontId="2" fillId="2" borderId="69" xfId="0" applyFont="1" applyFill="1" applyBorder="1"/>
    <xf numFmtId="0" fontId="2" fillId="2" borderId="73" xfId="0" applyFont="1" applyFill="1" applyBorder="1"/>
    <xf numFmtId="0" fontId="2" fillId="2" borderId="71" xfId="0" applyFont="1" applyFill="1" applyBorder="1"/>
    <xf numFmtId="0" fontId="2" fillId="2" borderId="72" xfId="0" applyFont="1" applyFill="1" applyBorder="1"/>
    <xf numFmtId="0" fontId="2" fillId="2" borderId="37" xfId="0" applyFon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9FF99"/>
      <color rgb="FFFFCC99"/>
      <color rgb="FFCCFFFF"/>
      <color rgb="FFFFFF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1D453-D4BA-4846-A2A1-3806A8217173}">
  <dimension ref="B1:J40"/>
  <sheetViews>
    <sheetView workbookViewId="0">
      <selection activeCell="G5" sqref="G5"/>
    </sheetView>
  </sheetViews>
  <sheetFormatPr defaultRowHeight="14.4" x14ac:dyDescent="0.3"/>
  <cols>
    <col min="2" max="2" width="12.44140625" customWidth="1"/>
    <col min="3" max="3" width="27.21875" customWidth="1"/>
    <col min="4" max="4" width="27.77734375" bestFit="1" customWidth="1"/>
    <col min="5" max="5" width="27.33203125" customWidth="1"/>
    <col min="6" max="6" width="27.77734375" bestFit="1" customWidth="1"/>
    <col min="7" max="7" width="26.88671875" customWidth="1"/>
    <col min="8" max="8" width="27.77734375" customWidth="1"/>
    <col min="9" max="9" width="17.21875" customWidth="1"/>
  </cols>
  <sheetData>
    <row r="1" spans="2:10" ht="15" thickBot="1" x14ac:dyDescent="0.35"/>
    <row r="2" spans="2:10" ht="21.6" thickBot="1" x14ac:dyDescent="0.45">
      <c r="B2" s="401" t="s">
        <v>296</v>
      </c>
      <c r="C2" s="402"/>
      <c r="E2" s="401" t="s">
        <v>297</v>
      </c>
      <c r="F2" s="403"/>
    </row>
    <row r="4" spans="2:10" ht="15" thickBot="1" x14ac:dyDescent="0.35"/>
    <row r="5" spans="2:10" ht="18.600000000000001" thickBot="1" x14ac:dyDescent="0.4">
      <c r="B5" s="163" t="s">
        <v>110</v>
      </c>
      <c r="C5" s="164"/>
      <c r="D5" s="165"/>
      <c r="E5" s="166" t="s">
        <v>112</v>
      </c>
      <c r="F5" s="167"/>
      <c r="G5" s="166" t="s">
        <v>111</v>
      </c>
    </row>
    <row r="6" spans="2:10" ht="15" thickBot="1" x14ac:dyDescent="0.35"/>
    <row r="7" spans="2:10" ht="16.2" thickBot="1" x14ac:dyDescent="0.35">
      <c r="C7" s="195"/>
      <c r="D7" s="387">
        <v>2016</v>
      </c>
      <c r="E7" s="389"/>
      <c r="F7" s="390">
        <v>2020</v>
      </c>
      <c r="G7" s="391"/>
      <c r="H7" s="392">
        <v>2024</v>
      </c>
      <c r="I7" s="388"/>
    </row>
    <row r="8" spans="2:10" ht="16.2" thickBot="1" x14ac:dyDescent="0.35">
      <c r="B8" s="269" t="s">
        <v>30</v>
      </c>
      <c r="C8" s="383" t="s">
        <v>3</v>
      </c>
      <c r="D8" s="394" t="s">
        <v>28</v>
      </c>
      <c r="E8" s="393" t="s">
        <v>29</v>
      </c>
      <c r="F8" s="398" t="s">
        <v>28</v>
      </c>
      <c r="G8" s="397" t="s">
        <v>29</v>
      </c>
      <c r="H8" s="400" t="s">
        <v>28</v>
      </c>
      <c r="I8" s="399" t="s">
        <v>29</v>
      </c>
    </row>
    <row r="9" spans="2:10" ht="15.6" x14ac:dyDescent="0.3">
      <c r="B9" s="268">
        <v>1</v>
      </c>
      <c r="C9" s="384" t="s">
        <v>2</v>
      </c>
      <c r="D9" s="395">
        <v>111.4</v>
      </c>
      <c r="E9" s="237">
        <v>55.41</v>
      </c>
      <c r="F9" s="395">
        <v>327.8</v>
      </c>
      <c r="G9" s="237">
        <v>68.45</v>
      </c>
      <c r="H9" s="395">
        <v>264.10000000000002</v>
      </c>
      <c r="I9" s="237">
        <v>91.1</v>
      </c>
    </row>
    <row r="10" spans="2:10" ht="15.6" x14ac:dyDescent="0.3">
      <c r="B10" s="186">
        <v>2</v>
      </c>
      <c r="C10" s="385" t="s">
        <v>0</v>
      </c>
      <c r="D10" s="396">
        <v>75.8</v>
      </c>
      <c r="E10" s="220">
        <v>34.520000000000003</v>
      </c>
      <c r="F10" s="396">
        <v>60</v>
      </c>
      <c r="G10" s="220">
        <v>45.64</v>
      </c>
      <c r="H10" s="396">
        <v>59.9</v>
      </c>
      <c r="I10" s="220">
        <v>57.7</v>
      </c>
    </row>
    <row r="11" spans="2:10" ht="15.6" x14ac:dyDescent="0.3">
      <c r="B11" s="186">
        <v>3</v>
      </c>
      <c r="C11" s="385" t="s">
        <v>5</v>
      </c>
      <c r="D11" s="396">
        <v>15.3</v>
      </c>
      <c r="E11" s="220">
        <v>32.69</v>
      </c>
      <c r="F11" s="396">
        <v>22.6</v>
      </c>
      <c r="G11" s="220">
        <v>43.91</v>
      </c>
      <c r="H11" s="396">
        <v>22.6</v>
      </c>
      <c r="I11" s="220">
        <v>58.3</v>
      </c>
    </row>
    <row r="12" spans="2:10" ht="15.6" x14ac:dyDescent="0.3">
      <c r="B12" s="186">
        <v>4</v>
      </c>
      <c r="C12" s="385" t="s">
        <v>4</v>
      </c>
      <c r="D12" s="209">
        <v>95.899999999999991</v>
      </c>
      <c r="E12" s="220">
        <v>83.13</v>
      </c>
      <c r="F12" s="209">
        <v>388.4</v>
      </c>
      <c r="G12" s="220">
        <v>117.1</v>
      </c>
      <c r="H12" s="209">
        <v>137.39999999999998</v>
      </c>
      <c r="I12" s="220">
        <v>120.5</v>
      </c>
    </row>
    <row r="13" spans="2:10" ht="16.2" thickBot="1" x14ac:dyDescent="0.35">
      <c r="B13" s="188">
        <v>5</v>
      </c>
      <c r="C13" s="386" t="s">
        <v>1</v>
      </c>
      <c r="D13" s="210">
        <v>298.39999999999998</v>
      </c>
      <c r="E13" s="221">
        <v>205.76</v>
      </c>
      <c r="F13" s="210">
        <v>618.79999999999995</v>
      </c>
      <c r="G13" s="221">
        <v>275.10000000000002</v>
      </c>
      <c r="H13" s="210">
        <v>429.20000000000005</v>
      </c>
      <c r="I13" s="221">
        <v>327.60000000000002</v>
      </c>
    </row>
    <row r="15" spans="2:10" ht="15.6" x14ac:dyDescent="0.3">
      <c r="J15" s="4"/>
    </row>
    <row r="16" spans="2:10" ht="15.6" x14ac:dyDescent="0.3">
      <c r="G16" s="5"/>
      <c r="H16" s="5"/>
      <c r="I16" s="5"/>
      <c r="J16" s="5"/>
    </row>
    <row r="17" spans="3:7" ht="15.6" x14ac:dyDescent="0.3">
      <c r="G17" s="6"/>
    </row>
    <row r="18" spans="3:7" ht="16.2" thickBot="1" x14ac:dyDescent="0.35">
      <c r="G18" s="6"/>
    </row>
    <row r="19" spans="3:7" ht="21" thickBot="1" x14ac:dyDescent="0.6">
      <c r="C19" s="346" t="s">
        <v>295</v>
      </c>
      <c r="D19" s="347"/>
      <c r="E19" s="347"/>
      <c r="F19" s="347"/>
      <c r="G19" s="348"/>
    </row>
    <row r="20" spans="3:7" ht="18" thickBot="1" x14ac:dyDescent="0.5">
      <c r="C20" s="351" t="s">
        <v>6</v>
      </c>
      <c r="D20" s="352" t="s">
        <v>7</v>
      </c>
      <c r="E20" s="353" t="s">
        <v>8</v>
      </c>
      <c r="F20" s="349"/>
      <c r="G20" s="350"/>
    </row>
    <row r="21" spans="3:7" ht="17.399999999999999" x14ac:dyDescent="0.45">
      <c r="C21" s="354">
        <v>1</v>
      </c>
      <c r="D21" s="354" t="s">
        <v>91</v>
      </c>
      <c r="E21" s="359" t="s">
        <v>89</v>
      </c>
      <c r="F21" s="360"/>
      <c r="G21" s="361"/>
    </row>
    <row r="22" spans="3:7" ht="17.399999999999999" x14ac:dyDescent="0.45">
      <c r="C22" s="355">
        <v>2</v>
      </c>
      <c r="D22" s="355" t="s">
        <v>92</v>
      </c>
      <c r="E22" s="362" t="s">
        <v>90</v>
      </c>
      <c r="F22" s="172"/>
      <c r="G22" s="162"/>
    </row>
    <row r="23" spans="3:7" ht="17.399999999999999" x14ac:dyDescent="0.45">
      <c r="C23" s="355">
        <v>3</v>
      </c>
      <c r="D23" s="355" t="s">
        <v>9</v>
      </c>
      <c r="E23" s="363" t="s">
        <v>10</v>
      </c>
      <c r="F23" s="168"/>
      <c r="G23" s="169"/>
    </row>
    <row r="24" spans="3:7" ht="17.399999999999999" x14ac:dyDescent="0.45">
      <c r="C24" s="355">
        <v>4</v>
      </c>
      <c r="D24" s="355" t="s">
        <v>93</v>
      </c>
      <c r="E24" s="363" t="s">
        <v>11</v>
      </c>
      <c r="F24" s="168"/>
      <c r="G24" s="169"/>
    </row>
    <row r="25" spans="3:7" ht="17.399999999999999" x14ac:dyDescent="0.45">
      <c r="C25" s="355">
        <v>5</v>
      </c>
      <c r="D25" s="355" t="s">
        <v>94</v>
      </c>
      <c r="E25" s="363" t="s">
        <v>12</v>
      </c>
      <c r="F25" s="168"/>
      <c r="G25" s="169"/>
    </row>
    <row r="26" spans="3:7" ht="17.399999999999999" x14ac:dyDescent="0.45">
      <c r="C26" s="355">
        <v>6</v>
      </c>
      <c r="D26" s="355" t="s">
        <v>95</v>
      </c>
      <c r="E26" s="363" t="s">
        <v>13</v>
      </c>
      <c r="F26" s="168"/>
      <c r="G26" s="169"/>
    </row>
    <row r="27" spans="3:7" ht="17.399999999999999" x14ac:dyDescent="0.45">
      <c r="C27" s="355">
        <v>7</v>
      </c>
      <c r="D27" s="355" t="s">
        <v>96</v>
      </c>
      <c r="E27" s="363" t="s">
        <v>14</v>
      </c>
      <c r="F27" s="168"/>
      <c r="G27" s="169"/>
    </row>
    <row r="28" spans="3:7" ht="17.399999999999999" x14ac:dyDescent="0.45">
      <c r="C28" s="355">
        <v>8</v>
      </c>
      <c r="D28" s="355" t="s">
        <v>97</v>
      </c>
      <c r="E28" s="363" t="s">
        <v>15</v>
      </c>
      <c r="F28" s="168"/>
      <c r="G28" s="169"/>
    </row>
    <row r="29" spans="3:7" ht="15.6" customHeight="1" x14ac:dyDescent="0.45">
      <c r="C29" s="355">
        <v>9</v>
      </c>
      <c r="D29" s="355" t="s">
        <v>98</v>
      </c>
      <c r="E29" s="363" t="s">
        <v>16</v>
      </c>
      <c r="F29" s="168"/>
      <c r="G29" s="169"/>
    </row>
    <row r="30" spans="3:7" ht="17.399999999999999" x14ac:dyDescent="0.45">
      <c r="C30" s="355">
        <v>10</v>
      </c>
      <c r="D30" s="355" t="s">
        <v>17</v>
      </c>
      <c r="E30" s="363" t="s">
        <v>18</v>
      </c>
      <c r="F30" s="168"/>
      <c r="G30" s="169"/>
    </row>
    <row r="31" spans="3:7" ht="18" thickBot="1" x14ac:dyDescent="0.5">
      <c r="C31" s="371">
        <v>11</v>
      </c>
      <c r="D31" s="371" t="s">
        <v>99</v>
      </c>
      <c r="E31" s="372" t="s">
        <v>19</v>
      </c>
      <c r="F31" s="373"/>
      <c r="G31" s="374"/>
    </row>
    <row r="32" spans="3:7" ht="17.399999999999999" x14ac:dyDescent="0.45">
      <c r="C32" s="375">
        <v>12</v>
      </c>
      <c r="D32" s="375" t="s">
        <v>100</v>
      </c>
      <c r="E32" s="376" t="s">
        <v>20</v>
      </c>
      <c r="F32" s="377"/>
      <c r="G32" s="378"/>
    </row>
    <row r="33" spans="3:7" ht="17.399999999999999" x14ac:dyDescent="0.45">
      <c r="C33" s="356">
        <v>13</v>
      </c>
      <c r="D33" s="356" t="s">
        <v>101</v>
      </c>
      <c r="E33" s="364" t="s">
        <v>21</v>
      </c>
      <c r="F33" s="173"/>
      <c r="G33" s="174"/>
    </row>
    <row r="34" spans="3:7" ht="17.399999999999999" x14ac:dyDescent="0.45">
      <c r="C34" s="356">
        <v>14</v>
      </c>
      <c r="D34" s="356" t="s">
        <v>102</v>
      </c>
      <c r="E34" s="364" t="s">
        <v>22</v>
      </c>
      <c r="F34" s="173"/>
      <c r="G34" s="174"/>
    </row>
    <row r="35" spans="3:7" ht="18" thickBot="1" x14ac:dyDescent="0.5">
      <c r="C35" s="367">
        <v>15</v>
      </c>
      <c r="D35" s="367" t="s">
        <v>103</v>
      </c>
      <c r="E35" s="368" t="s">
        <v>109</v>
      </c>
      <c r="F35" s="369"/>
      <c r="G35" s="370"/>
    </row>
    <row r="36" spans="3:7" ht="17.399999999999999" x14ac:dyDescent="0.45">
      <c r="C36" s="379">
        <v>16</v>
      </c>
      <c r="D36" s="379" t="s">
        <v>104</v>
      </c>
      <c r="E36" s="380" t="s">
        <v>23</v>
      </c>
      <c r="F36" s="381"/>
      <c r="G36" s="382"/>
    </row>
    <row r="37" spans="3:7" ht="17.399999999999999" x14ac:dyDescent="0.45">
      <c r="C37" s="357">
        <v>17</v>
      </c>
      <c r="D37" s="357" t="s">
        <v>105</v>
      </c>
      <c r="E37" s="365" t="s">
        <v>24</v>
      </c>
      <c r="F37" s="175"/>
      <c r="G37" s="176"/>
    </row>
    <row r="38" spans="3:7" ht="17.399999999999999" x14ac:dyDescent="0.45">
      <c r="C38" s="357">
        <v>18</v>
      </c>
      <c r="D38" s="357" t="s">
        <v>106</v>
      </c>
      <c r="E38" s="365" t="s">
        <v>25</v>
      </c>
      <c r="F38" s="175"/>
      <c r="G38" s="176"/>
    </row>
    <row r="39" spans="3:7" ht="17.399999999999999" x14ac:dyDescent="0.45">
      <c r="C39" s="357">
        <v>19</v>
      </c>
      <c r="D39" s="357" t="s">
        <v>107</v>
      </c>
      <c r="E39" s="365" t="s">
        <v>26</v>
      </c>
      <c r="F39" s="175"/>
      <c r="G39" s="176"/>
    </row>
    <row r="40" spans="3:7" ht="18" thickBot="1" x14ac:dyDescent="0.5">
      <c r="C40" s="358">
        <v>20</v>
      </c>
      <c r="D40" s="358" t="s">
        <v>108</v>
      </c>
      <c r="E40" s="366" t="s">
        <v>27</v>
      </c>
      <c r="F40" s="170"/>
      <c r="G40" s="171"/>
    </row>
  </sheetData>
  <mergeCells count="25">
    <mergeCell ref="E40:G40"/>
    <mergeCell ref="E22:F22"/>
    <mergeCell ref="E35:G35"/>
    <mergeCell ref="E36:G36"/>
    <mergeCell ref="E37:G37"/>
    <mergeCell ref="E38:G38"/>
    <mergeCell ref="E39:G39"/>
    <mergeCell ref="E28:G28"/>
    <mergeCell ref="E31:G31"/>
    <mergeCell ref="E29:G29"/>
    <mergeCell ref="E30:G30"/>
    <mergeCell ref="E32:G32"/>
    <mergeCell ref="E33:G33"/>
    <mergeCell ref="E34:G34"/>
    <mergeCell ref="H7:I7"/>
    <mergeCell ref="E25:G25"/>
    <mergeCell ref="E26:G26"/>
    <mergeCell ref="E27:G27"/>
    <mergeCell ref="E21:G21"/>
    <mergeCell ref="E23:G23"/>
    <mergeCell ref="E20:G20"/>
    <mergeCell ref="E24:G24"/>
    <mergeCell ref="D7:E7"/>
    <mergeCell ref="F7:G7"/>
    <mergeCell ref="C19:G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A983-4237-444B-BD51-588940D0BE8C}">
  <dimension ref="C2:AH78"/>
  <sheetViews>
    <sheetView topLeftCell="B13" zoomScale="110" zoomScaleNormal="110" workbookViewId="0">
      <selection activeCell="P48" sqref="P48"/>
    </sheetView>
  </sheetViews>
  <sheetFormatPr defaultRowHeight="14.4" x14ac:dyDescent="0.3"/>
  <cols>
    <col min="3" max="3" width="5" customWidth="1"/>
    <col min="4" max="4" width="12.109375" customWidth="1"/>
  </cols>
  <sheetData>
    <row r="2" spans="3:26" ht="25.8" x14ac:dyDescent="0.5">
      <c r="I2" s="9" t="s">
        <v>40</v>
      </c>
    </row>
    <row r="4" spans="3:26" ht="18" x14ac:dyDescent="0.35">
      <c r="C4" s="8" t="s">
        <v>48</v>
      </c>
      <c r="D4" s="13"/>
      <c r="E4" s="13"/>
    </row>
    <row r="5" spans="3:26" ht="15" thickBot="1" x14ac:dyDescent="0.35"/>
    <row r="6" spans="3:26" ht="15" thickBot="1" x14ac:dyDescent="0.35">
      <c r="D6" s="195"/>
      <c r="E6" s="196"/>
      <c r="F6" s="197"/>
      <c r="G6" s="198">
        <v>2016</v>
      </c>
      <c r="H6" s="197"/>
      <c r="I6" s="222"/>
      <c r="J6" s="199"/>
      <c r="K6" s="199"/>
      <c r="L6" s="200">
        <v>2020</v>
      </c>
      <c r="M6" s="199"/>
      <c r="N6" s="201"/>
    </row>
    <row r="7" spans="3:26" ht="16.2" thickBot="1" x14ac:dyDescent="0.35">
      <c r="C7" s="241" t="s">
        <v>30</v>
      </c>
      <c r="D7" s="242" t="s">
        <v>3</v>
      </c>
      <c r="E7" s="243" t="s">
        <v>31</v>
      </c>
      <c r="F7" s="244" t="s">
        <v>32</v>
      </c>
      <c r="G7" s="244" t="s">
        <v>9</v>
      </c>
      <c r="H7" s="245" t="s">
        <v>33</v>
      </c>
      <c r="I7" s="246" t="s">
        <v>36</v>
      </c>
      <c r="J7" s="247" t="s">
        <v>34</v>
      </c>
      <c r="K7" s="248" t="s">
        <v>35</v>
      </c>
      <c r="L7" s="248" t="s">
        <v>9</v>
      </c>
      <c r="M7" s="248" t="s">
        <v>33</v>
      </c>
      <c r="N7" s="249" t="s">
        <v>36</v>
      </c>
      <c r="O7" s="250" t="s">
        <v>38</v>
      </c>
      <c r="P7" s="251" t="s">
        <v>37</v>
      </c>
      <c r="Q7" s="252" t="s">
        <v>39</v>
      </c>
      <c r="S7" s="202" t="s">
        <v>41</v>
      </c>
      <c r="T7" s="205"/>
      <c r="U7" s="208">
        <f>(K12-F12)/I12</f>
        <v>47.812997319034878</v>
      </c>
    </row>
    <row r="8" spans="3:26" ht="15.6" x14ac:dyDescent="0.3">
      <c r="C8" s="233">
        <v>1</v>
      </c>
      <c r="D8" s="234" t="s">
        <v>2</v>
      </c>
      <c r="E8" s="235">
        <v>111.4</v>
      </c>
      <c r="F8" s="236">
        <v>55.41</v>
      </c>
      <c r="G8" s="236">
        <f>E8/F8</f>
        <v>2.0104674246525902</v>
      </c>
      <c r="H8" s="236">
        <f>F8/$F$12</f>
        <v>0.26929432348367027</v>
      </c>
      <c r="I8" s="237">
        <f>G8*H8</f>
        <v>0.54140746500777615</v>
      </c>
      <c r="J8" s="238">
        <v>327.8</v>
      </c>
      <c r="K8" s="236">
        <v>68.45</v>
      </c>
      <c r="L8" s="236">
        <f>J8/K8</f>
        <v>4.7888970051132214</v>
      </c>
      <c r="M8" s="236">
        <f>K8/$K$12</f>
        <v>0.24881861141403125</v>
      </c>
      <c r="N8" s="239">
        <f>L8*M8</f>
        <v>1.1915667030170847</v>
      </c>
      <c r="O8" s="236">
        <f>(L8-G8)/H8</f>
        <v>10.317445776494848</v>
      </c>
      <c r="P8" s="236">
        <f>M8-H8</f>
        <v>-2.0475712069639024E-2</v>
      </c>
      <c r="Q8" s="240">
        <f>P8*G8</f>
        <v>-4.1165752112575123E-2</v>
      </c>
      <c r="S8" s="203" t="s">
        <v>43</v>
      </c>
      <c r="T8" s="206"/>
      <c r="U8" s="209">
        <f>O12*F12</f>
        <v>164.42910941475816</v>
      </c>
    </row>
    <row r="9" spans="3:26" ht="16.2" customHeight="1" x14ac:dyDescent="0.3">
      <c r="C9" s="231">
        <v>2</v>
      </c>
      <c r="D9" s="229" t="s">
        <v>0</v>
      </c>
      <c r="E9" s="223">
        <v>75.8</v>
      </c>
      <c r="F9" s="7">
        <v>34.520000000000003</v>
      </c>
      <c r="G9" s="7">
        <f t="shared" ref="G9:G12" si="0">E9/F9</f>
        <v>2.1958285052143682</v>
      </c>
      <c r="H9" s="7">
        <f>F9/$F$12</f>
        <v>0.1677682737169518</v>
      </c>
      <c r="I9" s="220">
        <f t="shared" ref="I9:I12" si="1">G9*H9</f>
        <v>0.36839035769828926</v>
      </c>
      <c r="J9" s="10">
        <v>60</v>
      </c>
      <c r="K9" s="7">
        <v>45.64</v>
      </c>
      <c r="L9" s="7">
        <f t="shared" ref="L9:L12" si="2">J9/K9</f>
        <v>1.3146362839614374</v>
      </c>
      <c r="M9" s="7">
        <f>K9/$K$12</f>
        <v>0.1659033078880407</v>
      </c>
      <c r="N9" s="217">
        <f t="shared" ref="N9:N12" si="3">L9*M9</f>
        <v>0.21810250817884405</v>
      </c>
      <c r="O9" s="7">
        <f t="shared" ref="O9:O12" si="4">(L9-G9)/H9</f>
        <v>-5.2524366003766811</v>
      </c>
      <c r="P9" s="7">
        <f t="shared" ref="P9:P12" si="5">M9-H9</f>
        <v>-1.8649658289111026E-3</v>
      </c>
      <c r="Q9" s="187">
        <f t="shared" ref="Q9:Q11" si="6">P9*G9</f>
        <v>-4.0951451283737419E-3</v>
      </c>
      <c r="S9" s="203" t="s">
        <v>42</v>
      </c>
      <c r="T9" s="206"/>
      <c r="U9" s="209">
        <f>F12*Q12</f>
        <v>-4.102815073160512</v>
      </c>
    </row>
    <row r="10" spans="3:26" ht="15.6" x14ac:dyDescent="0.3">
      <c r="C10" s="231">
        <v>4</v>
      </c>
      <c r="D10" s="229" t="s">
        <v>5</v>
      </c>
      <c r="E10" s="223">
        <v>15.3</v>
      </c>
      <c r="F10" s="7">
        <v>32.69</v>
      </c>
      <c r="G10" s="7">
        <f t="shared" si="0"/>
        <v>0.46803303762618542</v>
      </c>
      <c r="H10" s="7">
        <f>F10/$F$12</f>
        <v>0.15887441679626749</v>
      </c>
      <c r="I10" s="220">
        <f t="shared" si="1"/>
        <v>7.4358475894245726E-2</v>
      </c>
      <c r="J10" s="10">
        <v>22.6</v>
      </c>
      <c r="K10" s="7">
        <v>43.91</v>
      </c>
      <c r="L10" s="7">
        <f t="shared" si="2"/>
        <v>0.51468913687087237</v>
      </c>
      <c r="M10" s="7">
        <f>K10/$K$12</f>
        <v>0.15961468556888403</v>
      </c>
      <c r="N10" s="217">
        <f t="shared" si="3"/>
        <v>8.2151944747364605E-2</v>
      </c>
      <c r="O10" s="7">
        <f t="shared" si="4"/>
        <v>0.29366653351443212</v>
      </c>
      <c r="P10" s="7">
        <f t="shared" si="5"/>
        <v>7.4026877261654245E-4</v>
      </c>
      <c r="Q10" s="187">
        <f t="shared" si="6"/>
        <v>3.464702423075283E-4</v>
      </c>
      <c r="S10" s="203" t="s">
        <v>1</v>
      </c>
      <c r="T10" s="206"/>
      <c r="U10" s="209">
        <f>SUM(U7:U9)</f>
        <v>208.13929166063252</v>
      </c>
    </row>
    <row r="11" spans="3:26" ht="15.6" x14ac:dyDescent="0.3">
      <c r="C11" s="231">
        <v>5</v>
      </c>
      <c r="D11" s="229" t="s">
        <v>4</v>
      </c>
      <c r="E11" s="224">
        <v>95.899999999999991</v>
      </c>
      <c r="F11" s="7">
        <v>83.13</v>
      </c>
      <c r="G11" s="7">
        <f t="shared" si="0"/>
        <v>1.1536148201611933</v>
      </c>
      <c r="H11" s="7">
        <f>F11/$F$12</f>
        <v>0.40401438569206843</v>
      </c>
      <c r="I11" s="220">
        <f t="shared" si="1"/>
        <v>0.46607698289269051</v>
      </c>
      <c r="J11" s="11">
        <v>388.4</v>
      </c>
      <c r="K11" s="7">
        <v>117.1</v>
      </c>
      <c r="L11" s="7">
        <f t="shared" si="2"/>
        <v>3.3168232280102474</v>
      </c>
      <c r="M11" s="7">
        <f>K11/$K$12</f>
        <v>0.42566339512904394</v>
      </c>
      <c r="N11" s="217">
        <f t="shared" si="3"/>
        <v>1.411850236277717</v>
      </c>
      <c r="O11" s="7">
        <f t="shared" si="4"/>
        <v>5.3542856008543414</v>
      </c>
      <c r="P11" s="7">
        <f t="shared" si="5"/>
        <v>2.1649009436975508E-2</v>
      </c>
      <c r="Q11" s="187">
        <f t="shared" si="6"/>
        <v>2.4974618128304479E-2</v>
      </c>
      <c r="S11" s="203" t="s">
        <v>44</v>
      </c>
      <c r="T11" s="206"/>
      <c r="U11" s="209">
        <f>J12-E12</f>
        <v>320.39999999999998</v>
      </c>
    </row>
    <row r="12" spans="3:26" ht="16.2" thickBot="1" x14ac:dyDescent="0.35">
      <c r="C12" s="232">
        <v>6</v>
      </c>
      <c r="D12" s="230" t="s">
        <v>1</v>
      </c>
      <c r="E12" s="225">
        <v>298.39999999999998</v>
      </c>
      <c r="F12" s="118">
        <v>205.76</v>
      </c>
      <c r="G12" s="118">
        <f t="shared" si="0"/>
        <v>1.4502332814930015</v>
      </c>
      <c r="H12" s="118">
        <f>F12/$F$12</f>
        <v>1</v>
      </c>
      <c r="I12" s="221">
        <f t="shared" si="1"/>
        <v>1.4502332814930015</v>
      </c>
      <c r="J12" s="219">
        <v>618.79999999999995</v>
      </c>
      <c r="K12" s="118">
        <v>275.10000000000002</v>
      </c>
      <c r="L12" s="118">
        <f t="shared" si="2"/>
        <v>2.2493638676844778</v>
      </c>
      <c r="M12" s="118">
        <f>K12/$K$12</f>
        <v>1</v>
      </c>
      <c r="N12" s="218">
        <f t="shared" si="3"/>
        <v>2.2493638676844778</v>
      </c>
      <c r="O12" s="118">
        <f t="shared" si="4"/>
        <v>0.79913058619147637</v>
      </c>
      <c r="P12" s="118">
        <f t="shared" si="5"/>
        <v>0</v>
      </c>
      <c r="Q12" s="189">
        <f>SUM(Q8:Q11)</f>
        <v>-1.9939808870336858E-2</v>
      </c>
      <c r="S12" s="204" t="s">
        <v>45</v>
      </c>
      <c r="T12" s="207"/>
      <c r="U12" s="210">
        <f>U11-U10</f>
        <v>112.26070833936745</v>
      </c>
    </row>
    <row r="14" spans="3:26" ht="15" thickBot="1" x14ac:dyDescent="0.35"/>
    <row r="15" spans="3:26" ht="18" x14ac:dyDescent="0.3">
      <c r="C15" s="84" t="s">
        <v>168</v>
      </c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6"/>
      <c r="S15" s="107" t="s">
        <v>254</v>
      </c>
      <c r="T15" s="108"/>
      <c r="U15" s="108"/>
      <c r="V15" s="108"/>
      <c r="W15" s="108"/>
      <c r="X15" s="108"/>
      <c r="Y15" s="108"/>
      <c r="Z15" s="109"/>
    </row>
    <row r="16" spans="3:26" x14ac:dyDescent="0.3">
      <c r="C16" s="87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9"/>
      <c r="S16" s="110"/>
      <c r="T16" s="111"/>
      <c r="U16" s="111"/>
      <c r="V16" s="111"/>
      <c r="W16" s="111"/>
      <c r="X16" s="111"/>
      <c r="Y16" s="111"/>
      <c r="Z16" s="112"/>
    </row>
    <row r="17" spans="3:32" x14ac:dyDescent="0.3">
      <c r="C17" s="87" t="s">
        <v>230</v>
      </c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9"/>
      <c r="S17" s="113" t="s">
        <v>255</v>
      </c>
      <c r="T17" s="111"/>
      <c r="U17" s="111"/>
      <c r="V17" s="111"/>
      <c r="W17" s="111"/>
      <c r="X17" s="111"/>
      <c r="Y17" s="111"/>
      <c r="Z17" s="112"/>
    </row>
    <row r="18" spans="3:32" ht="15" thickBot="1" x14ac:dyDescent="0.35">
      <c r="C18" s="91" t="s">
        <v>231</v>
      </c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0"/>
      <c r="S18" s="114" t="s">
        <v>256</v>
      </c>
      <c r="T18" s="111"/>
      <c r="U18" s="111"/>
      <c r="V18" s="111"/>
      <c r="W18" s="111"/>
      <c r="X18" s="111"/>
      <c r="Y18" s="111"/>
      <c r="Z18" s="112"/>
    </row>
    <row r="19" spans="3:32" x14ac:dyDescent="0.3">
      <c r="S19" s="113" t="s">
        <v>257</v>
      </c>
      <c r="T19" s="111"/>
      <c r="U19" s="111"/>
      <c r="V19" s="111"/>
      <c r="W19" s="111"/>
      <c r="X19" s="111"/>
      <c r="Y19" s="111"/>
      <c r="Z19" s="112"/>
    </row>
    <row r="20" spans="3:32" ht="15" thickBot="1" x14ac:dyDescent="0.35">
      <c r="S20" s="114" t="s">
        <v>258</v>
      </c>
      <c r="T20" s="111"/>
      <c r="U20" s="111"/>
      <c r="V20" s="111"/>
      <c r="W20" s="111"/>
      <c r="X20" s="111"/>
      <c r="Y20" s="111"/>
      <c r="Z20" s="112"/>
    </row>
    <row r="21" spans="3:32" ht="18" x14ac:dyDescent="0.3">
      <c r="C21" s="94" t="s">
        <v>169</v>
      </c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6"/>
      <c r="S21" s="113" t="s">
        <v>259</v>
      </c>
      <c r="T21" s="111"/>
      <c r="U21" s="111"/>
      <c r="V21" s="111"/>
      <c r="W21" s="111"/>
      <c r="X21" s="111"/>
      <c r="Y21" s="111"/>
      <c r="Z21" s="112"/>
    </row>
    <row r="22" spans="3:32" ht="15" thickBot="1" x14ac:dyDescent="0.35">
      <c r="C22" s="97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8"/>
      <c r="S22" s="115" t="s">
        <v>260</v>
      </c>
      <c r="T22" s="116"/>
      <c r="U22" s="116"/>
      <c r="V22" s="116"/>
      <c r="W22" s="116"/>
      <c r="X22" s="116"/>
      <c r="Y22" s="116"/>
      <c r="Z22" s="117"/>
    </row>
    <row r="23" spans="3:32" x14ac:dyDescent="0.3">
      <c r="C23" s="99" t="s">
        <v>170</v>
      </c>
      <c r="D23" s="93"/>
      <c r="E23" s="93"/>
      <c r="F23" s="93"/>
      <c r="G23" s="93"/>
      <c r="H23" s="93"/>
      <c r="I23" s="93"/>
      <c r="J23" s="93"/>
      <c r="K23" s="100" t="s">
        <v>181</v>
      </c>
      <c r="L23" s="93"/>
      <c r="M23" s="93"/>
      <c r="N23" s="93"/>
      <c r="O23" s="93"/>
      <c r="P23" s="93"/>
      <c r="Q23" s="98"/>
    </row>
    <row r="24" spans="3:32" ht="15" thickBot="1" x14ac:dyDescent="0.35">
      <c r="C24" s="101"/>
      <c r="D24" s="93"/>
      <c r="E24" s="93"/>
      <c r="F24" s="93"/>
      <c r="G24" s="93"/>
      <c r="H24" s="93"/>
      <c r="I24" s="93"/>
      <c r="J24" s="93"/>
      <c r="K24" s="102"/>
      <c r="L24" s="93"/>
      <c r="M24" s="93"/>
      <c r="N24" s="93"/>
      <c r="O24" s="93"/>
      <c r="P24" s="93"/>
      <c r="Q24" s="98"/>
    </row>
    <row r="25" spans="3:32" ht="18" x14ac:dyDescent="0.3">
      <c r="C25" s="101" t="s">
        <v>238</v>
      </c>
      <c r="D25" s="93"/>
      <c r="E25" s="93"/>
      <c r="F25" s="93"/>
      <c r="G25" s="93"/>
      <c r="H25" s="93"/>
      <c r="I25" s="93"/>
      <c r="J25" s="93"/>
      <c r="K25" s="102" t="s">
        <v>246</v>
      </c>
      <c r="L25" s="93"/>
      <c r="M25" s="93"/>
      <c r="N25" s="93"/>
      <c r="O25" s="93"/>
      <c r="P25" s="93"/>
      <c r="Q25" s="98"/>
      <c r="S25" s="75" t="s">
        <v>232</v>
      </c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7"/>
    </row>
    <row r="26" spans="3:32" x14ac:dyDescent="0.3">
      <c r="C26" s="101" t="s">
        <v>239</v>
      </c>
      <c r="D26" s="93"/>
      <c r="E26" s="93"/>
      <c r="F26" s="93"/>
      <c r="G26" s="93"/>
      <c r="H26" s="93"/>
      <c r="I26" s="93"/>
      <c r="J26" s="93"/>
      <c r="K26" s="102" t="s">
        <v>247</v>
      </c>
      <c r="L26" s="93"/>
      <c r="M26" s="93"/>
      <c r="N26" s="93"/>
      <c r="O26" s="93"/>
      <c r="P26" s="93"/>
      <c r="Q26" s="98"/>
      <c r="S26" s="78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80"/>
    </row>
    <row r="27" spans="3:32" x14ac:dyDescent="0.3">
      <c r="C27" s="101" t="s">
        <v>240</v>
      </c>
      <c r="D27" s="93"/>
      <c r="E27" s="93"/>
      <c r="F27" s="93"/>
      <c r="G27" s="93"/>
      <c r="H27" s="93"/>
      <c r="I27" s="93"/>
      <c r="J27" s="93"/>
      <c r="K27" s="102" t="s">
        <v>248</v>
      </c>
      <c r="L27" s="93"/>
      <c r="M27" s="93"/>
      <c r="N27" s="93"/>
      <c r="O27" s="93"/>
      <c r="P27" s="93"/>
      <c r="Q27" s="98"/>
      <c r="S27" s="78" t="s">
        <v>233</v>
      </c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80"/>
    </row>
    <row r="28" spans="3:32" x14ac:dyDescent="0.3">
      <c r="C28" s="101" t="s">
        <v>241</v>
      </c>
      <c r="D28" s="93"/>
      <c r="E28" s="93"/>
      <c r="F28" s="93"/>
      <c r="G28" s="93"/>
      <c r="H28" s="93"/>
      <c r="I28" s="93"/>
      <c r="J28" s="93"/>
      <c r="K28" s="102" t="s">
        <v>249</v>
      </c>
      <c r="L28" s="93"/>
      <c r="M28" s="93"/>
      <c r="N28" s="93"/>
      <c r="O28" s="93"/>
      <c r="P28" s="93"/>
      <c r="Q28" s="98"/>
      <c r="S28" s="78" t="s">
        <v>234</v>
      </c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80"/>
    </row>
    <row r="29" spans="3:32" x14ac:dyDescent="0.3">
      <c r="C29" s="97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8"/>
      <c r="S29" s="78" t="s">
        <v>235</v>
      </c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80"/>
    </row>
    <row r="30" spans="3:32" x14ac:dyDescent="0.3">
      <c r="C30" s="99" t="s">
        <v>175</v>
      </c>
      <c r="D30" s="93"/>
      <c r="E30" s="93"/>
      <c r="F30" s="93"/>
      <c r="G30" s="93"/>
      <c r="H30" s="93"/>
      <c r="I30" s="93"/>
      <c r="J30" s="93"/>
      <c r="K30" s="100" t="s">
        <v>186</v>
      </c>
      <c r="L30" s="93"/>
      <c r="M30" s="93"/>
      <c r="N30" s="93"/>
      <c r="O30" s="93"/>
      <c r="P30" s="93"/>
      <c r="Q30" s="98"/>
      <c r="S30" s="78" t="s">
        <v>236</v>
      </c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80"/>
    </row>
    <row r="31" spans="3:32" ht="15" thickBot="1" x14ac:dyDescent="0.35">
      <c r="C31" s="101"/>
      <c r="D31" s="93"/>
      <c r="E31" s="93"/>
      <c r="F31" s="93"/>
      <c r="G31" s="93"/>
      <c r="H31" s="93"/>
      <c r="I31" s="93"/>
      <c r="J31" s="93"/>
      <c r="K31" s="102"/>
      <c r="L31" s="93"/>
      <c r="M31" s="93"/>
      <c r="N31" s="93"/>
      <c r="O31" s="93"/>
      <c r="P31" s="93"/>
      <c r="Q31" s="98"/>
      <c r="S31" s="81" t="s">
        <v>237</v>
      </c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3"/>
    </row>
    <row r="32" spans="3:32" x14ac:dyDescent="0.3">
      <c r="C32" s="101" t="s">
        <v>242</v>
      </c>
      <c r="D32" s="93"/>
      <c r="E32" s="93"/>
      <c r="F32" s="93"/>
      <c r="G32" s="93"/>
      <c r="H32" s="93"/>
      <c r="I32" s="93"/>
      <c r="J32" s="93"/>
      <c r="K32" s="102" t="s">
        <v>250</v>
      </c>
      <c r="L32" s="93"/>
      <c r="M32" s="93"/>
      <c r="N32" s="93"/>
      <c r="O32" s="93"/>
      <c r="P32" s="93"/>
      <c r="Q32" s="98"/>
    </row>
    <row r="33" spans="3:21" x14ac:dyDescent="0.3">
      <c r="C33" s="101" t="s">
        <v>243</v>
      </c>
      <c r="D33" s="93"/>
      <c r="E33" s="93"/>
      <c r="F33" s="93"/>
      <c r="G33" s="93"/>
      <c r="H33" s="93"/>
      <c r="I33" s="93"/>
      <c r="J33" s="93"/>
      <c r="K33" s="102" t="s">
        <v>251</v>
      </c>
      <c r="L33" s="93"/>
      <c r="M33" s="93"/>
      <c r="N33" s="93"/>
      <c r="O33" s="93"/>
      <c r="P33" s="93"/>
      <c r="Q33" s="98"/>
    </row>
    <row r="34" spans="3:21" x14ac:dyDescent="0.3">
      <c r="C34" s="101" t="s">
        <v>244</v>
      </c>
      <c r="D34" s="93"/>
      <c r="E34" s="93"/>
      <c r="F34" s="93"/>
      <c r="G34" s="93"/>
      <c r="H34" s="93"/>
      <c r="I34" s="93"/>
      <c r="J34" s="93"/>
      <c r="K34" s="102" t="s">
        <v>252</v>
      </c>
      <c r="L34" s="93"/>
      <c r="M34" s="93"/>
      <c r="N34" s="93"/>
      <c r="O34" s="93"/>
      <c r="P34" s="93"/>
      <c r="Q34" s="98"/>
    </row>
    <row r="35" spans="3:21" ht="18.600000000000001" thickBot="1" x14ac:dyDescent="0.35">
      <c r="C35" s="103" t="s">
        <v>245</v>
      </c>
      <c r="D35" s="104"/>
      <c r="E35" s="104"/>
      <c r="F35" s="104"/>
      <c r="G35" s="104"/>
      <c r="H35" s="104"/>
      <c r="I35" s="104"/>
      <c r="J35" s="104"/>
      <c r="K35" s="105" t="s">
        <v>253</v>
      </c>
      <c r="L35" s="104"/>
      <c r="M35" s="104"/>
      <c r="N35" s="104"/>
      <c r="O35" s="104"/>
      <c r="P35" s="104"/>
      <c r="Q35" s="106"/>
      <c r="U35" s="24"/>
    </row>
    <row r="37" spans="3:21" x14ac:dyDescent="0.3">
      <c r="U37" s="1"/>
    </row>
    <row r="38" spans="3:21" ht="18" x14ac:dyDescent="0.35">
      <c r="C38" s="8" t="s">
        <v>64</v>
      </c>
      <c r="U38" s="25"/>
    </row>
    <row r="39" spans="3:21" ht="15" thickBot="1" x14ac:dyDescent="0.35">
      <c r="U39" s="25"/>
    </row>
    <row r="40" spans="3:21" ht="15" thickBot="1" x14ac:dyDescent="0.35">
      <c r="D40" s="195"/>
      <c r="E40" s="196"/>
      <c r="F40" s="197"/>
      <c r="G40" s="198">
        <v>2020</v>
      </c>
      <c r="H40" s="197"/>
      <c r="I40" s="222"/>
      <c r="J40" s="199"/>
      <c r="K40" s="199"/>
      <c r="L40" s="200">
        <v>2024</v>
      </c>
      <c r="M40" s="199"/>
      <c r="N40" s="201"/>
      <c r="U40" s="25"/>
    </row>
    <row r="41" spans="3:21" ht="16.2" thickBot="1" x14ac:dyDescent="0.35">
      <c r="C41" s="241" t="s">
        <v>30</v>
      </c>
      <c r="D41" s="242" t="s">
        <v>3</v>
      </c>
      <c r="E41" s="257" t="s">
        <v>31</v>
      </c>
      <c r="F41" s="258" t="s">
        <v>32</v>
      </c>
      <c r="G41" s="258" t="s">
        <v>9</v>
      </c>
      <c r="H41" s="259" t="s">
        <v>33</v>
      </c>
      <c r="I41" s="256" t="s">
        <v>36</v>
      </c>
      <c r="J41" s="247" t="s">
        <v>34</v>
      </c>
      <c r="K41" s="248" t="s">
        <v>35</v>
      </c>
      <c r="L41" s="248" t="s">
        <v>9</v>
      </c>
      <c r="M41" s="248" t="s">
        <v>33</v>
      </c>
      <c r="N41" s="249" t="s">
        <v>36</v>
      </c>
      <c r="O41" s="261" t="s">
        <v>38</v>
      </c>
      <c r="P41" s="251" t="s">
        <v>37</v>
      </c>
      <c r="Q41" s="252" t="s">
        <v>39</v>
      </c>
      <c r="S41" s="202" t="s">
        <v>41</v>
      </c>
      <c r="T41" s="211"/>
      <c r="U41" s="214">
        <v>23.339932130000001</v>
      </c>
    </row>
    <row r="42" spans="3:21" ht="15.6" x14ac:dyDescent="0.3">
      <c r="C42" s="253">
        <v>1</v>
      </c>
      <c r="D42" s="234" t="s">
        <v>2</v>
      </c>
      <c r="E42" s="238">
        <v>327.8</v>
      </c>
      <c r="F42" s="236">
        <v>68.45</v>
      </c>
      <c r="G42" s="236">
        <f>E42/F42</f>
        <v>4.7888970051132214</v>
      </c>
      <c r="H42" s="239">
        <f>F42/$F$12</f>
        <v>0.33266912908242613</v>
      </c>
      <c r="I42" s="240">
        <f>G42*H42</f>
        <v>1.5931181959564542</v>
      </c>
      <c r="J42" s="238">
        <v>264.10000000000002</v>
      </c>
      <c r="K42" s="236">
        <v>91.1</v>
      </c>
      <c r="L42" s="236">
        <f>J42/K42</f>
        <v>2.8990120746432497</v>
      </c>
      <c r="M42" s="236">
        <f>K42/$K$46</f>
        <v>0.27808302808302804</v>
      </c>
      <c r="N42" s="239">
        <f>L42*M42</f>
        <v>0.80616605616605619</v>
      </c>
      <c r="O42" s="262">
        <f>(L42-G42)/H42</f>
        <v>-5.6809747741928618</v>
      </c>
      <c r="P42" s="236">
        <f>M42-H42</f>
        <v>-5.4586100999398091E-2</v>
      </c>
      <c r="Q42" s="240">
        <f>P42*G42</f>
        <v>-0.26140721559682534</v>
      </c>
      <c r="S42" s="203" t="s">
        <v>43</v>
      </c>
      <c r="T42" s="212"/>
      <c r="U42" s="215">
        <v>-258.3820513</v>
      </c>
    </row>
    <row r="43" spans="3:21" ht="15.6" x14ac:dyDescent="0.3">
      <c r="C43" s="227">
        <v>2</v>
      </c>
      <c r="D43" s="229" t="s">
        <v>0</v>
      </c>
      <c r="E43" s="10">
        <v>60</v>
      </c>
      <c r="F43" s="7">
        <v>45.64</v>
      </c>
      <c r="G43" s="7">
        <f t="shared" ref="G43:G46" si="7">E43/F43</f>
        <v>1.3146362839614374</v>
      </c>
      <c r="H43" s="217">
        <f t="shared" ref="H43:H45" si="8">F43/$F$12</f>
        <v>0.22181181959564542</v>
      </c>
      <c r="I43" s="187">
        <f t="shared" ref="I43:I46" si="9">G43*H43</f>
        <v>0.29160186625194401</v>
      </c>
      <c r="J43" s="10">
        <v>59.9</v>
      </c>
      <c r="K43" s="7">
        <v>57.7</v>
      </c>
      <c r="L43" s="7">
        <f t="shared" ref="L43:L46" si="10">J43/K43</f>
        <v>1.0381282495667243</v>
      </c>
      <c r="M43" s="7">
        <f>K43/$K$46</f>
        <v>0.17612942612942611</v>
      </c>
      <c r="N43" s="217">
        <f t="shared" ref="N43:N46" si="11">L43*M43</f>
        <v>0.18284493284493281</v>
      </c>
      <c r="O43" s="263">
        <f t="shared" ref="O43:O46" si="12">(L43-G43)/H43</f>
        <v>-1.2465883689100823</v>
      </c>
      <c r="P43" s="7">
        <f t="shared" ref="P43:P46" si="13">M43-H43</f>
        <v>-4.5682393466219301E-2</v>
      </c>
      <c r="Q43" s="187">
        <f t="shared" ref="Q43:Q45" si="14">P43*G43</f>
        <v>-6.0055731988894787E-2</v>
      </c>
      <c r="S43" s="203" t="s">
        <v>42</v>
      </c>
      <c r="T43" s="212"/>
      <c r="U43" s="215">
        <v>0.77463751010000004</v>
      </c>
    </row>
    <row r="44" spans="3:21" ht="15.6" x14ac:dyDescent="0.3">
      <c r="C44" s="227">
        <v>4</v>
      </c>
      <c r="D44" s="229" t="s">
        <v>5</v>
      </c>
      <c r="E44" s="10">
        <v>22.6</v>
      </c>
      <c r="F44" s="7">
        <v>43.91</v>
      </c>
      <c r="G44" s="7">
        <f t="shared" si="7"/>
        <v>0.51468913687087237</v>
      </c>
      <c r="H44" s="217">
        <f t="shared" si="8"/>
        <v>0.21340396578538101</v>
      </c>
      <c r="I44" s="187">
        <f t="shared" si="9"/>
        <v>0.10983670295489893</v>
      </c>
      <c r="J44" s="10">
        <v>22.6</v>
      </c>
      <c r="K44" s="7">
        <v>58.3</v>
      </c>
      <c r="L44" s="7">
        <f t="shared" si="10"/>
        <v>0.38765008576329335</v>
      </c>
      <c r="M44" s="7">
        <f>K44/$K$46</f>
        <v>0.17796092796092794</v>
      </c>
      <c r="N44" s="217">
        <f t="shared" si="11"/>
        <v>6.8986568986568991E-2</v>
      </c>
      <c r="O44" s="263">
        <f t="shared" si="12"/>
        <v>-0.59529845492815892</v>
      </c>
      <c r="P44" s="7">
        <f t="shared" si="13"/>
        <v>-3.5443037824453072E-2</v>
      </c>
      <c r="Q44" s="187">
        <f t="shared" si="14"/>
        <v>-1.8242146545949432E-2</v>
      </c>
      <c r="S44" s="203" t="s">
        <v>1</v>
      </c>
      <c r="T44" s="212"/>
      <c r="U44" s="215">
        <v>-234.2674816</v>
      </c>
    </row>
    <row r="45" spans="3:21" ht="15.6" x14ac:dyDescent="0.3">
      <c r="C45" s="227">
        <v>5</v>
      </c>
      <c r="D45" s="229" t="s">
        <v>4</v>
      </c>
      <c r="E45" s="11">
        <v>388.4</v>
      </c>
      <c r="F45" s="7">
        <v>64.06</v>
      </c>
      <c r="G45" s="7">
        <f t="shared" si="7"/>
        <v>6.0630658757414917</v>
      </c>
      <c r="H45" s="217">
        <f t="shared" si="8"/>
        <v>0.31133359253499227</v>
      </c>
      <c r="I45" s="187">
        <f t="shared" si="9"/>
        <v>1.8876360808709176</v>
      </c>
      <c r="J45" s="11">
        <v>137.39999999999998</v>
      </c>
      <c r="K45" s="7">
        <v>120.5</v>
      </c>
      <c r="L45" s="7">
        <f t="shared" si="10"/>
        <v>1.1402489626556014</v>
      </c>
      <c r="M45" s="7">
        <f>K45/$K$46</f>
        <v>0.3678266178266178</v>
      </c>
      <c r="N45" s="217">
        <f t="shared" si="11"/>
        <v>0.41941391941391926</v>
      </c>
      <c r="O45" s="263">
        <f t="shared" si="12"/>
        <v>-15.812032595013312</v>
      </c>
      <c r="P45" s="7">
        <f t="shared" si="13"/>
        <v>5.6493025291625532E-2</v>
      </c>
      <c r="Q45" s="187">
        <f t="shared" si="14"/>
        <v>0.34252093386305577</v>
      </c>
      <c r="S45" s="203" t="s">
        <v>44</v>
      </c>
      <c r="T45" s="212"/>
      <c r="U45" s="215">
        <v>-189.6</v>
      </c>
    </row>
    <row r="46" spans="3:21" ht="16.2" thickBot="1" x14ac:dyDescent="0.35">
      <c r="C46" s="228">
        <v>6</v>
      </c>
      <c r="D46" s="230" t="s">
        <v>1</v>
      </c>
      <c r="E46" s="219">
        <v>618.79999999999995</v>
      </c>
      <c r="F46" s="118">
        <v>275.10000000000002</v>
      </c>
      <c r="G46" s="118">
        <f t="shared" si="7"/>
        <v>2.2493638676844778</v>
      </c>
      <c r="H46" s="218">
        <f>F46/$F$46</f>
        <v>1</v>
      </c>
      <c r="I46" s="189">
        <f t="shared" si="9"/>
        <v>2.2493638676844778</v>
      </c>
      <c r="J46" s="219">
        <v>429.20000000000005</v>
      </c>
      <c r="K46" s="118">
        <v>327.60000000000002</v>
      </c>
      <c r="L46" s="118">
        <f t="shared" si="10"/>
        <v>1.3101343101343101</v>
      </c>
      <c r="M46" s="118">
        <f>K46/$K$46</f>
        <v>1</v>
      </c>
      <c r="N46" s="218">
        <f t="shared" si="11"/>
        <v>1.3101343101343101</v>
      </c>
      <c r="O46" s="264">
        <f t="shared" si="12"/>
        <v>-0.93922955755016768</v>
      </c>
      <c r="P46" s="118">
        <f t="shared" si="13"/>
        <v>0</v>
      </c>
      <c r="Q46" s="189">
        <f>SUM(Q42:Q45)</f>
        <v>2.815839731386216E-3</v>
      </c>
      <c r="S46" s="204" t="s">
        <v>45</v>
      </c>
      <c r="T46" s="213"/>
      <c r="U46" s="216">
        <v>44.667481649999999</v>
      </c>
    </row>
    <row r="47" spans="3:21" x14ac:dyDescent="0.3">
      <c r="U47" s="25"/>
    </row>
    <row r="48" spans="3:21" ht="15" thickBot="1" x14ac:dyDescent="0.35">
      <c r="U48" s="25"/>
    </row>
    <row r="49" spans="3:34" ht="18" x14ac:dyDescent="0.3">
      <c r="C49" s="84" t="s">
        <v>196</v>
      </c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6"/>
      <c r="R49" s="107" t="s">
        <v>254</v>
      </c>
      <c r="S49" s="108"/>
      <c r="T49" s="108"/>
      <c r="U49" s="120"/>
      <c r="V49" s="108"/>
      <c r="W49" s="108"/>
      <c r="X49" s="108"/>
      <c r="Y49" s="108"/>
      <c r="Z49" s="109"/>
    </row>
    <row r="50" spans="3:34" x14ac:dyDescent="0.3">
      <c r="C50" s="87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9"/>
      <c r="R50" s="110"/>
      <c r="S50" s="111"/>
      <c r="T50" s="111"/>
      <c r="U50" s="111"/>
      <c r="V50" s="111"/>
      <c r="W50" s="111"/>
      <c r="X50" s="111"/>
      <c r="Y50" s="111"/>
      <c r="Z50" s="112"/>
    </row>
    <row r="51" spans="3:34" x14ac:dyDescent="0.3">
      <c r="C51" s="87" t="s">
        <v>261</v>
      </c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9"/>
      <c r="R51" s="113" t="s">
        <v>280</v>
      </c>
      <c r="S51" s="111"/>
      <c r="T51" s="111"/>
      <c r="U51" s="111"/>
      <c r="V51" s="111"/>
      <c r="W51" s="111"/>
      <c r="X51" s="111"/>
      <c r="Y51" s="111"/>
      <c r="Z51" s="112"/>
    </row>
    <row r="52" spans="3:34" ht="15" thickBot="1" x14ac:dyDescent="0.35">
      <c r="C52" s="91" t="s">
        <v>262</v>
      </c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0"/>
      <c r="R52" s="114" t="s">
        <v>281</v>
      </c>
      <c r="S52" s="111"/>
      <c r="T52" s="111"/>
      <c r="U52" s="111"/>
      <c r="V52" s="111"/>
      <c r="W52" s="111"/>
      <c r="X52" s="111"/>
      <c r="Y52" s="111"/>
      <c r="Z52" s="112"/>
    </row>
    <row r="53" spans="3:34" x14ac:dyDescent="0.3">
      <c r="R53" s="113" t="s">
        <v>282</v>
      </c>
      <c r="S53" s="111"/>
      <c r="T53" s="111"/>
      <c r="U53" s="111"/>
      <c r="V53" s="111"/>
      <c r="W53" s="111"/>
      <c r="X53" s="111"/>
      <c r="Y53" s="111"/>
      <c r="Z53" s="112"/>
    </row>
    <row r="54" spans="3:34" ht="15" thickBot="1" x14ac:dyDescent="0.35">
      <c r="R54" s="114" t="s">
        <v>283</v>
      </c>
      <c r="S54" s="111"/>
      <c r="T54" s="111"/>
      <c r="U54" s="111"/>
      <c r="V54" s="111"/>
      <c r="W54" s="111"/>
      <c r="X54" s="111"/>
      <c r="Y54" s="111"/>
      <c r="Z54" s="112"/>
    </row>
    <row r="55" spans="3:34" ht="18" x14ac:dyDescent="0.3">
      <c r="C55" s="94" t="s">
        <v>169</v>
      </c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6"/>
      <c r="R55" s="113" t="s">
        <v>284</v>
      </c>
      <c r="S55" s="111"/>
      <c r="T55" s="111"/>
      <c r="U55" s="111"/>
      <c r="V55" s="111"/>
      <c r="W55" s="111"/>
      <c r="X55" s="111"/>
      <c r="Y55" s="111"/>
      <c r="Z55" s="112"/>
    </row>
    <row r="56" spans="3:34" ht="15" thickBot="1" x14ac:dyDescent="0.35">
      <c r="C56" s="97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8"/>
      <c r="R56" s="115" t="s">
        <v>285</v>
      </c>
      <c r="S56" s="116"/>
      <c r="T56" s="116"/>
      <c r="U56" s="116"/>
      <c r="V56" s="116"/>
      <c r="W56" s="116"/>
      <c r="X56" s="116"/>
      <c r="Y56" s="116"/>
      <c r="Z56" s="117"/>
    </row>
    <row r="57" spans="3:34" x14ac:dyDescent="0.3">
      <c r="C57" s="99" t="s">
        <v>170</v>
      </c>
      <c r="D57" s="93"/>
      <c r="E57" s="93"/>
      <c r="F57" s="93"/>
      <c r="G57" s="93"/>
      <c r="H57" s="93"/>
      <c r="I57" s="93"/>
      <c r="J57" s="93"/>
      <c r="K57" s="100" t="s">
        <v>181</v>
      </c>
      <c r="L57" s="93"/>
      <c r="M57" s="93"/>
      <c r="N57" s="93"/>
      <c r="O57" s="93"/>
      <c r="P57" s="98"/>
    </row>
    <row r="58" spans="3:34" ht="15" thickBot="1" x14ac:dyDescent="0.35">
      <c r="C58" s="101"/>
      <c r="D58" s="93"/>
      <c r="E58" s="93"/>
      <c r="F58" s="93"/>
      <c r="G58" s="93"/>
      <c r="H58" s="93"/>
      <c r="I58" s="93"/>
      <c r="J58" s="93"/>
      <c r="K58" s="102"/>
      <c r="L58" s="93"/>
      <c r="M58" s="93"/>
      <c r="N58" s="93"/>
      <c r="O58" s="93"/>
      <c r="P58" s="98"/>
    </row>
    <row r="59" spans="3:34" ht="18" x14ac:dyDescent="0.3">
      <c r="C59" s="101" t="s">
        <v>263</v>
      </c>
      <c r="D59" s="93"/>
      <c r="E59" s="93"/>
      <c r="F59" s="93"/>
      <c r="G59" s="93"/>
      <c r="H59" s="93"/>
      <c r="I59" s="93"/>
      <c r="J59" s="93"/>
      <c r="K59" s="102" t="s">
        <v>271</v>
      </c>
      <c r="L59" s="93"/>
      <c r="M59" s="93"/>
      <c r="N59" s="93"/>
      <c r="O59" s="93"/>
      <c r="P59" s="98"/>
      <c r="R59" s="75" t="s">
        <v>232</v>
      </c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7"/>
    </row>
    <row r="60" spans="3:34" x14ac:dyDescent="0.3">
      <c r="C60" s="101" t="s">
        <v>264</v>
      </c>
      <c r="D60" s="93"/>
      <c r="E60" s="93"/>
      <c r="F60" s="93"/>
      <c r="G60" s="93"/>
      <c r="H60" s="93"/>
      <c r="I60" s="93"/>
      <c r="J60" s="93"/>
      <c r="K60" s="102" t="s">
        <v>272</v>
      </c>
      <c r="L60" s="93"/>
      <c r="M60" s="93"/>
      <c r="N60" s="93"/>
      <c r="O60" s="93"/>
      <c r="P60" s="98"/>
      <c r="R60" s="78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80"/>
    </row>
    <row r="61" spans="3:34" x14ac:dyDescent="0.3">
      <c r="C61" s="101" t="s">
        <v>265</v>
      </c>
      <c r="D61" s="93"/>
      <c r="E61" s="93"/>
      <c r="F61" s="93"/>
      <c r="G61" s="93"/>
      <c r="H61" s="93"/>
      <c r="I61" s="93"/>
      <c r="J61" s="93"/>
      <c r="K61" s="102" t="s">
        <v>273</v>
      </c>
      <c r="L61" s="93"/>
      <c r="M61" s="93"/>
      <c r="N61" s="93"/>
      <c r="O61" s="93"/>
      <c r="P61" s="98"/>
      <c r="R61" s="78" t="s">
        <v>286</v>
      </c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80"/>
    </row>
    <row r="62" spans="3:34" x14ac:dyDescent="0.3">
      <c r="C62" s="101" t="s">
        <v>266</v>
      </c>
      <c r="D62" s="93"/>
      <c r="E62" s="93"/>
      <c r="F62" s="93"/>
      <c r="G62" s="93"/>
      <c r="H62" s="93"/>
      <c r="I62" s="93"/>
      <c r="J62" s="93"/>
      <c r="K62" s="102" t="s">
        <v>274</v>
      </c>
      <c r="L62" s="93"/>
      <c r="M62" s="93"/>
      <c r="N62" s="93"/>
      <c r="O62" s="93"/>
      <c r="P62" s="98"/>
      <c r="R62" s="78" t="s">
        <v>287</v>
      </c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80"/>
    </row>
    <row r="63" spans="3:34" x14ac:dyDescent="0.3">
      <c r="C63" s="97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8"/>
      <c r="R63" s="78" t="s">
        <v>288</v>
      </c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80"/>
    </row>
    <row r="64" spans="3:34" x14ac:dyDescent="0.3">
      <c r="C64" s="99" t="s">
        <v>175</v>
      </c>
      <c r="D64" s="93"/>
      <c r="E64" s="93"/>
      <c r="F64" s="93"/>
      <c r="G64" s="93"/>
      <c r="H64" s="93"/>
      <c r="I64" s="93"/>
      <c r="J64" s="93"/>
      <c r="K64" s="100" t="s">
        <v>186</v>
      </c>
      <c r="L64" s="93"/>
      <c r="M64" s="93"/>
      <c r="N64" s="93"/>
      <c r="O64" s="93"/>
      <c r="P64" s="98"/>
      <c r="R64" s="78" t="s">
        <v>289</v>
      </c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80"/>
    </row>
    <row r="65" spans="3:34" ht="15" thickBot="1" x14ac:dyDescent="0.35">
      <c r="C65" s="101"/>
      <c r="D65" s="93"/>
      <c r="E65" s="93"/>
      <c r="F65" s="93"/>
      <c r="G65" s="93"/>
      <c r="H65" s="93"/>
      <c r="I65" s="93"/>
      <c r="J65" s="93"/>
      <c r="K65" s="102"/>
      <c r="L65" s="93"/>
      <c r="M65" s="93"/>
      <c r="N65" s="93"/>
      <c r="O65" s="93"/>
      <c r="P65" s="98"/>
      <c r="R65" s="81" t="s">
        <v>290</v>
      </c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3"/>
    </row>
    <row r="66" spans="3:34" x14ac:dyDescent="0.3">
      <c r="C66" s="101" t="s">
        <v>267</v>
      </c>
      <c r="D66" s="93"/>
      <c r="E66" s="93"/>
      <c r="F66" s="93"/>
      <c r="G66" s="93"/>
      <c r="H66" s="93"/>
      <c r="I66" s="93"/>
      <c r="J66" s="93"/>
      <c r="K66" s="102" t="s">
        <v>275</v>
      </c>
      <c r="L66" s="93"/>
      <c r="M66" s="93"/>
      <c r="N66" s="93"/>
      <c r="O66" s="93"/>
      <c r="P66" s="98"/>
    </row>
    <row r="67" spans="3:34" x14ac:dyDescent="0.3">
      <c r="C67" s="101" t="s">
        <v>268</v>
      </c>
      <c r="D67" s="93"/>
      <c r="E67" s="93"/>
      <c r="F67" s="93"/>
      <c r="G67" s="93"/>
      <c r="H67" s="93"/>
      <c r="I67" s="93"/>
      <c r="J67" s="93"/>
      <c r="K67" s="102" t="s">
        <v>276</v>
      </c>
      <c r="L67" s="93"/>
      <c r="M67" s="93"/>
      <c r="N67" s="93"/>
      <c r="O67" s="93"/>
      <c r="P67" s="98"/>
    </row>
    <row r="68" spans="3:34" x14ac:dyDescent="0.3">
      <c r="C68" s="101" t="s">
        <v>269</v>
      </c>
      <c r="D68" s="93"/>
      <c r="E68" s="93"/>
      <c r="F68" s="93"/>
      <c r="G68" s="93"/>
      <c r="H68" s="93"/>
      <c r="I68" s="93"/>
      <c r="J68" s="93"/>
      <c r="K68" s="102" t="s">
        <v>277</v>
      </c>
      <c r="L68" s="93"/>
      <c r="M68" s="93"/>
      <c r="N68" s="93"/>
      <c r="O68" s="93"/>
      <c r="P68" s="98"/>
    </row>
    <row r="69" spans="3:34" x14ac:dyDescent="0.3">
      <c r="C69" s="101" t="s">
        <v>270</v>
      </c>
      <c r="D69" s="93"/>
      <c r="E69" s="93"/>
      <c r="F69" s="93"/>
      <c r="G69" s="93"/>
      <c r="H69" s="93"/>
      <c r="I69" s="93"/>
      <c r="J69" s="93"/>
      <c r="K69" s="102" t="s">
        <v>278</v>
      </c>
      <c r="L69" s="93"/>
      <c r="M69" s="93"/>
      <c r="N69" s="93"/>
      <c r="O69" s="93"/>
      <c r="P69" s="98"/>
    </row>
    <row r="70" spans="3:34" ht="15" thickBot="1" x14ac:dyDescent="0.35">
      <c r="C70" s="103"/>
      <c r="D70" s="104"/>
      <c r="E70" s="104"/>
      <c r="F70" s="104"/>
      <c r="G70" s="104"/>
      <c r="H70" s="104"/>
      <c r="I70" s="104"/>
      <c r="J70" s="104"/>
      <c r="K70" s="105" t="s">
        <v>279</v>
      </c>
      <c r="L70" s="104"/>
      <c r="M70" s="104"/>
      <c r="N70" s="104"/>
      <c r="O70" s="104"/>
      <c r="P70" s="106"/>
    </row>
    <row r="73" spans="3:34" ht="15" thickBot="1" x14ac:dyDescent="0.35"/>
    <row r="74" spans="3:34" ht="21" x14ac:dyDescent="0.4">
      <c r="P74" s="29" t="s">
        <v>225</v>
      </c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1"/>
    </row>
    <row r="75" spans="3:34" x14ac:dyDescent="0.3">
      <c r="P75" s="32" t="s">
        <v>291</v>
      </c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33"/>
    </row>
    <row r="76" spans="3:34" x14ac:dyDescent="0.3">
      <c r="P76" s="32" t="s">
        <v>292</v>
      </c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33"/>
    </row>
    <row r="77" spans="3:34" x14ac:dyDescent="0.3">
      <c r="P77" s="32" t="s">
        <v>293</v>
      </c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33"/>
    </row>
    <row r="78" spans="3:34" ht="15" thickBot="1" x14ac:dyDescent="0.35">
      <c r="P78" s="121" t="s">
        <v>294</v>
      </c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9"/>
    </row>
  </sheetData>
  <mergeCells count="12">
    <mergeCell ref="S46:T46"/>
    <mergeCell ref="S9:T9"/>
    <mergeCell ref="S12:T12"/>
    <mergeCell ref="S41:T41"/>
    <mergeCell ref="S42:T42"/>
    <mergeCell ref="S43:T43"/>
    <mergeCell ref="S44:T44"/>
    <mergeCell ref="S7:T7"/>
    <mergeCell ref="S8:T8"/>
    <mergeCell ref="S10:T10"/>
    <mergeCell ref="S11:T11"/>
    <mergeCell ref="S45:T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753D6-899B-47A7-B491-1F94EF437E0A}">
  <dimension ref="B2:AL62"/>
  <sheetViews>
    <sheetView tabSelected="1" topLeftCell="A17" zoomScale="110" zoomScaleNormal="110" workbookViewId="0">
      <selection activeCell="G39" sqref="G39"/>
    </sheetView>
  </sheetViews>
  <sheetFormatPr defaultRowHeight="14.4" x14ac:dyDescent="0.3"/>
  <cols>
    <col min="3" max="3" width="12.44140625" customWidth="1"/>
    <col min="8" max="8" width="9.77734375" customWidth="1"/>
  </cols>
  <sheetData>
    <row r="2" spans="2:38" ht="25.8" x14ac:dyDescent="0.5">
      <c r="J2" s="9" t="s">
        <v>46</v>
      </c>
    </row>
    <row r="3" spans="2:38" ht="15" thickBot="1" x14ac:dyDescent="0.35"/>
    <row r="4" spans="2:38" ht="15" thickBot="1" x14ac:dyDescent="0.35">
      <c r="B4" s="12"/>
      <c r="C4" s="12"/>
      <c r="D4" s="194"/>
      <c r="E4" s="190"/>
      <c r="F4" s="190">
        <v>2016</v>
      </c>
      <c r="G4" s="190"/>
      <c r="H4" s="190"/>
      <c r="I4" s="255"/>
      <c r="J4" s="265"/>
      <c r="K4" s="191"/>
      <c r="L4" s="191">
        <v>2020</v>
      </c>
      <c r="M4" s="191"/>
      <c r="N4" s="191"/>
      <c r="O4" s="266"/>
      <c r="P4" s="267"/>
      <c r="Q4" s="192"/>
      <c r="R4" s="192">
        <v>2024</v>
      </c>
      <c r="S4" s="192"/>
      <c r="T4" s="192"/>
      <c r="U4" s="193"/>
    </row>
    <row r="5" spans="2:38" ht="15" thickBot="1" x14ac:dyDescent="0.35">
      <c r="B5" s="241" t="s">
        <v>30</v>
      </c>
      <c r="C5" s="271" t="s">
        <v>3</v>
      </c>
      <c r="D5" s="254" t="s">
        <v>31</v>
      </c>
      <c r="E5" s="244" t="s">
        <v>32</v>
      </c>
      <c r="F5" s="244" t="s">
        <v>9</v>
      </c>
      <c r="G5" s="244" t="s">
        <v>33</v>
      </c>
      <c r="H5" s="245" t="s">
        <v>36</v>
      </c>
      <c r="I5" s="246" t="s">
        <v>47</v>
      </c>
      <c r="J5" s="247" t="s">
        <v>34</v>
      </c>
      <c r="K5" s="248" t="s">
        <v>35</v>
      </c>
      <c r="L5" s="248" t="s">
        <v>9</v>
      </c>
      <c r="M5" s="248" t="s">
        <v>33</v>
      </c>
      <c r="N5" s="248" t="s">
        <v>36</v>
      </c>
      <c r="O5" s="249" t="s">
        <v>47</v>
      </c>
      <c r="P5" s="276" t="s">
        <v>34</v>
      </c>
      <c r="Q5" s="260" t="s">
        <v>35</v>
      </c>
      <c r="R5" s="251" t="s">
        <v>9</v>
      </c>
      <c r="S5" s="251" t="s">
        <v>33</v>
      </c>
      <c r="T5" s="251" t="s">
        <v>36</v>
      </c>
      <c r="U5" s="270" t="s">
        <v>47</v>
      </c>
    </row>
    <row r="6" spans="2:38" x14ac:dyDescent="0.3">
      <c r="B6" s="226">
        <v>1</v>
      </c>
      <c r="C6" s="272" t="s">
        <v>2</v>
      </c>
      <c r="D6" s="3">
        <v>111.4</v>
      </c>
      <c r="E6" s="236">
        <v>55.41</v>
      </c>
      <c r="F6" s="236">
        <v>2.0104674246525902</v>
      </c>
      <c r="G6" s="236">
        <v>0.26929432348367027</v>
      </c>
      <c r="H6" s="275">
        <v>0.54140746500777615</v>
      </c>
      <c r="I6" s="237">
        <f>H6/$H$10</f>
        <v>0.37332439678284191</v>
      </c>
      <c r="J6" s="3">
        <v>327.8</v>
      </c>
      <c r="K6" s="236">
        <v>68.45</v>
      </c>
      <c r="L6" s="236">
        <v>4.7888970051132214</v>
      </c>
      <c r="M6" s="236">
        <v>0.24881861141403125</v>
      </c>
      <c r="N6" s="236">
        <v>1.1915667030170847</v>
      </c>
      <c r="O6" s="239">
        <f>N6/$N$10</f>
        <v>0.52973497091144162</v>
      </c>
      <c r="P6" s="262">
        <v>264.10000000000002</v>
      </c>
      <c r="Q6" s="275">
        <v>91.1</v>
      </c>
      <c r="R6" s="236">
        <v>2.8990120746432497</v>
      </c>
      <c r="S6" s="236">
        <v>0.27808302808302804</v>
      </c>
      <c r="T6" s="236">
        <v>0.80616605616605619</v>
      </c>
      <c r="U6" s="240">
        <f>T6/$T$10</f>
        <v>0.61533084808946881</v>
      </c>
    </row>
    <row r="7" spans="2:38" x14ac:dyDescent="0.3">
      <c r="B7" s="227">
        <v>2</v>
      </c>
      <c r="C7" s="273" t="s">
        <v>0</v>
      </c>
      <c r="D7" s="11">
        <v>75.8</v>
      </c>
      <c r="E7" s="7">
        <v>34.520000000000003</v>
      </c>
      <c r="F7" s="7">
        <v>2.1958285052143682</v>
      </c>
      <c r="G7" s="7">
        <v>0.1677682737169518</v>
      </c>
      <c r="H7" s="7">
        <v>0.36839035769828926</v>
      </c>
      <c r="I7" s="220">
        <f t="shared" ref="I7:I9" si="0">H7/$H$10</f>
        <v>0.25402144772117963</v>
      </c>
      <c r="J7" s="11">
        <v>60</v>
      </c>
      <c r="K7" s="7">
        <v>45.64</v>
      </c>
      <c r="L7" s="7">
        <v>1.3146362839614374</v>
      </c>
      <c r="M7" s="7">
        <v>0.1659033078880407</v>
      </c>
      <c r="N7" s="7">
        <v>0.21810250817884405</v>
      </c>
      <c r="O7" s="217">
        <f t="shared" ref="O7:O9" si="1">N7/$N$10</f>
        <v>9.6961861667744037E-2</v>
      </c>
      <c r="P7" s="263">
        <v>59.9</v>
      </c>
      <c r="Q7" s="7">
        <v>57.7</v>
      </c>
      <c r="R7" s="7">
        <v>1.0381282495667243</v>
      </c>
      <c r="S7" s="7">
        <v>0.17612942612942611</v>
      </c>
      <c r="T7" s="7">
        <v>0.18284493284493281</v>
      </c>
      <c r="U7" s="187">
        <f t="shared" ref="U7:U9" si="2">T7/$T$10</f>
        <v>0.13956197576887228</v>
      </c>
    </row>
    <row r="8" spans="2:38" x14ac:dyDescent="0.3">
      <c r="B8" s="227">
        <v>4</v>
      </c>
      <c r="C8" s="273" t="s">
        <v>5</v>
      </c>
      <c r="D8" s="11">
        <v>15.3</v>
      </c>
      <c r="E8" s="7">
        <v>32.69</v>
      </c>
      <c r="F8" s="7">
        <v>0.46803303762618542</v>
      </c>
      <c r="G8" s="7">
        <v>0.15887441679626749</v>
      </c>
      <c r="H8" s="7">
        <v>7.4358475894245726E-2</v>
      </c>
      <c r="I8" s="220">
        <f t="shared" si="0"/>
        <v>5.1273458445040221E-2</v>
      </c>
      <c r="J8" s="11">
        <v>22.6</v>
      </c>
      <c r="K8" s="7">
        <v>43.91</v>
      </c>
      <c r="L8" s="7">
        <v>0.51468913687087237</v>
      </c>
      <c r="M8" s="7">
        <v>0.15961468556888403</v>
      </c>
      <c r="N8" s="7">
        <v>8.2151944747364605E-2</v>
      </c>
      <c r="O8" s="217">
        <f t="shared" si="1"/>
        <v>3.6522301228183597E-2</v>
      </c>
      <c r="P8" s="263">
        <v>22.6</v>
      </c>
      <c r="Q8" s="7">
        <v>58.3</v>
      </c>
      <c r="R8" s="7">
        <v>0.38765008576329335</v>
      </c>
      <c r="S8" s="7">
        <v>0.17796092796092794</v>
      </c>
      <c r="T8" s="7">
        <v>6.8986568986568991E-2</v>
      </c>
      <c r="U8" s="187">
        <f t="shared" si="2"/>
        <v>5.2656104380242312E-2</v>
      </c>
    </row>
    <row r="9" spans="2:38" x14ac:dyDescent="0.3">
      <c r="B9" s="227">
        <v>5</v>
      </c>
      <c r="C9" s="273" t="s">
        <v>4</v>
      </c>
      <c r="D9" s="11">
        <v>95.899999999999991</v>
      </c>
      <c r="E9" s="7">
        <v>83.13</v>
      </c>
      <c r="F9" s="7">
        <v>1.1536148201611933</v>
      </c>
      <c r="G9" s="7">
        <v>0.40401438569206843</v>
      </c>
      <c r="H9" s="7">
        <v>0.46607698289269051</v>
      </c>
      <c r="I9" s="220">
        <f t="shared" si="0"/>
        <v>0.32138069705093836</v>
      </c>
      <c r="J9" s="11">
        <v>388.4</v>
      </c>
      <c r="K9" s="7">
        <v>117.1</v>
      </c>
      <c r="L9" s="7">
        <v>3.3168232280102474</v>
      </c>
      <c r="M9" s="7">
        <v>0.42566339512904394</v>
      </c>
      <c r="N9" s="7">
        <v>1.411850236277717</v>
      </c>
      <c r="O9" s="217">
        <f t="shared" si="1"/>
        <v>0.62766645119586306</v>
      </c>
      <c r="P9" s="263">
        <v>137.39999999999998</v>
      </c>
      <c r="Q9" s="7">
        <v>120.5</v>
      </c>
      <c r="R9" s="7">
        <v>1.1402489626556014</v>
      </c>
      <c r="S9" s="7">
        <v>0.3678266178266178</v>
      </c>
      <c r="T9" s="7">
        <v>0.41941391941391926</v>
      </c>
      <c r="U9" s="187">
        <f t="shared" si="2"/>
        <v>0.32013047530288896</v>
      </c>
    </row>
    <row r="10" spans="2:38" ht="15" thickBot="1" x14ac:dyDescent="0.35">
      <c r="B10" s="228">
        <v>6</v>
      </c>
      <c r="C10" s="274" t="s">
        <v>1</v>
      </c>
      <c r="D10" s="219">
        <v>298.39999999999998</v>
      </c>
      <c r="E10" s="118">
        <v>205.76</v>
      </c>
      <c r="F10" s="118">
        <v>1.4502332814930015</v>
      </c>
      <c r="G10" s="118"/>
      <c r="H10" s="118">
        <v>1.4502332814930015</v>
      </c>
      <c r="I10" s="221"/>
      <c r="J10" s="219">
        <v>618.79999999999995</v>
      </c>
      <c r="K10" s="118">
        <v>275.10000000000002</v>
      </c>
      <c r="L10" s="118">
        <v>2.2493638676844778</v>
      </c>
      <c r="M10" s="118"/>
      <c r="N10" s="118">
        <v>2.2493638676844778</v>
      </c>
      <c r="O10" s="218"/>
      <c r="P10" s="264">
        <v>429.20000000000005</v>
      </c>
      <c r="Q10" s="118">
        <v>327.60000000000002</v>
      </c>
      <c r="R10" s="118">
        <v>1.3101343101343101</v>
      </c>
      <c r="S10" s="118"/>
      <c r="T10" s="118">
        <v>1.3101343101343101</v>
      </c>
      <c r="U10" s="189"/>
    </row>
    <row r="13" spans="2:38" ht="18" x14ac:dyDescent="0.35">
      <c r="B13" s="8" t="s">
        <v>48</v>
      </c>
      <c r="C13" s="13"/>
      <c r="D13" s="13"/>
    </row>
    <row r="14" spans="2:38" ht="15" thickBot="1" x14ac:dyDescent="0.35"/>
    <row r="15" spans="2:38" ht="18.600000000000001" thickBot="1" x14ac:dyDescent="0.35">
      <c r="B15" s="271" t="s">
        <v>30</v>
      </c>
      <c r="C15" s="282" t="s">
        <v>3</v>
      </c>
      <c r="D15" s="243" t="s">
        <v>49</v>
      </c>
      <c r="E15" s="244" t="s">
        <v>50</v>
      </c>
      <c r="F15" s="244" t="s">
        <v>51</v>
      </c>
      <c r="G15" s="244" t="s">
        <v>52</v>
      </c>
      <c r="H15" s="244" t="s">
        <v>53</v>
      </c>
      <c r="I15" s="244" t="s">
        <v>17</v>
      </c>
      <c r="J15" s="283" t="s">
        <v>54</v>
      </c>
      <c r="K15" s="284" t="s">
        <v>55</v>
      </c>
      <c r="L15" s="285" t="s">
        <v>56</v>
      </c>
      <c r="M15" s="286" t="s">
        <v>57</v>
      </c>
      <c r="N15" s="287" t="s">
        <v>58</v>
      </c>
      <c r="O15" s="288" t="s">
        <v>59</v>
      </c>
      <c r="P15" s="289" t="s">
        <v>60</v>
      </c>
      <c r="Q15" s="289" t="s">
        <v>61</v>
      </c>
      <c r="R15" s="289" t="s">
        <v>62</v>
      </c>
      <c r="S15" s="290" t="s">
        <v>63</v>
      </c>
      <c r="V15" s="40" t="s">
        <v>169</v>
      </c>
      <c r="W15" s="72"/>
      <c r="X15" s="72"/>
      <c r="Y15" s="72"/>
      <c r="Z15" s="72"/>
      <c r="AA15" s="72"/>
      <c r="AB15" s="72"/>
      <c r="AC15" s="72"/>
      <c r="AD15" s="72"/>
      <c r="AE15" s="72"/>
      <c r="AF15" s="41"/>
      <c r="AG15" s="41"/>
      <c r="AH15" s="41"/>
      <c r="AI15" s="41"/>
      <c r="AJ15" s="41"/>
      <c r="AK15" s="41"/>
      <c r="AL15" s="43"/>
    </row>
    <row r="16" spans="2:38" x14ac:dyDescent="0.3">
      <c r="B16" s="279">
        <v>1</v>
      </c>
      <c r="C16" s="280" t="s">
        <v>2</v>
      </c>
      <c r="D16" s="281">
        <v>0.37332439678284191</v>
      </c>
      <c r="E16" s="236">
        <v>0.52973497091144162</v>
      </c>
      <c r="F16" s="236">
        <f>LN(D16)</f>
        <v>-0.98530754083642191</v>
      </c>
      <c r="G16" s="236">
        <f>LN(E16)</f>
        <v>-0.63537845238918156</v>
      </c>
      <c r="H16" s="236">
        <f>(E16-D16)/(G16-F16)</f>
        <v>0.44697791436158962</v>
      </c>
      <c r="I16" s="236">
        <f>H16/$H$20</f>
        <v>0.40228372763927156</v>
      </c>
      <c r="J16" s="236">
        <f>LN(L6/F6)</f>
        <v>0.86793286996134589</v>
      </c>
      <c r="K16" s="240">
        <f>LN(M6/G6)</f>
        <v>-7.908075802607463E-2</v>
      </c>
      <c r="L16" s="281">
        <f>I16*J16</f>
        <v>0.34915527026870136</v>
      </c>
      <c r="M16" s="236">
        <f>I16*K16</f>
        <v>-3.1812902123268545E-2</v>
      </c>
      <c r="N16" s="240">
        <f>L16+M16</f>
        <v>0.31734236814543282</v>
      </c>
      <c r="O16" s="281">
        <f>EXP(L16)</f>
        <v>1.4178693262025297</v>
      </c>
      <c r="P16" s="236">
        <f>EXP(M16)</f>
        <v>0.96868780455694681</v>
      </c>
      <c r="Q16" s="236">
        <f>O16+P16</f>
        <v>2.3865571307594764</v>
      </c>
      <c r="R16" s="236">
        <f>L6/F6</f>
        <v>2.3819818945540714</v>
      </c>
      <c r="S16" s="240">
        <f>R16-Q16</f>
        <v>-4.5752362054050089E-3</v>
      </c>
      <c r="V16" s="44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6"/>
    </row>
    <row r="17" spans="2:38" x14ac:dyDescent="0.3">
      <c r="B17" s="273">
        <v>2</v>
      </c>
      <c r="C17" s="277" t="s">
        <v>0</v>
      </c>
      <c r="D17" s="224">
        <v>0.25402144772117963</v>
      </c>
      <c r="E17" s="7">
        <v>9.6961861667744037E-2</v>
      </c>
      <c r="F17" s="7">
        <f t="shared" ref="F17:F19" si="3">LN(D17)</f>
        <v>-1.3703365756812798</v>
      </c>
      <c r="G17" s="7">
        <f t="shared" ref="G17:G19" si="4">LN(E17)</f>
        <v>-2.3334375564768104</v>
      </c>
      <c r="H17" s="7">
        <f t="shared" ref="H17:H19" si="5">(E17-D17)/(G17-F17)</f>
        <v>0.16307696615956394</v>
      </c>
      <c r="I17" s="7">
        <f t="shared" ref="I17:I19" si="6">H17/$H$20</f>
        <v>0.1467705846998561</v>
      </c>
      <c r="J17" s="7">
        <f t="shared" ref="J17:J19" si="7">LN(L7/F7)</f>
        <v>-0.51299938920487276</v>
      </c>
      <c r="K17" s="187">
        <f t="shared" ref="K17:K19" si="8">LN(M7/G7)</f>
        <v>-1.1178568102626752E-2</v>
      </c>
      <c r="L17" s="224">
        <f t="shared" ref="L17:L19" si="9">I17*J17</f>
        <v>-7.5293220304268216E-2</v>
      </c>
      <c r="M17" s="7">
        <f t="shared" ref="M17:M19" si="10">I17*K17</f>
        <v>-1.6406849765296895E-3</v>
      </c>
      <c r="N17" s="187">
        <f t="shared" ref="N17:N20" si="11">L17+M17</f>
        <v>-7.693390528079791E-2</v>
      </c>
      <c r="O17" s="224">
        <f t="shared" ref="O17:O20" si="12">EXP(L17)</f>
        <v>0.92747149298014375</v>
      </c>
      <c r="P17" s="7">
        <f t="shared" ref="P17:P20" si="13">EXP(M17)</f>
        <v>0.99836066021128933</v>
      </c>
      <c r="Q17" s="7">
        <f t="shared" ref="Q17:Q20" si="14">O17+P17</f>
        <v>1.9258321531914331</v>
      </c>
      <c r="R17" s="7">
        <f t="shared" ref="R17:R19" si="15">L7/F7</f>
        <v>0.59869715728692385</v>
      </c>
      <c r="S17" s="187">
        <f t="shared" ref="S17:S20" si="16">R17-Q17</f>
        <v>-1.3271349959045091</v>
      </c>
      <c r="V17" s="47" t="s">
        <v>170</v>
      </c>
      <c r="W17" s="48"/>
      <c r="X17" s="48"/>
      <c r="Y17" s="48"/>
      <c r="Z17" s="48"/>
      <c r="AA17" s="48"/>
      <c r="AB17" s="48"/>
      <c r="AC17" s="48"/>
      <c r="AD17" s="45"/>
      <c r="AE17" s="48" t="s">
        <v>181</v>
      </c>
      <c r="AF17" s="48"/>
      <c r="AG17" s="48"/>
      <c r="AH17" s="48"/>
      <c r="AI17" s="48"/>
      <c r="AJ17" s="48"/>
      <c r="AK17" s="48"/>
      <c r="AL17" s="73"/>
    </row>
    <row r="18" spans="2:38" x14ac:dyDescent="0.3">
      <c r="B18" s="273">
        <v>4</v>
      </c>
      <c r="C18" s="277" t="s">
        <v>5</v>
      </c>
      <c r="D18" s="224">
        <v>5.1273458445040221E-2</v>
      </c>
      <c r="E18" s="7">
        <v>3.6522301228183597E-2</v>
      </c>
      <c r="F18" s="7">
        <f t="shared" si="3"/>
        <v>-2.9705820399312159</v>
      </c>
      <c r="G18" s="7">
        <f t="shared" si="4"/>
        <v>-3.3098322124206705</v>
      </c>
      <c r="H18" s="7">
        <f t="shared" si="5"/>
        <v>4.3481649865086382E-2</v>
      </c>
      <c r="I18" s="7">
        <f t="shared" si="6"/>
        <v>3.9133835542223661E-2</v>
      </c>
      <c r="J18" s="7">
        <f t="shared" si="7"/>
        <v>9.5024214042343819E-2</v>
      </c>
      <c r="K18" s="187">
        <f t="shared" si="8"/>
        <v>4.6486369562326072E-3</v>
      </c>
      <c r="L18" s="224">
        <f t="shared" si="9"/>
        <v>3.7186619648621431E-3</v>
      </c>
      <c r="M18" s="7">
        <f t="shared" si="10"/>
        <v>1.8191899414071001E-4</v>
      </c>
      <c r="N18" s="187">
        <f t="shared" si="11"/>
        <v>3.9005809590028531E-3</v>
      </c>
      <c r="O18" s="224">
        <f t="shared" si="12"/>
        <v>1.0037255847667934</v>
      </c>
      <c r="P18" s="7">
        <f t="shared" si="13"/>
        <v>1.0001819355424044</v>
      </c>
      <c r="Q18" s="7">
        <f t="shared" si="14"/>
        <v>2.0039075203091978</v>
      </c>
      <c r="R18" s="7">
        <f t="shared" si="15"/>
        <v>1.0996854826345632</v>
      </c>
      <c r="S18" s="187">
        <f t="shared" si="16"/>
        <v>-0.9042220376746346</v>
      </c>
      <c r="V18" s="49"/>
      <c r="W18" s="50"/>
      <c r="X18" s="50"/>
      <c r="Y18" s="50"/>
      <c r="Z18" s="50"/>
      <c r="AA18" s="50"/>
      <c r="AB18" s="50"/>
      <c r="AC18" s="50"/>
      <c r="AD18" s="45"/>
      <c r="AE18" s="50"/>
      <c r="AF18" s="50"/>
      <c r="AG18" s="50"/>
      <c r="AH18" s="50"/>
      <c r="AI18" s="50"/>
      <c r="AJ18" s="50"/>
      <c r="AK18" s="50"/>
      <c r="AL18" s="74"/>
    </row>
    <row r="19" spans="2:38" x14ac:dyDescent="0.3">
      <c r="B19" s="273">
        <v>5</v>
      </c>
      <c r="C19" s="277" t="s">
        <v>4</v>
      </c>
      <c r="D19" s="224">
        <v>0.32138069705093836</v>
      </c>
      <c r="E19" s="7">
        <v>0.62766645119586306</v>
      </c>
      <c r="F19" s="7">
        <f t="shared" si="3"/>
        <v>-1.1351288864402131</v>
      </c>
      <c r="G19" s="7">
        <f t="shared" si="4"/>
        <v>-0.46574638228174103</v>
      </c>
      <c r="H19" s="7">
        <f t="shared" si="5"/>
        <v>0.45756462447428037</v>
      </c>
      <c r="I19" s="7">
        <f t="shared" si="6"/>
        <v>0.41181185211864868</v>
      </c>
      <c r="J19" s="7">
        <f t="shared" si="7"/>
        <v>1.0561071314671022</v>
      </c>
      <c r="K19" s="187">
        <f t="shared" si="8"/>
        <v>5.2198396179400572E-2</v>
      </c>
      <c r="L19" s="224">
        <f t="shared" si="9"/>
        <v>0.43491743384518056</v>
      </c>
      <c r="M19" s="7">
        <f t="shared" si="10"/>
        <v>2.1495918208261945E-2</v>
      </c>
      <c r="N19" s="187">
        <f t="shared" si="11"/>
        <v>0.45641335205344252</v>
      </c>
      <c r="O19" s="224">
        <f t="shared" si="12"/>
        <v>1.5448355025582157</v>
      </c>
      <c r="P19" s="7">
        <f t="shared" si="13"/>
        <v>1.0217286198454314</v>
      </c>
      <c r="Q19" s="7">
        <f t="shared" si="14"/>
        <v>2.5665641224036468</v>
      </c>
      <c r="R19" s="7">
        <f t="shared" si="15"/>
        <v>2.8751565687642531</v>
      </c>
      <c r="S19" s="187">
        <f t="shared" si="16"/>
        <v>0.30859244636060623</v>
      </c>
      <c r="V19" s="49" t="s">
        <v>171</v>
      </c>
      <c r="W19" s="50"/>
      <c r="X19" s="50"/>
      <c r="Y19" s="50"/>
      <c r="Z19" s="50"/>
      <c r="AA19" s="50"/>
      <c r="AB19" s="50"/>
      <c r="AC19" s="50"/>
      <c r="AD19" s="45"/>
      <c r="AE19" s="50" t="s">
        <v>182</v>
      </c>
      <c r="AF19" s="50"/>
      <c r="AG19" s="50"/>
      <c r="AH19" s="50"/>
      <c r="AI19" s="50"/>
      <c r="AJ19" s="50"/>
      <c r="AK19" s="50"/>
      <c r="AL19" s="74"/>
    </row>
    <row r="20" spans="2:38" ht="15" thickBot="1" x14ac:dyDescent="0.35">
      <c r="B20" s="274">
        <v>6</v>
      </c>
      <c r="C20" s="278" t="s">
        <v>1</v>
      </c>
      <c r="D20" s="225"/>
      <c r="E20" s="118"/>
      <c r="F20" s="118"/>
      <c r="G20" s="118"/>
      <c r="H20" s="118">
        <f>SUM(H16:H19)</f>
        <v>1.1111011548605203</v>
      </c>
      <c r="I20" s="118"/>
      <c r="J20" s="118"/>
      <c r="K20" s="189"/>
      <c r="L20" s="225">
        <f>SUM(L16:L19)</f>
        <v>0.7124981457744759</v>
      </c>
      <c r="M20" s="118">
        <f>SUM(M16:M19)</f>
        <v>-1.1775749897395577E-2</v>
      </c>
      <c r="N20" s="189">
        <f t="shared" si="11"/>
        <v>0.7007223958770803</v>
      </c>
      <c r="O20" s="225">
        <f t="shared" si="12"/>
        <v>2.0390788174007208</v>
      </c>
      <c r="P20" s="118">
        <f t="shared" si="13"/>
        <v>0.98829331289090627</v>
      </c>
      <c r="Q20" s="118">
        <f t="shared" si="14"/>
        <v>3.027372130291627</v>
      </c>
      <c r="R20" s="118">
        <f>SUM(R16:R19)</f>
        <v>6.9555211032398114</v>
      </c>
      <c r="S20" s="189">
        <f t="shared" si="16"/>
        <v>3.9281489729481844</v>
      </c>
      <c r="V20" s="49" t="s">
        <v>172</v>
      </c>
      <c r="W20" s="50"/>
      <c r="X20" s="50"/>
      <c r="Y20" s="50"/>
      <c r="Z20" s="50"/>
      <c r="AA20" s="50"/>
      <c r="AB20" s="50"/>
      <c r="AC20" s="50"/>
      <c r="AD20" s="45"/>
      <c r="AE20" s="50" t="s">
        <v>183</v>
      </c>
      <c r="AF20" s="50"/>
      <c r="AG20" s="50"/>
      <c r="AH20" s="50"/>
      <c r="AI20" s="50"/>
      <c r="AJ20" s="50"/>
      <c r="AK20" s="50"/>
      <c r="AL20" s="74"/>
    </row>
    <row r="21" spans="2:38" ht="15" thickBot="1" x14ac:dyDescent="0.35">
      <c r="V21" s="49" t="s">
        <v>173</v>
      </c>
      <c r="W21" s="50"/>
      <c r="X21" s="50"/>
      <c r="Y21" s="50"/>
      <c r="Z21" s="50"/>
      <c r="AA21" s="50"/>
      <c r="AB21" s="50"/>
      <c r="AC21" s="50"/>
      <c r="AD21" s="45"/>
      <c r="AE21" s="50" t="s">
        <v>184</v>
      </c>
      <c r="AF21" s="50"/>
      <c r="AG21" s="50"/>
      <c r="AH21" s="50"/>
      <c r="AI21" s="50"/>
      <c r="AJ21" s="50"/>
      <c r="AK21" s="50"/>
      <c r="AL21" s="74"/>
    </row>
    <row r="22" spans="2:38" ht="18" customHeight="1" x14ac:dyDescent="0.3">
      <c r="B22" s="177" t="s">
        <v>168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9"/>
      <c r="V22" s="49" t="s">
        <v>174</v>
      </c>
      <c r="W22" s="50"/>
      <c r="X22" s="50"/>
      <c r="Y22" s="50"/>
      <c r="Z22" s="50"/>
      <c r="AA22" s="50"/>
      <c r="AB22" s="50"/>
      <c r="AC22" s="50"/>
      <c r="AD22" s="45"/>
      <c r="AE22" s="50" t="s">
        <v>185</v>
      </c>
      <c r="AF22" s="50"/>
      <c r="AG22" s="50"/>
      <c r="AH22" s="50"/>
      <c r="AI22" s="50"/>
      <c r="AJ22" s="50"/>
      <c r="AK22" s="50"/>
      <c r="AL22" s="74"/>
    </row>
    <row r="23" spans="2:38" x14ac:dyDescent="0.3">
      <c r="B23" s="58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59"/>
      <c r="V23" s="47" t="s">
        <v>175</v>
      </c>
      <c r="W23" s="48"/>
      <c r="X23" s="48"/>
      <c r="Y23" s="48"/>
      <c r="Z23" s="48"/>
      <c r="AA23" s="48"/>
      <c r="AB23" s="48"/>
      <c r="AC23" s="48"/>
      <c r="AD23" s="45"/>
      <c r="AE23" s="48" t="s">
        <v>186</v>
      </c>
      <c r="AF23" s="48"/>
      <c r="AG23" s="48"/>
      <c r="AH23" s="48"/>
      <c r="AI23" s="48"/>
      <c r="AJ23" s="48"/>
      <c r="AK23" s="48"/>
      <c r="AL23" s="73"/>
    </row>
    <row r="24" spans="2:38" x14ac:dyDescent="0.3">
      <c r="B24" s="180" t="s">
        <v>219</v>
      </c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2"/>
      <c r="V24" s="49"/>
      <c r="W24" s="50"/>
      <c r="X24" s="50"/>
      <c r="Y24" s="50"/>
      <c r="Z24" s="50"/>
      <c r="AA24" s="50"/>
      <c r="AB24" s="50"/>
      <c r="AC24" s="50"/>
      <c r="AD24" s="45"/>
      <c r="AE24" s="50"/>
      <c r="AF24" s="50"/>
      <c r="AG24" s="50"/>
      <c r="AH24" s="50"/>
      <c r="AI24" s="50"/>
      <c r="AJ24" s="50"/>
      <c r="AK24" s="50"/>
      <c r="AL24" s="74"/>
    </row>
    <row r="25" spans="2:38" ht="15" thickBot="1" x14ac:dyDescent="0.35">
      <c r="B25" s="183" t="s">
        <v>220</v>
      </c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5"/>
      <c r="V25" s="49" t="s">
        <v>176</v>
      </c>
      <c r="W25" s="50"/>
      <c r="X25" s="50"/>
      <c r="Y25" s="50"/>
      <c r="Z25" s="50"/>
      <c r="AA25" s="50"/>
      <c r="AB25" s="50"/>
      <c r="AC25" s="50"/>
      <c r="AD25" s="45"/>
      <c r="AE25" s="50" t="s">
        <v>187</v>
      </c>
      <c r="AF25" s="50"/>
      <c r="AG25" s="50"/>
      <c r="AH25" s="50"/>
      <c r="AI25" s="50"/>
      <c r="AJ25" s="50"/>
      <c r="AK25" s="50"/>
      <c r="AL25" s="74"/>
    </row>
    <row r="26" spans="2:38" ht="15" thickBot="1" x14ac:dyDescent="0.35">
      <c r="V26" s="49" t="s">
        <v>177</v>
      </c>
      <c r="W26" s="50"/>
      <c r="X26" s="50"/>
      <c r="Y26" s="50"/>
      <c r="Z26" s="50"/>
      <c r="AA26" s="50"/>
      <c r="AB26" s="50"/>
      <c r="AC26" s="50"/>
      <c r="AD26" s="45"/>
      <c r="AE26" s="50" t="s">
        <v>188</v>
      </c>
      <c r="AF26" s="50"/>
      <c r="AG26" s="50"/>
      <c r="AH26" s="50"/>
      <c r="AI26" s="50"/>
      <c r="AJ26" s="50"/>
      <c r="AK26" s="50"/>
      <c r="AL26" s="74"/>
    </row>
    <row r="27" spans="2:38" ht="18" x14ac:dyDescent="0.3">
      <c r="B27" s="63" t="s">
        <v>191</v>
      </c>
      <c r="C27" s="64"/>
      <c r="D27" s="64"/>
      <c r="E27" s="64"/>
      <c r="F27" s="64"/>
      <c r="G27" s="64"/>
      <c r="H27" s="64"/>
      <c r="I27" s="64"/>
      <c r="J27" s="64"/>
      <c r="K27" s="64"/>
      <c r="L27" s="65"/>
      <c r="V27" s="49" t="s">
        <v>178</v>
      </c>
      <c r="W27" s="50"/>
      <c r="X27" s="50"/>
      <c r="Y27" s="50"/>
      <c r="Z27" s="50"/>
      <c r="AA27" s="50"/>
      <c r="AB27" s="50"/>
      <c r="AC27" s="50"/>
      <c r="AD27" s="45"/>
      <c r="AE27" s="50" t="s">
        <v>189</v>
      </c>
      <c r="AF27" s="50"/>
      <c r="AG27" s="50"/>
      <c r="AH27" s="50"/>
      <c r="AI27" s="50"/>
      <c r="AJ27" s="50"/>
      <c r="AK27" s="50"/>
      <c r="AL27" s="74"/>
    </row>
    <row r="28" spans="2:38" x14ac:dyDescent="0.3">
      <c r="B28" s="66"/>
      <c r="C28" s="27"/>
      <c r="D28" s="27"/>
      <c r="E28" s="27"/>
      <c r="F28" s="27"/>
      <c r="G28" s="27"/>
      <c r="H28" s="27"/>
      <c r="I28" s="27"/>
      <c r="J28" s="27"/>
      <c r="K28" s="27"/>
      <c r="L28" s="67"/>
      <c r="V28" s="49" t="s">
        <v>179</v>
      </c>
      <c r="W28" s="50"/>
      <c r="X28" s="50"/>
      <c r="Y28" s="50"/>
      <c r="Z28" s="50"/>
      <c r="AA28" s="50"/>
      <c r="AB28" s="50"/>
      <c r="AC28" s="50"/>
      <c r="AD28" s="50"/>
      <c r="AE28" s="50" t="s">
        <v>190</v>
      </c>
      <c r="AF28" s="50"/>
      <c r="AG28" s="50"/>
      <c r="AH28" s="50"/>
      <c r="AI28" s="50"/>
      <c r="AJ28" s="50"/>
      <c r="AK28" s="50"/>
      <c r="AL28" s="74"/>
    </row>
    <row r="29" spans="2:38" ht="15" thickBot="1" x14ac:dyDescent="0.35">
      <c r="B29" s="68" t="s">
        <v>192</v>
      </c>
      <c r="C29" s="27"/>
      <c r="D29" s="27"/>
      <c r="E29" s="27"/>
      <c r="F29" s="27"/>
      <c r="G29" s="27"/>
      <c r="H29" s="27"/>
      <c r="I29" s="27"/>
      <c r="J29" s="27"/>
      <c r="K29" s="27"/>
      <c r="L29" s="67"/>
      <c r="V29" s="51" t="s">
        <v>180</v>
      </c>
      <c r="W29" s="53"/>
      <c r="X29" s="53"/>
      <c r="Y29" s="53"/>
      <c r="Z29" s="53"/>
      <c r="AA29" s="53"/>
      <c r="AB29" s="53"/>
      <c r="AC29" s="53"/>
      <c r="AD29" s="53"/>
      <c r="AE29" s="53"/>
      <c r="AF29" s="52"/>
      <c r="AG29" s="52"/>
      <c r="AH29" s="52"/>
      <c r="AI29" s="52"/>
      <c r="AJ29" s="52"/>
      <c r="AK29" s="52"/>
      <c r="AL29" s="54"/>
    </row>
    <row r="30" spans="2:38" x14ac:dyDescent="0.3">
      <c r="B30" s="68" t="s">
        <v>193</v>
      </c>
      <c r="C30" s="27"/>
      <c r="D30" s="27"/>
      <c r="E30" s="27"/>
      <c r="F30" s="27"/>
      <c r="G30" s="27"/>
      <c r="H30" s="27"/>
      <c r="I30" s="27"/>
      <c r="J30" s="27"/>
      <c r="K30" s="27"/>
      <c r="L30" s="67"/>
    </row>
    <row r="31" spans="2:38" x14ac:dyDescent="0.3">
      <c r="B31" s="68" t="s">
        <v>194</v>
      </c>
      <c r="C31" s="27"/>
      <c r="D31" s="27"/>
      <c r="E31" s="27"/>
      <c r="F31" s="27"/>
      <c r="G31" s="27"/>
      <c r="H31" s="27"/>
      <c r="I31" s="27"/>
      <c r="J31" s="27"/>
      <c r="K31" s="27"/>
      <c r="L31" s="67"/>
      <c r="AD31" s="25"/>
      <c r="AE31" s="25"/>
    </row>
    <row r="32" spans="2:38" ht="15" thickBot="1" x14ac:dyDescent="0.35">
      <c r="B32" s="69" t="s">
        <v>195</v>
      </c>
      <c r="C32" s="70"/>
      <c r="D32" s="70"/>
      <c r="E32" s="70"/>
      <c r="F32" s="70"/>
      <c r="G32" s="70"/>
      <c r="H32" s="70"/>
      <c r="I32" s="70"/>
      <c r="J32" s="70"/>
      <c r="K32" s="70"/>
      <c r="L32" s="71"/>
      <c r="AD32" s="25"/>
      <c r="AE32" s="25"/>
    </row>
    <row r="33" spans="2:38" x14ac:dyDescent="0.3">
      <c r="AD33" s="25"/>
      <c r="AE33" s="25"/>
    </row>
    <row r="34" spans="2:38" x14ac:dyDescent="0.3">
      <c r="AD34" s="25"/>
      <c r="AE34" s="25"/>
    </row>
    <row r="35" spans="2:38" ht="18" x14ac:dyDescent="0.35">
      <c r="B35" s="8" t="s">
        <v>64</v>
      </c>
    </row>
    <row r="36" spans="2:38" ht="15" thickBot="1" x14ac:dyDescent="0.35"/>
    <row r="37" spans="2:38" ht="18.600000000000001" thickBot="1" x14ac:dyDescent="0.35">
      <c r="B37" s="271" t="s">
        <v>30</v>
      </c>
      <c r="C37" s="271" t="s">
        <v>3</v>
      </c>
      <c r="D37" s="243" t="s">
        <v>49</v>
      </c>
      <c r="E37" s="244" t="s">
        <v>50</v>
      </c>
      <c r="F37" s="244" t="s">
        <v>51</v>
      </c>
      <c r="G37" s="244" t="s">
        <v>52</v>
      </c>
      <c r="H37" s="244" t="s">
        <v>53</v>
      </c>
      <c r="I37" s="244" t="s">
        <v>17</v>
      </c>
      <c r="J37" s="283" t="s">
        <v>54</v>
      </c>
      <c r="K37" s="284" t="s">
        <v>55</v>
      </c>
      <c r="L37" s="285" t="s">
        <v>56</v>
      </c>
      <c r="M37" s="286" t="s">
        <v>57</v>
      </c>
      <c r="N37" s="287" t="s">
        <v>58</v>
      </c>
      <c r="O37" s="288" t="s">
        <v>59</v>
      </c>
      <c r="P37" s="289" t="s">
        <v>60</v>
      </c>
      <c r="Q37" s="289" t="s">
        <v>61</v>
      </c>
      <c r="R37" s="289" t="s">
        <v>62</v>
      </c>
      <c r="S37" s="290" t="s">
        <v>63</v>
      </c>
      <c r="V37" s="40" t="s">
        <v>169</v>
      </c>
      <c r="W37" s="41"/>
      <c r="X37" s="41"/>
      <c r="Y37" s="41"/>
      <c r="Z37" s="41"/>
      <c r="AA37" s="41"/>
      <c r="AB37" s="41"/>
      <c r="AC37" s="41"/>
      <c r="AD37" s="41"/>
      <c r="AE37" s="42"/>
      <c r="AF37" s="42"/>
      <c r="AG37" s="41"/>
      <c r="AH37" s="41"/>
      <c r="AI37" s="41"/>
      <c r="AJ37" s="41"/>
      <c r="AK37" s="41"/>
      <c r="AL37" s="43"/>
    </row>
    <row r="38" spans="2:38" x14ac:dyDescent="0.3">
      <c r="B38" s="279">
        <v>1</v>
      </c>
      <c r="C38" s="279" t="s">
        <v>2</v>
      </c>
      <c r="D38" s="281">
        <v>0.52973497091144162</v>
      </c>
      <c r="E38" s="236">
        <v>0.61533084808946881</v>
      </c>
      <c r="F38" s="236">
        <f>LN(D38)</f>
        <v>-0.63537845238918156</v>
      </c>
      <c r="G38" s="236">
        <f>LN(E38)</f>
        <v>-0.48559519145345681</v>
      </c>
      <c r="H38" s="236">
        <f>(E38-D38)/(G38-F38)</f>
        <v>0.57146490631391877</v>
      </c>
      <c r="I38" s="236">
        <f>H38/$H$42</f>
        <v>0.4805021064564326</v>
      </c>
      <c r="J38" s="236">
        <f t="shared" ref="J38:K41" si="17">LN(R6/L6)</f>
        <v>-0.50193009953809731</v>
      </c>
      <c r="K38" s="240">
        <f t="shared" si="17"/>
        <v>0.11119556848306907</v>
      </c>
      <c r="L38" s="281">
        <f>I38*J38</f>
        <v>-0.24117847012194266</v>
      </c>
      <c r="M38" s="236">
        <f>I38*K38</f>
        <v>5.3429704884735196E-2</v>
      </c>
      <c r="N38" s="240">
        <f>L38+M38</f>
        <v>-0.18774876523720746</v>
      </c>
      <c r="O38" s="281">
        <f>EXP(L38)</f>
        <v>0.78570138965186231</v>
      </c>
      <c r="P38" s="236">
        <f>EXP(M38)</f>
        <v>1.0548828360506783</v>
      </c>
      <c r="Q38" s="236">
        <f>O38+P38</f>
        <v>1.8405842257025407</v>
      </c>
      <c r="R38" s="236">
        <f>R6/L6</f>
        <v>0.60536112418953769</v>
      </c>
      <c r="S38" s="240">
        <f>R38-Q38</f>
        <v>-1.2352231015130029</v>
      </c>
      <c r="V38" s="44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6"/>
    </row>
    <row r="39" spans="2:38" x14ac:dyDescent="0.3">
      <c r="B39" s="273">
        <v>2</v>
      </c>
      <c r="C39" s="273" t="s">
        <v>0</v>
      </c>
      <c r="D39" s="224">
        <v>9.6961861667744037E-2</v>
      </c>
      <c r="E39" s="7">
        <v>0.13956197576887228</v>
      </c>
      <c r="F39" s="7">
        <f t="shared" ref="F39:F41" si="18">LN(D39)</f>
        <v>-2.3334375564768104</v>
      </c>
      <c r="G39" s="7">
        <f t="shared" ref="G39:G41" si="19">LN(E39)</f>
        <v>-1.96924650563514</v>
      </c>
      <c r="H39" s="7">
        <f t="shared" ref="H39:H41" si="20">(E39-D39)/(G39-F39)</f>
        <v>0.1169718860545213</v>
      </c>
      <c r="I39" s="7">
        <f>H39/$H$42</f>
        <v>9.835291200629645E-2</v>
      </c>
      <c r="J39" s="7">
        <f t="shared" si="17"/>
        <v>-0.23614070562087616</v>
      </c>
      <c r="K39" s="187">
        <f t="shared" si="17"/>
        <v>5.9813964471793483E-2</v>
      </c>
      <c r="L39" s="224">
        <f t="shared" ref="L39:L41" si="21">I39*J39</f>
        <v>-2.3225126041034785E-2</v>
      </c>
      <c r="M39" s="7">
        <f t="shared" ref="M39:M41" si="22">I39*K39</f>
        <v>5.8828775844420467E-3</v>
      </c>
      <c r="N39" s="187">
        <f t="shared" ref="N39:N42" si="23">L39+M39</f>
        <v>-1.734224845659274E-2</v>
      </c>
      <c r="O39" s="224">
        <f t="shared" ref="O39:O42" si="24">EXP(L39)</f>
        <v>0.97704250130207393</v>
      </c>
      <c r="P39" s="7">
        <f t="shared" ref="P39:P42" si="25">EXP(M39)</f>
        <v>1.0059002156914247</v>
      </c>
      <c r="Q39" s="7">
        <f t="shared" ref="Q39:Q42" si="26">O39+P39</f>
        <v>1.9829427169934988</v>
      </c>
      <c r="R39" s="7">
        <f>R7/L7</f>
        <v>0.78966955517042159</v>
      </c>
      <c r="S39" s="187">
        <f t="shared" ref="S39:S42" si="27">R39-Q39</f>
        <v>-1.1932731618230772</v>
      </c>
      <c r="V39" s="47" t="s">
        <v>170</v>
      </c>
      <c r="W39" s="45"/>
      <c r="X39" s="45"/>
      <c r="Y39" s="45"/>
      <c r="Z39" s="45"/>
      <c r="AA39" s="45"/>
      <c r="AB39" s="45"/>
      <c r="AC39" s="45"/>
      <c r="AD39" s="48" t="s">
        <v>181</v>
      </c>
      <c r="AE39" s="45"/>
      <c r="AF39" s="45"/>
      <c r="AG39" s="45"/>
      <c r="AH39" s="45"/>
      <c r="AI39" s="45"/>
      <c r="AJ39" s="45"/>
      <c r="AK39" s="45"/>
      <c r="AL39" s="46"/>
    </row>
    <row r="40" spans="2:38" x14ac:dyDescent="0.3">
      <c r="B40" s="273">
        <v>4</v>
      </c>
      <c r="C40" s="273" t="s">
        <v>5</v>
      </c>
      <c r="D40" s="224">
        <v>3.6522301228183597E-2</v>
      </c>
      <c r="E40" s="7">
        <v>5.2656104380242312E-2</v>
      </c>
      <c r="F40" s="7">
        <f t="shared" si="18"/>
        <v>-3.3098322124206705</v>
      </c>
      <c r="G40" s="7">
        <f t="shared" si="19"/>
        <v>-2.9439731044783031</v>
      </c>
      <c r="H40" s="7">
        <f t="shared" si="20"/>
        <v>4.40984051013436E-2</v>
      </c>
      <c r="I40" s="7">
        <f>H40/$H$42</f>
        <v>3.707905123910598E-2</v>
      </c>
      <c r="J40" s="7">
        <f t="shared" si="17"/>
        <v>-0.28346000878282079</v>
      </c>
      <c r="K40" s="187">
        <f t="shared" si="17"/>
        <v>0.10880132473443502</v>
      </c>
      <c r="L40" s="224">
        <f t="shared" si="21"/>
        <v>-1.0510428189895643E-2</v>
      </c>
      <c r="M40" s="7">
        <f t="shared" si="22"/>
        <v>4.0342498947107249E-3</v>
      </c>
      <c r="N40" s="187">
        <f t="shared" si="23"/>
        <v>-6.4761782951849181E-3</v>
      </c>
      <c r="O40" s="224">
        <f t="shared" si="24"/>
        <v>0.98954461335495569</v>
      </c>
      <c r="P40" s="7">
        <f t="shared" si="25"/>
        <v>1.0040423984348814</v>
      </c>
      <c r="Q40" s="7">
        <f t="shared" si="26"/>
        <v>1.9935870117898371</v>
      </c>
      <c r="R40" s="7">
        <f>R8/L8</f>
        <v>0.75317324185248702</v>
      </c>
      <c r="S40" s="187">
        <f t="shared" si="27"/>
        <v>-1.2404137699373501</v>
      </c>
      <c r="V40" s="49"/>
      <c r="W40" s="45"/>
      <c r="X40" s="45"/>
      <c r="Y40" s="45"/>
      <c r="Z40" s="45"/>
      <c r="AA40" s="45"/>
      <c r="AB40" s="45"/>
      <c r="AC40" s="45"/>
      <c r="AD40" s="50"/>
      <c r="AE40" s="45"/>
      <c r="AF40" s="45"/>
      <c r="AG40" s="45"/>
      <c r="AH40" s="45"/>
      <c r="AI40" s="45"/>
      <c r="AJ40" s="45"/>
      <c r="AK40" s="45"/>
      <c r="AL40" s="46"/>
    </row>
    <row r="41" spans="2:38" x14ac:dyDescent="0.3">
      <c r="B41" s="273">
        <v>5</v>
      </c>
      <c r="C41" s="273" t="s">
        <v>4</v>
      </c>
      <c r="D41" s="224">
        <v>0.62766645119586306</v>
      </c>
      <c r="E41" s="7">
        <v>0.32013047530288896</v>
      </c>
      <c r="F41" s="7">
        <f t="shared" si="18"/>
        <v>-0.46574638228174103</v>
      </c>
      <c r="G41" s="7">
        <f t="shared" si="19"/>
        <v>-1.1390266309682948</v>
      </c>
      <c r="H41" s="7">
        <f t="shared" si="20"/>
        <v>0.45677260916671825</v>
      </c>
      <c r="I41" s="7">
        <f>H41/$H$42</f>
        <v>0.38406593029816499</v>
      </c>
      <c r="J41" s="7">
        <f t="shared" si="17"/>
        <v>-1.067760838955959</v>
      </c>
      <c r="K41" s="187">
        <f t="shared" si="17"/>
        <v>-0.14603720172134746</v>
      </c>
      <c r="L41" s="224">
        <f t="shared" si="21"/>
        <v>-0.4100905599495695</v>
      </c>
      <c r="M41" s="7">
        <f t="shared" si="22"/>
        <v>-5.6087913737250097E-2</v>
      </c>
      <c r="N41" s="187">
        <f t="shared" si="23"/>
        <v>-0.46617847368681958</v>
      </c>
      <c r="O41" s="224">
        <f t="shared" si="24"/>
        <v>0.6635901527243856</v>
      </c>
      <c r="P41" s="7">
        <f t="shared" si="25"/>
        <v>0.94545601366509013</v>
      </c>
      <c r="Q41" s="7">
        <f t="shared" si="26"/>
        <v>1.6090461663894757</v>
      </c>
      <c r="R41" s="7">
        <f>R9/L9</f>
        <v>0.34377742926614557</v>
      </c>
      <c r="S41" s="187">
        <f t="shared" si="27"/>
        <v>-1.2652687371233302</v>
      </c>
      <c r="V41" s="49" t="s">
        <v>199</v>
      </c>
      <c r="W41" s="45"/>
      <c r="X41" s="45"/>
      <c r="Y41" s="45"/>
      <c r="Z41" s="45"/>
      <c r="AA41" s="45"/>
      <c r="AB41" s="45"/>
      <c r="AC41" s="45"/>
      <c r="AD41" s="50" t="s">
        <v>209</v>
      </c>
      <c r="AE41" s="45"/>
      <c r="AF41" s="45"/>
      <c r="AG41" s="45"/>
      <c r="AH41" s="45"/>
      <c r="AI41" s="45"/>
      <c r="AJ41" s="45"/>
      <c r="AK41" s="45"/>
      <c r="AL41" s="46"/>
    </row>
    <row r="42" spans="2:38" ht="15" thickBot="1" x14ac:dyDescent="0.35">
      <c r="B42" s="274">
        <v>6</v>
      </c>
      <c r="C42" s="274" t="s">
        <v>1</v>
      </c>
      <c r="D42" s="225"/>
      <c r="E42" s="118"/>
      <c r="F42" s="118"/>
      <c r="G42" s="118"/>
      <c r="H42" s="118">
        <f>SUM(H38:H41)</f>
        <v>1.1893078066365019</v>
      </c>
      <c r="I42" s="118"/>
      <c r="J42" s="118"/>
      <c r="K42" s="189"/>
      <c r="L42" s="225">
        <f>SUM(L38:L41)</f>
        <v>-0.6850045843024426</v>
      </c>
      <c r="M42" s="118">
        <f>SUM(M38:M41)</f>
        <v>7.2589186266378697E-3</v>
      </c>
      <c r="N42" s="189">
        <f t="shared" si="23"/>
        <v>-0.67774566567580474</v>
      </c>
      <c r="O42" s="225">
        <f t="shared" si="24"/>
        <v>0.50408791867805169</v>
      </c>
      <c r="P42" s="118">
        <f t="shared" si="25"/>
        <v>1.007285328440007</v>
      </c>
      <c r="Q42" s="118">
        <f t="shared" si="26"/>
        <v>1.5113732471180588</v>
      </c>
      <c r="R42" s="118">
        <f>SUM(R38:R41)</f>
        <v>2.4919813504785919</v>
      </c>
      <c r="S42" s="189">
        <f t="shared" si="27"/>
        <v>0.98060810336053317</v>
      </c>
      <c r="V42" s="49" t="s">
        <v>200</v>
      </c>
      <c r="W42" s="45"/>
      <c r="X42" s="45"/>
      <c r="Y42" s="45"/>
      <c r="Z42" s="45"/>
      <c r="AA42" s="45"/>
      <c r="AB42" s="45"/>
      <c r="AC42" s="45"/>
      <c r="AD42" s="50" t="s">
        <v>210</v>
      </c>
      <c r="AE42" s="45"/>
      <c r="AF42" s="45"/>
      <c r="AG42" s="45"/>
      <c r="AH42" s="45"/>
      <c r="AI42" s="45"/>
      <c r="AJ42" s="45"/>
      <c r="AK42" s="45"/>
      <c r="AL42" s="46"/>
    </row>
    <row r="43" spans="2:38" ht="15" thickBot="1" x14ac:dyDescent="0.35">
      <c r="V43" s="49" t="s">
        <v>201</v>
      </c>
      <c r="W43" s="45"/>
      <c r="X43" s="45"/>
      <c r="Y43" s="45"/>
      <c r="Z43" s="45"/>
      <c r="AA43" s="45"/>
      <c r="AB43" s="45"/>
      <c r="AC43" s="45"/>
      <c r="AD43" s="50" t="s">
        <v>211</v>
      </c>
      <c r="AE43" s="45"/>
      <c r="AF43" s="45"/>
      <c r="AG43" s="45"/>
      <c r="AH43" s="45"/>
      <c r="AI43" s="45"/>
      <c r="AJ43" s="45"/>
      <c r="AK43" s="45"/>
      <c r="AL43" s="46"/>
    </row>
    <row r="44" spans="2:38" ht="18" x14ac:dyDescent="0.3">
      <c r="B44" s="55" t="s">
        <v>196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7"/>
      <c r="V44" s="49" t="s">
        <v>202</v>
      </c>
      <c r="W44" s="45"/>
      <c r="X44" s="45"/>
      <c r="Y44" s="45"/>
      <c r="Z44" s="45"/>
      <c r="AA44" s="45"/>
      <c r="AB44" s="45"/>
      <c r="AC44" s="45"/>
      <c r="AD44" s="50" t="s">
        <v>212</v>
      </c>
      <c r="AE44" s="45"/>
      <c r="AF44" s="45"/>
      <c r="AG44" s="45"/>
      <c r="AH44" s="45"/>
      <c r="AI44" s="45"/>
      <c r="AJ44" s="45"/>
      <c r="AK44" s="45"/>
      <c r="AL44" s="46"/>
    </row>
    <row r="45" spans="2:38" x14ac:dyDescent="0.3">
      <c r="B45" s="58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59"/>
      <c r="V45" s="49" t="s">
        <v>203</v>
      </c>
      <c r="W45" s="45"/>
      <c r="X45" s="45"/>
      <c r="Y45" s="45"/>
      <c r="Z45" s="45"/>
      <c r="AA45" s="45"/>
      <c r="AB45" s="45"/>
      <c r="AC45" s="45"/>
      <c r="AD45" s="50" t="s">
        <v>213</v>
      </c>
      <c r="AE45" s="45"/>
      <c r="AF45" s="45"/>
      <c r="AG45" s="45"/>
      <c r="AH45" s="45"/>
      <c r="AI45" s="45"/>
      <c r="AJ45" s="45"/>
      <c r="AK45" s="45"/>
      <c r="AL45" s="46"/>
    </row>
    <row r="46" spans="2:38" x14ac:dyDescent="0.3">
      <c r="B46" s="58" t="s">
        <v>197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59"/>
      <c r="V46" s="47" t="s">
        <v>175</v>
      </c>
      <c r="W46" s="45"/>
      <c r="X46" s="45"/>
      <c r="Y46" s="45"/>
      <c r="Z46" s="45"/>
      <c r="AA46" s="45"/>
      <c r="AB46" s="45"/>
      <c r="AC46" s="45"/>
      <c r="AD46" s="48" t="s">
        <v>186</v>
      </c>
      <c r="AE46" s="45"/>
      <c r="AF46" s="45"/>
      <c r="AG46" s="45"/>
      <c r="AH46" s="45"/>
      <c r="AI46" s="45"/>
      <c r="AJ46" s="45"/>
      <c r="AK46" s="45"/>
      <c r="AL46" s="46"/>
    </row>
    <row r="47" spans="2:38" ht="15" thickBot="1" x14ac:dyDescent="0.35">
      <c r="B47" s="60" t="s">
        <v>198</v>
      </c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2"/>
      <c r="V47" s="49"/>
      <c r="W47" s="45"/>
      <c r="X47" s="45"/>
      <c r="Y47" s="45"/>
      <c r="Z47" s="45"/>
      <c r="AA47" s="45"/>
      <c r="AB47" s="45"/>
      <c r="AC47" s="45"/>
      <c r="AD47" s="50"/>
      <c r="AE47" s="45"/>
      <c r="AF47" s="45"/>
      <c r="AG47" s="45"/>
      <c r="AH47" s="45"/>
      <c r="AI47" s="45"/>
      <c r="AJ47" s="45"/>
      <c r="AK47" s="45"/>
      <c r="AL47" s="46"/>
    </row>
    <row r="48" spans="2:38" ht="15" thickBot="1" x14ac:dyDescent="0.35">
      <c r="V48" s="49" t="s">
        <v>204</v>
      </c>
      <c r="W48" s="45"/>
      <c r="X48" s="45"/>
      <c r="Y48" s="45"/>
      <c r="Z48" s="45"/>
      <c r="AA48" s="45"/>
      <c r="AB48" s="45"/>
      <c r="AC48" s="45"/>
      <c r="AD48" s="50" t="s">
        <v>214</v>
      </c>
      <c r="AE48" s="45"/>
      <c r="AF48" s="45"/>
      <c r="AG48" s="45"/>
      <c r="AH48" s="45"/>
      <c r="AI48" s="45"/>
      <c r="AJ48" s="45"/>
      <c r="AK48" s="45"/>
      <c r="AL48" s="46"/>
    </row>
    <row r="49" spans="2:38" ht="18" x14ac:dyDescent="0.3">
      <c r="B49" s="63" t="s">
        <v>191</v>
      </c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5"/>
      <c r="V49" s="49" t="s">
        <v>205</v>
      </c>
      <c r="W49" s="45"/>
      <c r="X49" s="45"/>
      <c r="Y49" s="45"/>
      <c r="Z49" s="45"/>
      <c r="AA49" s="45"/>
      <c r="AB49" s="45"/>
      <c r="AC49" s="45"/>
      <c r="AD49" s="50" t="s">
        <v>215</v>
      </c>
      <c r="AE49" s="45"/>
      <c r="AF49" s="45"/>
      <c r="AG49" s="45"/>
      <c r="AH49" s="45"/>
      <c r="AI49" s="45"/>
      <c r="AJ49" s="45"/>
      <c r="AK49" s="45"/>
      <c r="AL49" s="46"/>
    </row>
    <row r="50" spans="2:38" x14ac:dyDescent="0.3">
      <c r="B50" s="66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67"/>
      <c r="V50" s="49" t="s">
        <v>206</v>
      </c>
      <c r="W50" s="45"/>
      <c r="X50" s="45"/>
      <c r="Y50" s="45"/>
      <c r="Z50" s="45"/>
      <c r="AA50" s="45"/>
      <c r="AB50" s="45"/>
      <c r="AC50" s="45"/>
      <c r="AD50" s="50" t="s">
        <v>216</v>
      </c>
      <c r="AE50" s="45"/>
      <c r="AF50" s="45"/>
      <c r="AG50" s="45"/>
      <c r="AH50" s="45"/>
      <c r="AI50" s="45"/>
      <c r="AJ50" s="45"/>
      <c r="AK50" s="45"/>
      <c r="AL50" s="46"/>
    </row>
    <row r="51" spans="2:38" x14ac:dyDescent="0.3">
      <c r="B51" s="68" t="s">
        <v>221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67"/>
      <c r="V51" s="49" t="s">
        <v>207</v>
      </c>
      <c r="W51" s="45"/>
      <c r="X51" s="45"/>
      <c r="Y51" s="45"/>
      <c r="Z51" s="45"/>
      <c r="AA51" s="45"/>
      <c r="AB51" s="45"/>
      <c r="AC51" s="45"/>
      <c r="AD51" s="50" t="s">
        <v>217</v>
      </c>
      <c r="AE51" s="45"/>
      <c r="AF51" s="45"/>
      <c r="AG51" s="45"/>
      <c r="AH51" s="45"/>
      <c r="AI51" s="45"/>
      <c r="AJ51" s="45"/>
      <c r="AK51" s="45"/>
      <c r="AL51" s="46"/>
    </row>
    <row r="52" spans="2:38" ht="15" thickBot="1" x14ac:dyDescent="0.35">
      <c r="B52" s="68" t="s">
        <v>222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67"/>
      <c r="V52" s="51" t="s">
        <v>208</v>
      </c>
      <c r="W52" s="52"/>
      <c r="X52" s="52"/>
      <c r="Y52" s="52"/>
      <c r="Z52" s="52"/>
      <c r="AA52" s="52"/>
      <c r="AB52" s="52"/>
      <c r="AC52" s="52"/>
      <c r="AD52" s="53" t="s">
        <v>218</v>
      </c>
      <c r="AE52" s="52"/>
      <c r="AF52" s="52"/>
      <c r="AG52" s="52"/>
      <c r="AH52" s="52"/>
      <c r="AI52" s="52"/>
      <c r="AJ52" s="52"/>
      <c r="AK52" s="52"/>
      <c r="AL52" s="54"/>
    </row>
    <row r="53" spans="2:38" x14ac:dyDescent="0.3">
      <c r="B53" s="68" t="s">
        <v>223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67"/>
    </row>
    <row r="54" spans="2:38" ht="15" thickBot="1" x14ac:dyDescent="0.35">
      <c r="B54" s="69" t="s">
        <v>224</v>
      </c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1"/>
    </row>
    <row r="56" spans="2:38" ht="15" thickBot="1" x14ac:dyDescent="0.35"/>
    <row r="57" spans="2:38" ht="21" x14ac:dyDescent="0.4">
      <c r="M57" s="29" t="s">
        <v>225</v>
      </c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1"/>
    </row>
    <row r="58" spans="2:38" x14ac:dyDescent="0.3">
      <c r="M58" s="32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33"/>
    </row>
    <row r="59" spans="2:38" ht="18" x14ac:dyDescent="0.35">
      <c r="M59" s="34" t="s">
        <v>226</v>
      </c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28"/>
      <c r="Y59" s="28"/>
      <c r="Z59" s="28"/>
      <c r="AA59" s="28"/>
      <c r="AB59" s="28"/>
      <c r="AC59" s="33"/>
    </row>
    <row r="60" spans="2:38" ht="18" x14ac:dyDescent="0.35">
      <c r="M60" s="34" t="s">
        <v>227</v>
      </c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28"/>
      <c r="Y60" s="28"/>
      <c r="Z60" s="28"/>
      <c r="AA60" s="28"/>
      <c r="AB60" s="28"/>
      <c r="AC60" s="33"/>
    </row>
    <row r="61" spans="2:38" ht="18" x14ac:dyDescent="0.35">
      <c r="M61" s="34" t="s">
        <v>228</v>
      </c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28"/>
      <c r="Y61" s="28"/>
      <c r="Z61" s="28"/>
      <c r="AA61" s="28"/>
      <c r="AB61" s="28"/>
      <c r="AC61" s="33"/>
    </row>
    <row r="62" spans="2:38" ht="18.600000000000001" thickBot="1" x14ac:dyDescent="0.4">
      <c r="M62" s="36" t="s">
        <v>229</v>
      </c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8"/>
      <c r="Y62" s="38"/>
      <c r="Z62" s="38"/>
      <c r="AA62" s="38"/>
      <c r="AB62" s="38"/>
      <c r="AC62" s="39"/>
    </row>
  </sheetData>
  <mergeCells count="3">
    <mergeCell ref="B22:O22"/>
    <mergeCell ref="B24:O24"/>
    <mergeCell ref="B25:O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EBEA-F76D-4D52-8DE1-1CDD2E072958}">
  <dimension ref="C2:U73"/>
  <sheetViews>
    <sheetView topLeftCell="A49" workbookViewId="0">
      <selection activeCell="T11" sqref="T11"/>
    </sheetView>
  </sheetViews>
  <sheetFormatPr defaultRowHeight="14.4" x14ac:dyDescent="0.3"/>
  <cols>
    <col min="5" max="5" width="11.44140625" customWidth="1"/>
    <col min="6" max="6" width="10.21875" customWidth="1"/>
    <col min="17" max="17" width="8.77734375" customWidth="1"/>
    <col min="21" max="21" width="9.88671875" customWidth="1"/>
  </cols>
  <sheetData>
    <row r="2" spans="3:21" ht="25.8" x14ac:dyDescent="0.5">
      <c r="C2" s="9" t="s">
        <v>143</v>
      </c>
    </row>
    <row r="3" spans="3:21" x14ac:dyDescent="0.3">
      <c r="M3" s="14"/>
    </row>
    <row r="4" spans="3:21" ht="15" thickBot="1" x14ac:dyDescent="0.35"/>
    <row r="5" spans="3:21" ht="18.600000000000001" thickBot="1" x14ac:dyDescent="0.4">
      <c r="C5" s="305" t="s">
        <v>65</v>
      </c>
      <c r="D5" s="305" t="s">
        <v>66</v>
      </c>
      <c r="E5" s="305" t="s">
        <v>67</v>
      </c>
      <c r="F5" s="305" t="s">
        <v>88</v>
      </c>
      <c r="J5" s="130" t="s">
        <v>113</v>
      </c>
      <c r="K5" s="41"/>
      <c r="L5" s="41"/>
      <c r="M5" s="41"/>
      <c r="N5" s="41"/>
      <c r="O5" s="41"/>
      <c r="P5" s="404"/>
      <c r="Q5" s="408" t="s">
        <v>136</v>
      </c>
      <c r="R5" s="197" t="s">
        <v>140</v>
      </c>
      <c r="S5" s="306"/>
    </row>
    <row r="6" spans="3:21" ht="15" thickBot="1" x14ac:dyDescent="0.35">
      <c r="C6" s="301" t="s">
        <v>68</v>
      </c>
      <c r="D6" s="302">
        <v>1</v>
      </c>
      <c r="E6" s="303">
        <v>484287</v>
      </c>
      <c r="F6" s="304">
        <f>LN(E6)</f>
        <v>13.090432985165052</v>
      </c>
      <c r="J6" s="44"/>
      <c r="K6" s="45"/>
      <c r="L6" s="45"/>
      <c r="M6" s="45"/>
      <c r="N6" s="45"/>
      <c r="O6" s="45"/>
      <c r="P6" s="405" t="s">
        <v>137</v>
      </c>
      <c r="Q6" s="328">
        <v>2.8009903818676799E-2</v>
      </c>
      <c r="R6" s="45"/>
      <c r="S6" s="46"/>
    </row>
    <row r="7" spans="3:21" x14ac:dyDescent="0.3">
      <c r="C7" s="291" t="s">
        <v>69</v>
      </c>
      <c r="D7" s="293">
        <v>2</v>
      </c>
      <c r="E7" s="297">
        <v>504887</v>
      </c>
      <c r="F7" s="299">
        <f t="shared" ref="F7:F25" si="0">LN(E7)</f>
        <v>13.132089920842724</v>
      </c>
      <c r="J7" s="131" t="s">
        <v>114</v>
      </c>
      <c r="K7" s="122"/>
      <c r="L7" s="45"/>
      <c r="M7" s="45"/>
      <c r="N7" s="45"/>
      <c r="O7" s="45"/>
      <c r="P7" s="406" t="s">
        <v>138</v>
      </c>
      <c r="Q7" s="329">
        <v>1.028</v>
      </c>
      <c r="R7" s="45"/>
      <c r="S7" s="46"/>
    </row>
    <row r="8" spans="3:21" ht="15" thickBot="1" x14ac:dyDescent="0.35">
      <c r="C8" s="291" t="s">
        <v>70</v>
      </c>
      <c r="D8" s="293">
        <v>3</v>
      </c>
      <c r="E8" s="297">
        <v>525016</v>
      </c>
      <c r="F8" s="299">
        <f t="shared" si="0"/>
        <v>13.171184017299847</v>
      </c>
      <c r="J8" s="44" t="s">
        <v>115</v>
      </c>
      <c r="K8" s="45">
        <v>0.97391979514831384</v>
      </c>
      <c r="L8" s="45"/>
      <c r="M8" s="45"/>
      <c r="N8" s="45"/>
      <c r="O8" s="45"/>
      <c r="P8" s="407" t="s">
        <v>139</v>
      </c>
      <c r="Q8" s="330">
        <v>2.8405869516247201E-2</v>
      </c>
      <c r="R8" s="45"/>
      <c r="S8" s="46"/>
      <c r="T8" s="14"/>
      <c r="U8" s="14"/>
    </row>
    <row r="9" spans="3:21" x14ac:dyDescent="0.3">
      <c r="C9" s="291" t="s">
        <v>71</v>
      </c>
      <c r="D9" s="293">
        <v>4</v>
      </c>
      <c r="E9" s="297">
        <v>539191</v>
      </c>
      <c r="F9" s="299">
        <f t="shared" si="0"/>
        <v>13.197825147046272</v>
      </c>
      <c r="J9" s="44" t="s">
        <v>116</v>
      </c>
      <c r="K9" s="45">
        <v>0.94851976738173349</v>
      </c>
      <c r="L9" s="45"/>
      <c r="M9" s="45"/>
      <c r="N9" s="45"/>
      <c r="O9" s="45"/>
      <c r="P9" s="45"/>
      <c r="Q9" s="45"/>
      <c r="R9" s="45"/>
      <c r="S9" s="46"/>
    </row>
    <row r="10" spans="3:21" x14ac:dyDescent="0.3">
      <c r="C10" s="291" t="s">
        <v>72</v>
      </c>
      <c r="D10" s="293">
        <v>5</v>
      </c>
      <c r="E10" s="297">
        <v>568144</v>
      </c>
      <c r="F10" s="299">
        <f t="shared" si="0"/>
        <v>13.250130186698998</v>
      </c>
      <c r="J10" s="44" t="s">
        <v>117</v>
      </c>
      <c r="K10" s="45">
        <v>0.94565975445849637</v>
      </c>
      <c r="L10" s="45"/>
      <c r="M10" s="45"/>
      <c r="N10" s="45"/>
      <c r="O10" s="45"/>
      <c r="P10" s="45"/>
      <c r="Q10" s="45"/>
      <c r="R10" s="45"/>
      <c r="S10" s="46"/>
    </row>
    <row r="11" spans="3:21" x14ac:dyDescent="0.3">
      <c r="C11" s="291" t="s">
        <v>73</v>
      </c>
      <c r="D11" s="293">
        <v>6</v>
      </c>
      <c r="E11" s="297">
        <v>596228</v>
      </c>
      <c r="F11" s="299">
        <f t="shared" si="0"/>
        <v>13.298378423229334</v>
      </c>
      <c r="J11" s="44" t="s">
        <v>118</v>
      </c>
      <c r="K11" s="45">
        <v>3.9662788572094994E-2</v>
      </c>
      <c r="L11" s="45"/>
      <c r="M11" s="45"/>
      <c r="N11" s="45"/>
      <c r="O11" s="45"/>
      <c r="P11" s="45"/>
      <c r="Q11" s="45"/>
      <c r="R11" s="45"/>
      <c r="S11" s="46"/>
    </row>
    <row r="12" spans="3:21" ht="15" thickBot="1" x14ac:dyDescent="0.35">
      <c r="C12" s="291" t="s">
        <v>74</v>
      </c>
      <c r="D12" s="293">
        <v>7</v>
      </c>
      <c r="E12" s="297">
        <v>619768</v>
      </c>
      <c r="F12" s="299">
        <f t="shared" si="0"/>
        <v>13.337100493445012</v>
      </c>
      <c r="J12" s="132" t="s">
        <v>119</v>
      </c>
      <c r="K12" s="52">
        <v>20</v>
      </c>
      <c r="L12" s="45"/>
      <c r="M12" s="45"/>
      <c r="N12" s="45"/>
      <c r="O12" s="45"/>
      <c r="P12" s="45"/>
      <c r="Q12" s="45"/>
      <c r="R12" s="45"/>
      <c r="S12" s="46"/>
    </row>
    <row r="13" spans="3:21" x14ac:dyDescent="0.3">
      <c r="C13" s="291" t="s">
        <v>75</v>
      </c>
      <c r="D13" s="293">
        <v>8</v>
      </c>
      <c r="E13" s="297">
        <v>648539</v>
      </c>
      <c r="F13" s="299">
        <f t="shared" si="0"/>
        <v>13.382477419712176</v>
      </c>
      <c r="J13" s="44"/>
      <c r="K13" s="45"/>
      <c r="L13" s="45"/>
      <c r="M13" s="45"/>
      <c r="N13" s="45"/>
      <c r="O13" s="45"/>
      <c r="P13" s="45"/>
      <c r="Q13" s="45"/>
      <c r="R13" s="45"/>
      <c r="S13" s="133"/>
    </row>
    <row r="14" spans="3:21" ht="15" thickBot="1" x14ac:dyDescent="0.35">
      <c r="C14" s="291" t="s">
        <v>76</v>
      </c>
      <c r="D14" s="293">
        <v>9</v>
      </c>
      <c r="E14" s="297">
        <v>664361</v>
      </c>
      <c r="F14" s="299">
        <f t="shared" si="0"/>
        <v>13.406580955419821</v>
      </c>
      <c r="J14" s="44" t="s">
        <v>120</v>
      </c>
      <c r="K14" s="45"/>
      <c r="L14" s="45"/>
      <c r="M14" s="45"/>
      <c r="N14" s="45"/>
      <c r="O14" s="45"/>
      <c r="P14" s="45"/>
      <c r="Q14" s="45"/>
      <c r="R14" s="45"/>
      <c r="S14" s="46"/>
    </row>
    <row r="15" spans="3:21" x14ac:dyDescent="0.3">
      <c r="C15" s="291" t="s">
        <v>77</v>
      </c>
      <c r="D15" s="293">
        <v>10</v>
      </c>
      <c r="E15" s="297">
        <v>681289</v>
      </c>
      <c r="F15" s="299">
        <f t="shared" si="0"/>
        <v>13.431741871027425</v>
      </c>
      <c r="J15" s="134"/>
      <c r="K15" s="123" t="s">
        <v>123</v>
      </c>
      <c r="L15" s="123" t="s">
        <v>124</v>
      </c>
      <c r="M15" s="123" t="s">
        <v>125</v>
      </c>
      <c r="N15" s="123" t="s">
        <v>126</v>
      </c>
      <c r="O15" s="123" t="s">
        <v>127</v>
      </c>
      <c r="P15" s="45"/>
      <c r="Q15" s="45"/>
      <c r="R15" s="45"/>
      <c r="S15" s="46"/>
    </row>
    <row r="16" spans="3:21" x14ac:dyDescent="0.3">
      <c r="C16" s="291" t="s">
        <v>78</v>
      </c>
      <c r="D16" s="293">
        <v>11</v>
      </c>
      <c r="E16" s="297">
        <v>698774</v>
      </c>
      <c r="F16" s="299">
        <f t="shared" si="0"/>
        <v>13.4570826499099</v>
      </c>
      <c r="J16" s="44" t="s">
        <v>121</v>
      </c>
      <c r="K16" s="45">
        <v>1</v>
      </c>
      <c r="L16" s="45">
        <v>0.52172888343446366</v>
      </c>
      <c r="M16" s="45">
        <v>0.52172888343446366</v>
      </c>
      <c r="N16" s="45">
        <v>331.64876972240245</v>
      </c>
      <c r="O16" s="45">
        <v>4.8233062827353272E-13</v>
      </c>
      <c r="P16" s="45"/>
      <c r="Q16" s="45"/>
      <c r="R16" s="45"/>
      <c r="S16" s="46"/>
    </row>
    <row r="17" spans="3:19" x14ac:dyDescent="0.3">
      <c r="C17" s="291" t="s">
        <v>79</v>
      </c>
      <c r="D17" s="293">
        <v>12</v>
      </c>
      <c r="E17" s="297">
        <v>702295</v>
      </c>
      <c r="F17" s="299">
        <f t="shared" si="0"/>
        <v>13.462108822657152</v>
      </c>
      <c r="J17" s="44" t="s">
        <v>45</v>
      </c>
      <c r="K17" s="45">
        <v>18</v>
      </c>
      <c r="L17" s="45">
        <v>2.8316462351664764E-2</v>
      </c>
      <c r="M17" s="45">
        <v>1.5731367973147092E-3</v>
      </c>
      <c r="N17" s="45"/>
      <c r="O17" s="45"/>
      <c r="P17" s="45"/>
      <c r="Q17" s="45"/>
      <c r="R17" s="45"/>
      <c r="S17" s="46"/>
    </row>
    <row r="18" spans="3:19" ht="15" thickBot="1" x14ac:dyDescent="0.35">
      <c r="C18" s="291" t="s">
        <v>80</v>
      </c>
      <c r="D18" s="293">
        <v>13</v>
      </c>
      <c r="E18" s="297">
        <v>755699</v>
      </c>
      <c r="F18" s="299">
        <f t="shared" si="0"/>
        <v>13.535398427731502</v>
      </c>
      <c r="J18" s="132" t="s">
        <v>1</v>
      </c>
      <c r="K18" s="52">
        <v>19</v>
      </c>
      <c r="L18" s="52">
        <v>0.5500453457861284</v>
      </c>
      <c r="M18" s="52"/>
      <c r="N18" s="52"/>
      <c r="O18" s="52"/>
      <c r="P18" s="45"/>
      <c r="Q18" s="45"/>
      <c r="R18" s="45"/>
      <c r="S18" s="46"/>
    </row>
    <row r="19" spans="3:19" ht="15" thickBot="1" x14ac:dyDescent="0.35">
      <c r="C19" s="291" t="s">
        <v>81</v>
      </c>
      <c r="D19" s="293">
        <v>14</v>
      </c>
      <c r="E19" s="297">
        <v>789631</v>
      </c>
      <c r="F19" s="299">
        <f t="shared" si="0"/>
        <v>13.579321026715744</v>
      </c>
      <c r="J19" s="44"/>
      <c r="K19" s="45"/>
      <c r="L19" s="45"/>
      <c r="M19" s="45"/>
      <c r="N19" s="45"/>
      <c r="O19" s="45"/>
      <c r="P19" s="45"/>
      <c r="Q19" s="45"/>
      <c r="R19" s="45"/>
      <c r="S19" s="46"/>
    </row>
    <row r="20" spans="3:19" x14ac:dyDescent="0.3">
      <c r="C20" s="291" t="s">
        <v>82</v>
      </c>
      <c r="D20" s="293">
        <v>15</v>
      </c>
      <c r="E20" s="297">
        <v>733105</v>
      </c>
      <c r="F20" s="299">
        <f t="shared" si="0"/>
        <v>13.50504421754035</v>
      </c>
      <c r="J20" s="134"/>
      <c r="K20" s="123" t="s">
        <v>128</v>
      </c>
      <c r="L20" s="123" t="s">
        <v>118</v>
      </c>
      <c r="M20" s="123" t="s">
        <v>129</v>
      </c>
      <c r="N20" s="123" t="s">
        <v>130</v>
      </c>
      <c r="O20" s="123" t="s">
        <v>131</v>
      </c>
      <c r="P20" s="123" t="s">
        <v>132</v>
      </c>
      <c r="Q20" s="123" t="s">
        <v>133</v>
      </c>
      <c r="R20" s="123" t="s">
        <v>134</v>
      </c>
      <c r="S20" s="46"/>
    </row>
    <row r="21" spans="3:19" x14ac:dyDescent="0.3">
      <c r="C21" s="291" t="s">
        <v>83</v>
      </c>
      <c r="D21" s="293">
        <v>16</v>
      </c>
      <c r="E21" s="297">
        <v>739386</v>
      </c>
      <c r="F21" s="299">
        <f t="shared" si="0"/>
        <v>13.513575391034383</v>
      </c>
      <c r="J21" s="44" t="s">
        <v>122</v>
      </c>
      <c r="K21" s="45">
        <v>13.114256098853399</v>
      </c>
      <c r="L21" s="45">
        <v>1.8424612927435018E-2</v>
      </c>
      <c r="M21" s="45">
        <v>711.77919180737354</v>
      </c>
      <c r="N21" s="45">
        <v>1.67255526314773E-41</v>
      </c>
      <c r="O21" s="45">
        <v>13.075547423471225</v>
      </c>
      <c r="P21" s="45">
        <v>13.152964774235542</v>
      </c>
      <c r="Q21" s="45">
        <v>13.075547423471225</v>
      </c>
      <c r="R21" s="45">
        <v>13.152964774235542</v>
      </c>
      <c r="S21" s="46"/>
    </row>
    <row r="22" spans="3:19" ht="15" thickBot="1" x14ac:dyDescent="0.35">
      <c r="C22" s="291" t="s">
        <v>84</v>
      </c>
      <c r="D22" s="293">
        <v>17</v>
      </c>
      <c r="E22" s="297">
        <v>768852</v>
      </c>
      <c r="F22" s="299">
        <f t="shared" si="0"/>
        <v>13.552653772228092</v>
      </c>
      <c r="J22" s="132" t="s">
        <v>135</v>
      </c>
      <c r="K22" s="52">
        <v>2.8009903818676799E-2</v>
      </c>
      <c r="L22" s="52">
        <v>1.5380569703630192E-3</v>
      </c>
      <c r="M22" s="52">
        <v>18.211226474963251</v>
      </c>
      <c r="N22" s="52">
        <v>4.8233062827353272E-13</v>
      </c>
      <c r="O22" s="52">
        <v>2.4778566030494761E-2</v>
      </c>
      <c r="P22" s="52">
        <v>3.1241241606858809E-2</v>
      </c>
      <c r="Q22" s="52">
        <v>2.4778566030494761E-2</v>
      </c>
      <c r="R22" s="52">
        <v>3.1241241606858809E-2</v>
      </c>
      <c r="S22" s="54"/>
    </row>
    <row r="23" spans="3:19" x14ac:dyDescent="0.3">
      <c r="C23" s="291" t="s">
        <v>85</v>
      </c>
      <c r="D23" s="293">
        <v>18</v>
      </c>
      <c r="E23" s="297">
        <v>809123</v>
      </c>
      <c r="F23" s="299">
        <f t="shared" si="0"/>
        <v>13.603706224038794</v>
      </c>
    </row>
    <row r="24" spans="3:19" x14ac:dyDescent="0.3">
      <c r="C24" s="291" t="s">
        <v>86</v>
      </c>
      <c r="D24" s="293">
        <v>19</v>
      </c>
      <c r="E24" s="297">
        <v>822689</v>
      </c>
      <c r="F24" s="299">
        <f t="shared" si="0"/>
        <v>13.620333522458663</v>
      </c>
    </row>
    <row r="25" spans="3:19" ht="15" thickBot="1" x14ac:dyDescent="0.35">
      <c r="C25" s="292" t="s">
        <v>87</v>
      </c>
      <c r="D25" s="294">
        <v>20</v>
      </c>
      <c r="E25" s="298">
        <v>839059</v>
      </c>
      <c r="F25" s="300">
        <f t="shared" si="0"/>
        <v>13.640036304788561</v>
      </c>
    </row>
    <row r="27" spans="3:19" ht="16.2" customHeight="1" x14ac:dyDescent="0.5">
      <c r="H27" s="9"/>
    </row>
    <row r="29" spans="3:19" ht="25.8" x14ac:dyDescent="0.5">
      <c r="C29" s="9" t="s">
        <v>144</v>
      </c>
    </row>
    <row r="31" spans="3:19" ht="15" thickBot="1" x14ac:dyDescent="0.35"/>
    <row r="32" spans="3:19" ht="18.600000000000001" thickBot="1" x14ac:dyDescent="0.4">
      <c r="C32" s="241" t="s">
        <v>65</v>
      </c>
      <c r="D32" s="271" t="s">
        <v>66</v>
      </c>
      <c r="E32" s="271" t="s">
        <v>67</v>
      </c>
      <c r="F32" s="271" t="s">
        <v>88</v>
      </c>
      <c r="J32" s="135" t="s">
        <v>113</v>
      </c>
      <c r="K32" s="136"/>
      <c r="L32" s="136"/>
      <c r="M32" s="136"/>
      <c r="N32" s="136"/>
      <c r="O32" s="136"/>
      <c r="P32" s="310"/>
      <c r="Q32" s="311" t="s">
        <v>136</v>
      </c>
      <c r="R32" s="312" t="s">
        <v>141</v>
      </c>
      <c r="S32" s="313"/>
    </row>
    <row r="33" spans="3:19" ht="15" thickBot="1" x14ac:dyDescent="0.35">
      <c r="C33" s="316" t="s">
        <v>68</v>
      </c>
      <c r="D33" s="304">
        <v>1</v>
      </c>
      <c r="E33" s="304">
        <v>484287</v>
      </c>
      <c r="F33" s="304">
        <v>13.090432985165052</v>
      </c>
      <c r="J33" s="137"/>
      <c r="K33" s="138"/>
      <c r="L33" s="138"/>
      <c r="M33" s="138"/>
      <c r="N33" s="138"/>
      <c r="O33" s="138"/>
      <c r="P33" s="309" t="s">
        <v>137</v>
      </c>
      <c r="Q33" s="325">
        <v>3.9489445470237902E-2</v>
      </c>
      <c r="R33" s="138"/>
      <c r="S33" s="139"/>
    </row>
    <row r="34" spans="3:19" x14ac:dyDescent="0.3">
      <c r="C34" s="314" t="s">
        <v>69</v>
      </c>
      <c r="D34" s="299">
        <v>2</v>
      </c>
      <c r="E34" s="299">
        <v>504887</v>
      </c>
      <c r="F34" s="299">
        <v>13.132089920842724</v>
      </c>
      <c r="J34" s="140" t="s">
        <v>114</v>
      </c>
      <c r="K34" s="124"/>
      <c r="L34" s="138"/>
      <c r="M34" s="138"/>
      <c r="N34" s="138"/>
      <c r="O34" s="138"/>
      <c r="P34" s="307" t="s">
        <v>138</v>
      </c>
      <c r="Q34" s="326">
        <f>1+Q33</f>
        <v>1.0394894454702379</v>
      </c>
      <c r="R34" s="138"/>
      <c r="S34" s="139"/>
    </row>
    <row r="35" spans="3:19" ht="15" thickBot="1" x14ac:dyDescent="0.35">
      <c r="C35" s="314" t="s">
        <v>70</v>
      </c>
      <c r="D35" s="299">
        <v>3</v>
      </c>
      <c r="E35" s="299">
        <v>525016</v>
      </c>
      <c r="F35" s="299">
        <v>13.171184017299847</v>
      </c>
      <c r="J35" s="137" t="s">
        <v>115</v>
      </c>
      <c r="K35" s="138">
        <v>0.99708388296721062</v>
      </c>
      <c r="L35" s="138"/>
      <c r="M35" s="138"/>
      <c r="N35" s="138"/>
      <c r="O35" s="138"/>
      <c r="P35" s="308" t="s">
        <v>139</v>
      </c>
      <c r="Q35" s="327">
        <v>3.9489445470237902E-2</v>
      </c>
      <c r="R35" s="138"/>
      <c r="S35" s="139"/>
    </row>
    <row r="36" spans="3:19" x14ac:dyDescent="0.3">
      <c r="C36" s="314" t="s">
        <v>71</v>
      </c>
      <c r="D36" s="299">
        <v>4</v>
      </c>
      <c r="E36" s="299">
        <v>539191</v>
      </c>
      <c r="F36" s="299">
        <v>13.197825147046272</v>
      </c>
      <c r="J36" s="137" t="s">
        <v>116</v>
      </c>
      <c r="K36" s="138">
        <v>0.99417626967297024</v>
      </c>
      <c r="L36" s="138"/>
      <c r="M36" s="138"/>
      <c r="N36" s="138"/>
      <c r="O36" s="138"/>
      <c r="P36" s="138"/>
      <c r="Q36" s="138"/>
      <c r="R36" s="138"/>
      <c r="S36" s="139"/>
    </row>
    <row r="37" spans="3:19" x14ac:dyDescent="0.3">
      <c r="C37" s="314" t="s">
        <v>72</v>
      </c>
      <c r="D37" s="299">
        <v>5</v>
      </c>
      <c r="E37" s="299">
        <v>568144</v>
      </c>
      <c r="F37" s="299">
        <v>13.250130186698998</v>
      </c>
      <c r="J37" s="137" t="s">
        <v>117</v>
      </c>
      <c r="K37" s="138">
        <v>0.99344830338209156</v>
      </c>
      <c r="L37" s="138"/>
      <c r="M37" s="138"/>
      <c r="N37" s="138"/>
      <c r="O37" s="138"/>
      <c r="P37" s="138"/>
      <c r="Q37" s="138"/>
      <c r="R37" s="138"/>
      <c r="S37" s="139"/>
    </row>
    <row r="38" spans="3:19" x14ac:dyDescent="0.3">
      <c r="C38" s="314" t="s">
        <v>73</v>
      </c>
      <c r="D38" s="299">
        <v>6</v>
      </c>
      <c r="E38" s="299">
        <v>596228</v>
      </c>
      <c r="F38" s="299">
        <v>13.298378423229334</v>
      </c>
      <c r="J38" s="137" t="s">
        <v>118</v>
      </c>
      <c r="K38" s="138">
        <v>9.7058136320439491E-3</v>
      </c>
      <c r="L38" s="138"/>
      <c r="M38" s="138"/>
      <c r="N38" s="138"/>
      <c r="O38" s="138"/>
      <c r="P38" s="138"/>
      <c r="Q38" s="138"/>
      <c r="R38" s="138"/>
      <c r="S38" s="139"/>
    </row>
    <row r="39" spans="3:19" ht="15" thickBot="1" x14ac:dyDescent="0.35">
      <c r="C39" s="314" t="s">
        <v>74</v>
      </c>
      <c r="D39" s="299">
        <v>7</v>
      </c>
      <c r="E39" s="299">
        <v>619768</v>
      </c>
      <c r="F39" s="299">
        <v>13.337100493445012</v>
      </c>
      <c r="J39" s="141" t="s">
        <v>119</v>
      </c>
      <c r="K39" s="125">
        <v>10</v>
      </c>
      <c r="L39" s="138"/>
      <c r="M39" s="138"/>
      <c r="N39" s="138"/>
      <c r="O39" s="138"/>
      <c r="P39" s="138"/>
      <c r="Q39" s="138"/>
      <c r="R39" s="138"/>
      <c r="S39" s="139"/>
    </row>
    <row r="40" spans="3:19" x14ac:dyDescent="0.3">
      <c r="C40" s="314" t="s">
        <v>75</v>
      </c>
      <c r="D40" s="299">
        <v>8</v>
      </c>
      <c r="E40" s="299">
        <v>648539</v>
      </c>
      <c r="F40" s="299">
        <v>13.382477419712176</v>
      </c>
      <c r="J40" s="137"/>
      <c r="K40" s="138"/>
      <c r="L40" s="138"/>
      <c r="M40" s="138"/>
      <c r="N40" s="138"/>
      <c r="O40" s="138"/>
      <c r="P40" s="138"/>
      <c r="Q40" s="138"/>
      <c r="R40" s="138"/>
      <c r="S40" s="139"/>
    </row>
    <row r="41" spans="3:19" ht="15" thickBot="1" x14ac:dyDescent="0.35">
      <c r="C41" s="314" t="s">
        <v>76</v>
      </c>
      <c r="D41" s="299">
        <v>9</v>
      </c>
      <c r="E41" s="299">
        <v>664361</v>
      </c>
      <c r="F41" s="299">
        <v>13.406580955419821</v>
      </c>
      <c r="J41" s="137" t="s">
        <v>120</v>
      </c>
      <c r="K41" s="138"/>
      <c r="L41" s="138"/>
      <c r="M41" s="138"/>
      <c r="N41" s="138"/>
      <c r="O41" s="138"/>
      <c r="P41" s="138"/>
      <c r="Q41" s="138"/>
      <c r="R41" s="138"/>
      <c r="S41" s="139"/>
    </row>
    <row r="42" spans="3:19" ht="15" thickBot="1" x14ac:dyDescent="0.35">
      <c r="C42" s="315" t="s">
        <v>77</v>
      </c>
      <c r="D42" s="300">
        <v>10</v>
      </c>
      <c r="E42" s="300">
        <v>681289</v>
      </c>
      <c r="F42" s="300">
        <v>13.431741871027425</v>
      </c>
      <c r="J42" s="142"/>
      <c r="K42" s="126" t="s">
        <v>123</v>
      </c>
      <c r="L42" s="126" t="s">
        <v>124</v>
      </c>
      <c r="M42" s="126" t="s">
        <v>125</v>
      </c>
      <c r="N42" s="126" t="s">
        <v>126</v>
      </c>
      <c r="O42" s="126" t="s">
        <v>127</v>
      </c>
      <c r="P42" s="138"/>
      <c r="Q42" s="138"/>
      <c r="R42" s="138"/>
      <c r="S42" s="139"/>
    </row>
    <row r="43" spans="3:19" x14ac:dyDescent="0.3">
      <c r="J43" s="137" t="s">
        <v>121</v>
      </c>
      <c r="K43" s="138">
        <v>1</v>
      </c>
      <c r="L43" s="138">
        <v>0.12865184504261834</v>
      </c>
      <c r="M43" s="138">
        <v>0.12865184504261834</v>
      </c>
      <c r="N43" s="138">
        <v>1365.6899806073711</v>
      </c>
      <c r="O43" s="138">
        <v>3.1526611747232451E-10</v>
      </c>
      <c r="P43" s="138"/>
      <c r="Q43" s="138"/>
      <c r="R43" s="138"/>
      <c r="S43" s="139"/>
    </row>
    <row r="44" spans="3:19" x14ac:dyDescent="0.3">
      <c r="J44" s="137" t="s">
        <v>45</v>
      </c>
      <c r="K44" s="138">
        <v>8</v>
      </c>
      <c r="L44" s="138">
        <v>7.5362254607976118E-4</v>
      </c>
      <c r="M44" s="138">
        <v>9.4202818259970147E-5</v>
      </c>
      <c r="N44" s="138"/>
      <c r="O44" s="138"/>
      <c r="P44" s="138"/>
      <c r="Q44" s="138"/>
      <c r="R44" s="138"/>
      <c r="S44" s="139"/>
    </row>
    <row r="45" spans="3:19" ht="15" thickBot="1" x14ac:dyDescent="0.35">
      <c r="J45" s="141" t="s">
        <v>1</v>
      </c>
      <c r="K45" s="125">
        <v>9</v>
      </c>
      <c r="L45" s="125">
        <v>0.12940546758869811</v>
      </c>
      <c r="M45" s="125"/>
      <c r="N45" s="125"/>
      <c r="O45" s="125"/>
      <c r="P45" s="138"/>
      <c r="Q45" s="138"/>
      <c r="R45" s="138"/>
      <c r="S45" s="139"/>
    </row>
    <row r="46" spans="3:19" ht="15" thickBot="1" x14ac:dyDescent="0.35">
      <c r="J46" s="137"/>
      <c r="K46" s="138"/>
      <c r="L46" s="138"/>
      <c r="M46" s="138"/>
      <c r="N46" s="138"/>
      <c r="O46" s="138"/>
      <c r="P46" s="138"/>
      <c r="Q46" s="138"/>
      <c r="R46" s="138"/>
      <c r="S46" s="139"/>
    </row>
    <row r="47" spans="3:19" x14ac:dyDescent="0.3">
      <c r="J47" s="142"/>
      <c r="K47" s="126" t="s">
        <v>128</v>
      </c>
      <c r="L47" s="126" t="s">
        <v>118</v>
      </c>
      <c r="M47" s="126" t="s">
        <v>129</v>
      </c>
      <c r="N47" s="126" t="s">
        <v>130</v>
      </c>
      <c r="O47" s="126" t="s">
        <v>131</v>
      </c>
      <c r="P47" s="126" t="s">
        <v>132</v>
      </c>
      <c r="Q47" s="126" t="s">
        <v>133</v>
      </c>
      <c r="R47" s="126" t="s">
        <v>134</v>
      </c>
      <c r="S47" s="139"/>
    </row>
    <row r="48" spans="3:19" x14ac:dyDescent="0.3">
      <c r="J48" s="137" t="s">
        <v>122</v>
      </c>
      <c r="K48" s="138">
        <v>13.0526021919024</v>
      </c>
      <c r="L48" s="138">
        <v>6.6303329620755911E-3</v>
      </c>
      <c r="M48" s="138">
        <v>1968.6194142226468</v>
      </c>
      <c r="N48" s="138">
        <v>4.9650163773911324E-24</v>
      </c>
      <c r="O48" s="138">
        <v>13.037312616674031</v>
      </c>
      <c r="P48" s="138">
        <v>13.067891767130684</v>
      </c>
      <c r="Q48" s="138">
        <v>13.037312616674031</v>
      </c>
      <c r="R48" s="138">
        <v>13.067891767130684</v>
      </c>
      <c r="S48" s="139"/>
    </row>
    <row r="49" spans="3:19" ht="15" thickBot="1" x14ac:dyDescent="0.35">
      <c r="J49" s="141" t="s">
        <v>135</v>
      </c>
      <c r="K49" s="125">
        <v>3.9489445470237902E-2</v>
      </c>
      <c r="L49" s="125">
        <v>1.0685749119949863E-3</v>
      </c>
      <c r="M49" s="125">
        <v>36.955242938010457</v>
      </c>
      <c r="N49" s="125">
        <v>3.1526611747232338E-10</v>
      </c>
      <c r="O49" s="125">
        <v>3.7025307304401997E-2</v>
      </c>
      <c r="P49" s="125">
        <v>4.1953583636073738E-2</v>
      </c>
      <c r="Q49" s="125">
        <v>3.7025307304401997E-2</v>
      </c>
      <c r="R49" s="125">
        <v>4.1953583636073738E-2</v>
      </c>
      <c r="S49" s="143"/>
    </row>
    <row r="53" spans="3:19" ht="25.8" x14ac:dyDescent="0.5">
      <c r="C53" s="9" t="s">
        <v>145</v>
      </c>
    </row>
    <row r="55" spans="3:19" ht="15" thickBot="1" x14ac:dyDescent="0.35"/>
    <row r="56" spans="3:19" ht="18.600000000000001" thickBot="1" x14ac:dyDescent="0.4">
      <c r="C56" s="241" t="s">
        <v>65</v>
      </c>
      <c r="D56" s="271" t="s">
        <v>66</v>
      </c>
      <c r="E56" s="271" t="s">
        <v>67</v>
      </c>
      <c r="F56" s="321" t="s">
        <v>88</v>
      </c>
      <c r="J56" s="144" t="s">
        <v>113</v>
      </c>
      <c r="K56" s="145"/>
      <c r="L56" s="145"/>
      <c r="M56" s="145"/>
      <c r="N56" s="145"/>
      <c r="O56" s="145"/>
      <c r="P56" s="322" t="s">
        <v>136</v>
      </c>
      <c r="Q56" s="323"/>
      <c r="R56" s="324" t="s">
        <v>142</v>
      </c>
      <c r="S56" s="323"/>
    </row>
    <row r="57" spans="3:19" ht="15" thickBot="1" x14ac:dyDescent="0.35">
      <c r="C57" s="319" t="s">
        <v>78</v>
      </c>
      <c r="D57" s="302">
        <v>11</v>
      </c>
      <c r="E57" s="303">
        <v>698774</v>
      </c>
      <c r="F57" s="320">
        <f t="shared" ref="F57:F66" si="1">LN(E57)</f>
        <v>13.4570826499099</v>
      </c>
      <c r="J57" s="146"/>
      <c r="K57" s="147"/>
      <c r="L57" s="147"/>
      <c r="M57" s="147"/>
      <c r="N57" s="147"/>
      <c r="O57" s="147"/>
      <c r="P57" s="331" t="s">
        <v>137</v>
      </c>
      <c r="Q57" s="334">
        <v>1.8328631418703417E-2</v>
      </c>
      <c r="R57" s="147"/>
      <c r="S57" s="148"/>
    </row>
    <row r="58" spans="3:19" x14ac:dyDescent="0.3">
      <c r="C58" s="317" t="s">
        <v>79</v>
      </c>
      <c r="D58" s="293">
        <v>12</v>
      </c>
      <c r="E58" s="297">
        <v>702295</v>
      </c>
      <c r="F58" s="295">
        <f t="shared" si="1"/>
        <v>13.462108822657152</v>
      </c>
      <c r="J58" s="149" t="s">
        <v>114</v>
      </c>
      <c r="K58" s="127"/>
      <c r="L58" s="147"/>
      <c r="M58" s="147"/>
      <c r="N58" s="147"/>
      <c r="O58" s="147"/>
      <c r="P58" s="332" t="s">
        <v>138</v>
      </c>
      <c r="Q58" s="335">
        <f>1+Q57</f>
        <v>1.0183286314187034</v>
      </c>
      <c r="R58" s="147"/>
      <c r="S58" s="148"/>
    </row>
    <row r="59" spans="3:19" ht="15" thickBot="1" x14ac:dyDescent="0.35">
      <c r="C59" s="317" t="s">
        <v>80</v>
      </c>
      <c r="D59" s="293">
        <v>13</v>
      </c>
      <c r="E59" s="297">
        <v>755699</v>
      </c>
      <c r="F59" s="295">
        <f t="shared" si="1"/>
        <v>13.535398427731502</v>
      </c>
      <c r="J59" s="146" t="s">
        <v>115</v>
      </c>
      <c r="K59" s="147">
        <v>0.86984494222621378</v>
      </c>
      <c r="L59" s="147"/>
      <c r="M59" s="147"/>
      <c r="N59" s="147"/>
      <c r="O59" s="147"/>
      <c r="P59" s="333" t="s">
        <v>139</v>
      </c>
      <c r="Q59" s="336">
        <v>1.8328631418703417E-2</v>
      </c>
      <c r="R59" s="147"/>
      <c r="S59" s="148"/>
    </row>
    <row r="60" spans="3:19" x14ac:dyDescent="0.3">
      <c r="C60" s="317" t="s">
        <v>81</v>
      </c>
      <c r="D60" s="293">
        <v>14</v>
      </c>
      <c r="E60" s="297">
        <v>789631</v>
      </c>
      <c r="F60" s="295">
        <f t="shared" si="1"/>
        <v>13.579321026715744</v>
      </c>
      <c r="J60" s="146" t="s">
        <v>116</v>
      </c>
      <c r="K60" s="147">
        <v>0.7566302235165252</v>
      </c>
      <c r="L60" s="147"/>
      <c r="M60" s="147"/>
      <c r="N60" s="147"/>
      <c r="O60" s="147"/>
      <c r="P60" s="147"/>
      <c r="Q60" s="147"/>
      <c r="R60" s="147"/>
      <c r="S60" s="148"/>
    </row>
    <row r="61" spans="3:19" x14ac:dyDescent="0.3">
      <c r="C61" s="317" t="s">
        <v>82</v>
      </c>
      <c r="D61" s="293">
        <v>15</v>
      </c>
      <c r="E61" s="297">
        <v>733105</v>
      </c>
      <c r="F61" s="295">
        <f t="shared" si="1"/>
        <v>13.50504421754035</v>
      </c>
      <c r="J61" s="146" t="s">
        <v>117</v>
      </c>
      <c r="K61" s="147">
        <v>0.72620900145609091</v>
      </c>
      <c r="L61" s="147"/>
      <c r="M61" s="147"/>
      <c r="N61" s="147"/>
      <c r="O61" s="147"/>
      <c r="P61" s="147"/>
      <c r="Q61" s="147"/>
      <c r="R61" s="147"/>
      <c r="S61" s="148"/>
    </row>
    <row r="62" spans="3:19" x14ac:dyDescent="0.3">
      <c r="C62" s="317" t="s">
        <v>83</v>
      </c>
      <c r="D62" s="293">
        <v>16</v>
      </c>
      <c r="E62" s="297">
        <v>739386</v>
      </c>
      <c r="F62" s="295">
        <f t="shared" si="1"/>
        <v>13.513575391034383</v>
      </c>
      <c r="J62" s="146" t="s">
        <v>118</v>
      </c>
      <c r="K62" s="147">
        <v>3.3381319356061367E-2</v>
      </c>
      <c r="L62" s="147"/>
      <c r="M62" s="147"/>
      <c r="N62" s="147"/>
      <c r="O62" s="147"/>
      <c r="P62" s="147"/>
      <c r="Q62" s="147"/>
      <c r="R62" s="147"/>
      <c r="S62" s="148"/>
    </row>
    <row r="63" spans="3:19" ht="15" thickBot="1" x14ac:dyDescent="0.35">
      <c r="C63" s="317" t="s">
        <v>84</v>
      </c>
      <c r="D63" s="293">
        <v>17</v>
      </c>
      <c r="E63" s="297">
        <v>768852</v>
      </c>
      <c r="F63" s="295">
        <f t="shared" si="1"/>
        <v>13.552653772228092</v>
      </c>
      <c r="J63" s="150" t="s">
        <v>119</v>
      </c>
      <c r="K63" s="128">
        <v>10</v>
      </c>
      <c r="L63" s="147"/>
      <c r="M63" s="147"/>
      <c r="N63" s="147"/>
      <c r="O63" s="147"/>
      <c r="P63" s="147"/>
      <c r="Q63" s="147"/>
      <c r="R63" s="147"/>
      <c r="S63" s="148"/>
    </row>
    <row r="64" spans="3:19" x14ac:dyDescent="0.3">
      <c r="C64" s="317" t="s">
        <v>85</v>
      </c>
      <c r="D64" s="293">
        <v>18</v>
      </c>
      <c r="E64" s="297">
        <v>809123</v>
      </c>
      <c r="F64" s="295">
        <f t="shared" si="1"/>
        <v>13.603706224038794</v>
      </c>
      <c r="J64" s="146"/>
      <c r="K64" s="147"/>
      <c r="L64" s="147"/>
      <c r="M64" s="147"/>
      <c r="N64" s="147"/>
      <c r="O64" s="147"/>
      <c r="P64" s="147"/>
      <c r="Q64" s="147"/>
      <c r="R64" s="147"/>
      <c r="S64" s="148"/>
    </row>
    <row r="65" spans="3:19" ht="15" thickBot="1" x14ac:dyDescent="0.35">
      <c r="C65" s="317" t="s">
        <v>86</v>
      </c>
      <c r="D65" s="293">
        <v>19</v>
      </c>
      <c r="E65" s="297">
        <v>822689</v>
      </c>
      <c r="F65" s="295">
        <f t="shared" si="1"/>
        <v>13.620333522458663</v>
      </c>
      <c r="J65" s="146" t="s">
        <v>120</v>
      </c>
      <c r="K65" s="147"/>
      <c r="L65" s="147"/>
      <c r="M65" s="147"/>
      <c r="N65" s="147"/>
      <c r="O65" s="147"/>
      <c r="P65" s="147"/>
      <c r="Q65" s="147"/>
      <c r="R65" s="147"/>
      <c r="S65" s="148"/>
    </row>
    <row r="66" spans="3:19" ht="15" thickBot="1" x14ac:dyDescent="0.35">
      <c r="C66" s="318" t="s">
        <v>87</v>
      </c>
      <c r="D66" s="294">
        <v>20</v>
      </c>
      <c r="E66" s="298">
        <v>839059</v>
      </c>
      <c r="F66" s="296">
        <f t="shared" si="1"/>
        <v>13.640036304788561</v>
      </c>
      <c r="J66" s="151"/>
      <c r="K66" s="129" t="s">
        <v>123</v>
      </c>
      <c r="L66" s="129" t="s">
        <v>124</v>
      </c>
      <c r="M66" s="129" t="s">
        <v>125</v>
      </c>
      <c r="N66" s="129" t="s">
        <v>126</v>
      </c>
      <c r="O66" s="129" t="s">
        <v>127</v>
      </c>
      <c r="P66" s="147"/>
      <c r="Q66" s="147"/>
      <c r="R66" s="147"/>
      <c r="S66" s="148"/>
    </row>
    <row r="67" spans="3:19" x14ac:dyDescent="0.3">
      <c r="J67" s="146" t="s">
        <v>121</v>
      </c>
      <c r="K67" s="147">
        <v>1</v>
      </c>
      <c r="L67" s="147">
        <v>2.7714945198821235E-2</v>
      </c>
      <c r="M67" s="147">
        <v>2.7714945198821235E-2</v>
      </c>
      <c r="N67" s="147">
        <v>24.871789240202613</v>
      </c>
      <c r="O67" s="147">
        <v>1.0698585992214814E-3</v>
      </c>
      <c r="P67" s="147"/>
      <c r="Q67" s="147"/>
      <c r="R67" s="147"/>
      <c r="S67" s="148"/>
    </row>
    <row r="68" spans="3:19" x14ac:dyDescent="0.3">
      <c r="J68" s="146" t="s">
        <v>45</v>
      </c>
      <c r="K68" s="147">
        <v>8</v>
      </c>
      <c r="L68" s="147">
        <v>8.9144998556108575E-3</v>
      </c>
      <c r="M68" s="147">
        <v>1.1143124819513572E-3</v>
      </c>
      <c r="N68" s="147"/>
      <c r="O68" s="147"/>
      <c r="P68" s="147"/>
      <c r="Q68" s="147"/>
      <c r="R68" s="147"/>
      <c r="S68" s="148"/>
    </row>
    <row r="69" spans="3:19" ht="15" thickBot="1" x14ac:dyDescent="0.35">
      <c r="J69" s="150" t="s">
        <v>1</v>
      </c>
      <c r="K69" s="128">
        <v>9</v>
      </c>
      <c r="L69" s="128">
        <v>3.6629445054432094E-2</v>
      </c>
      <c r="M69" s="128"/>
      <c r="N69" s="128"/>
      <c r="O69" s="128"/>
      <c r="P69" s="147"/>
      <c r="Q69" s="147"/>
      <c r="R69" s="147"/>
      <c r="S69" s="148"/>
    </row>
    <row r="70" spans="3:19" ht="15" thickBot="1" x14ac:dyDescent="0.35">
      <c r="J70" s="146"/>
      <c r="K70" s="147"/>
      <c r="L70" s="147"/>
      <c r="M70" s="147"/>
      <c r="N70" s="147"/>
      <c r="O70" s="147"/>
      <c r="P70" s="147"/>
      <c r="Q70" s="147"/>
      <c r="R70" s="147"/>
      <c r="S70" s="148"/>
    </row>
    <row r="71" spans="3:19" x14ac:dyDescent="0.3">
      <c r="J71" s="151"/>
      <c r="K71" s="129" t="s">
        <v>128</v>
      </c>
      <c r="L71" s="129" t="s">
        <v>118</v>
      </c>
      <c r="M71" s="129" t="s">
        <v>129</v>
      </c>
      <c r="N71" s="129" t="s">
        <v>130</v>
      </c>
      <c r="O71" s="129" t="s">
        <v>131</v>
      </c>
      <c r="P71" s="129" t="s">
        <v>132</v>
      </c>
      <c r="Q71" s="129" t="s">
        <v>133</v>
      </c>
      <c r="R71" s="129" t="s">
        <v>134</v>
      </c>
      <c r="S71" s="148"/>
    </row>
    <row r="72" spans="3:19" x14ac:dyDescent="0.3">
      <c r="J72" s="146" t="s">
        <v>122</v>
      </c>
      <c r="K72" s="147">
        <v>13.2628322489204</v>
      </c>
      <c r="L72" s="147">
        <v>5.7934827727517402E-2</v>
      </c>
      <c r="M72" s="147">
        <v>228.92675734359597</v>
      </c>
      <c r="N72" s="147">
        <v>1.483907823999707E-16</v>
      </c>
      <c r="O72" s="147">
        <v>13.129234296608415</v>
      </c>
      <c r="P72" s="147">
        <v>13.396430201232407</v>
      </c>
      <c r="Q72" s="147">
        <v>13.129234296608415</v>
      </c>
      <c r="R72" s="147">
        <v>13.396430201232407</v>
      </c>
      <c r="S72" s="148"/>
    </row>
    <row r="73" spans="3:19" ht="15" thickBot="1" x14ac:dyDescent="0.35">
      <c r="J73" s="150" t="s">
        <v>135</v>
      </c>
      <c r="K73" s="128">
        <v>1.8328631418703417E-2</v>
      </c>
      <c r="L73" s="128">
        <v>3.6751623043134785E-3</v>
      </c>
      <c r="M73" s="128">
        <v>4.987162443735178</v>
      </c>
      <c r="N73" s="128">
        <v>1.0698585992214794E-3</v>
      </c>
      <c r="O73" s="128">
        <v>9.8536919474100596E-3</v>
      </c>
      <c r="P73" s="128">
        <v>2.6803570889996776E-2</v>
      </c>
      <c r="Q73" s="128">
        <v>9.8536919474100596E-3</v>
      </c>
      <c r="R73" s="128">
        <v>2.6803570889996776E-2</v>
      </c>
      <c r="S73" s="15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A233-73EB-4895-B63F-D99050CFB695}">
  <dimension ref="B3:Q31"/>
  <sheetViews>
    <sheetView workbookViewId="0">
      <selection activeCell="O25" sqref="O25"/>
    </sheetView>
  </sheetViews>
  <sheetFormatPr defaultRowHeight="14.4" x14ac:dyDescent="0.3"/>
  <cols>
    <col min="3" max="3" width="14" bestFit="1" customWidth="1"/>
    <col min="6" max="6" width="9.6640625" bestFit="1" customWidth="1"/>
    <col min="7" max="7" width="32.88671875" customWidth="1"/>
  </cols>
  <sheetData>
    <row r="3" spans="2:15" ht="25.8" x14ac:dyDescent="0.5">
      <c r="C3" s="9" t="s">
        <v>146</v>
      </c>
    </row>
    <row r="4" spans="2:15" ht="15" thickBot="1" x14ac:dyDescent="0.35">
      <c r="K4" s="16"/>
      <c r="L4" s="17"/>
      <c r="M4" s="17"/>
      <c r="N4" s="17"/>
      <c r="O4" s="18"/>
    </row>
    <row r="5" spans="2:15" ht="18.600000000000001" thickBot="1" x14ac:dyDescent="0.4">
      <c r="B5" s="2" t="s">
        <v>153</v>
      </c>
      <c r="C5" s="15" t="s">
        <v>150</v>
      </c>
      <c r="D5" s="337" t="s">
        <v>147</v>
      </c>
      <c r="E5" s="337" t="s">
        <v>116</v>
      </c>
      <c r="F5" s="337" t="s">
        <v>148</v>
      </c>
      <c r="G5" s="337" t="s">
        <v>149</v>
      </c>
      <c r="K5" s="19"/>
      <c r="L5" s="20"/>
      <c r="M5" s="14"/>
      <c r="N5" s="14"/>
      <c r="O5" s="21"/>
    </row>
    <row r="6" spans="2:15" ht="15" thickBot="1" x14ac:dyDescent="0.35">
      <c r="D6" s="338">
        <v>2.8405869516247201E-2</v>
      </c>
      <c r="E6" s="339">
        <v>0.95</v>
      </c>
      <c r="F6" s="340">
        <v>2.8009903818676799E-2</v>
      </c>
      <c r="G6" s="340">
        <v>4.8233062827353272E-13</v>
      </c>
      <c r="K6" s="19"/>
      <c r="L6" s="22"/>
      <c r="M6" s="22"/>
      <c r="N6" s="22"/>
      <c r="O6" s="23"/>
    </row>
    <row r="7" spans="2:15" ht="15" thickBot="1" x14ac:dyDescent="0.35">
      <c r="K7" s="19"/>
      <c r="O7" s="23"/>
    </row>
    <row r="8" spans="2:15" ht="18" x14ac:dyDescent="0.35">
      <c r="C8" s="153" t="s">
        <v>154</v>
      </c>
      <c r="D8" s="108"/>
      <c r="E8" s="108"/>
      <c r="F8" s="108"/>
      <c r="G8" s="108"/>
      <c r="H8" s="108"/>
      <c r="I8" s="108"/>
      <c r="J8" s="108"/>
      <c r="K8" s="154"/>
      <c r="L8" s="108"/>
      <c r="M8" s="108"/>
      <c r="N8" s="109"/>
      <c r="O8" s="23"/>
    </row>
    <row r="9" spans="2:15" x14ac:dyDescent="0.3">
      <c r="C9" s="155" t="s">
        <v>155</v>
      </c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2"/>
    </row>
    <row r="10" spans="2:15" x14ac:dyDescent="0.3">
      <c r="C10" s="155" t="s">
        <v>156</v>
      </c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2"/>
    </row>
    <row r="11" spans="2:15" x14ac:dyDescent="0.3">
      <c r="C11" s="155" t="s">
        <v>157</v>
      </c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2"/>
    </row>
    <row r="12" spans="2:15" ht="15" customHeight="1" thickBot="1" x14ac:dyDescent="0.55000000000000004">
      <c r="C12" s="156" t="s">
        <v>158</v>
      </c>
      <c r="D12" s="157"/>
      <c r="E12" s="116"/>
      <c r="F12" s="116"/>
      <c r="G12" s="116"/>
      <c r="H12" s="116"/>
      <c r="I12" s="116"/>
      <c r="J12" s="116"/>
      <c r="K12" s="116"/>
      <c r="L12" s="116"/>
      <c r="M12" s="116"/>
      <c r="N12" s="117"/>
    </row>
    <row r="14" spans="2:15" ht="14.4" customHeight="1" thickBot="1" x14ac:dyDescent="0.35"/>
    <row r="15" spans="2:15" ht="14.4" customHeight="1" thickBot="1" x14ac:dyDescent="0.4">
      <c r="B15" s="2" t="s">
        <v>159</v>
      </c>
      <c r="C15" s="15" t="s">
        <v>151</v>
      </c>
      <c r="D15" s="342" t="s">
        <v>147</v>
      </c>
      <c r="E15" s="342" t="s">
        <v>116</v>
      </c>
      <c r="F15" s="342" t="s">
        <v>148</v>
      </c>
      <c r="G15" s="342" t="s">
        <v>149</v>
      </c>
    </row>
    <row r="16" spans="2:15" ht="14.4" customHeight="1" thickBot="1" x14ac:dyDescent="0.35">
      <c r="D16" s="341">
        <v>3.9489445470237902E-2</v>
      </c>
      <c r="E16" s="339">
        <v>0.99</v>
      </c>
      <c r="F16" s="340">
        <v>3.9489445470237902E-2</v>
      </c>
      <c r="G16" s="340">
        <v>3.1526611747232338E-10</v>
      </c>
    </row>
    <row r="17" spans="2:17" ht="14.4" customHeight="1" thickBot="1" x14ac:dyDescent="0.35"/>
    <row r="18" spans="2:17" ht="18" x14ac:dyDescent="0.35">
      <c r="C18" s="158" t="s">
        <v>154</v>
      </c>
      <c r="D18" s="136"/>
      <c r="E18" s="136"/>
      <c r="F18" s="136"/>
      <c r="G18" s="136"/>
      <c r="H18" s="136"/>
      <c r="I18" s="136"/>
      <c r="J18" s="136"/>
      <c r="K18" s="136"/>
      <c r="L18" s="159"/>
    </row>
    <row r="19" spans="2:17" x14ac:dyDescent="0.3">
      <c r="C19" s="137" t="s">
        <v>160</v>
      </c>
      <c r="D19" s="138"/>
      <c r="E19" s="138"/>
      <c r="F19" s="138"/>
      <c r="G19" s="138"/>
      <c r="H19" s="138"/>
      <c r="I19" s="138"/>
      <c r="J19" s="138"/>
      <c r="K19" s="138"/>
      <c r="L19" s="139"/>
    </row>
    <row r="20" spans="2:17" x14ac:dyDescent="0.3">
      <c r="C20" s="137" t="s">
        <v>161</v>
      </c>
      <c r="D20" s="138"/>
      <c r="E20" s="138"/>
      <c r="F20" s="138"/>
      <c r="G20" s="138"/>
      <c r="H20" s="138"/>
      <c r="I20" s="138"/>
      <c r="J20" s="138"/>
      <c r="K20" s="138"/>
      <c r="L20" s="139"/>
    </row>
    <row r="21" spans="2:17" x14ac:dyDescent="0.3">
      <c r="C21" s="137" t="s">
        <v>162</v>
      </c>
      <c r="D21" s="138"/>
      <c r="E21" s="138"/>
      <c r="F21" s="138"/>
      <c r="G21" s="138"/>
      <c r="H21" s="138"/>
      <c r="I21" s="138"/>
      <c r="J21" s="138"/>
      <c r="K21" s="138"/>
      <c r="L21" s="139"/>
    </row>
    <row r="22" spans="2:17" ht="15" thickBot="1" x14ac:dyDescent="0.35">
      <c r="C22" s="141" t="s">
        <v>163</v>
      </c>
      <c r="D22" s="125"/>
      <c r="E22" s="125"/>
      <c r="F22" s="125"/>
      <c r="G22" s="125"/>
      <c r="H22" s="125"/>
      <c r="I22" s="125"/>
      <c r="J22" s="125"/>
      <c r="K22" s="125"/>
      <c r="L22" s="143"/>
    </row>
    <row r="24" spans="2:17" ht="15" thickBot="1" x14ac:dyDescent="0.35"/>
    <row r="25" spans="2:17" ht="18.600000000000001" thickBot="1" x14ac:dyDescent="0.4">
      <c r="B25" s="2" t="s">
        <v>164</v>
      </c>
      <c r="C25" s="15" t="s">
        <v>152</v>
      </c>
      <c r="D25" s="344" t="s">
        <v>147</v>
      </c>
      <c r="E25" s="345" t="s">
        <v>116</v>
      </c>
      <c r="F25" s="345" t="s">
        <v>148</v>
      </c>
      <c r="G25" s="345" t="s">
        <v>149</v>
      </c>
    </row>
    <row r="26" spans="2:17" ht="15" thickBot="1" x14ac:dyDescent="0.35">
      <c r="D26" s="343">
        <v>1.8328631418703417E-2</v>
      </c>
      <c r="E26" s="339">
        <v>0.75</v>
      </c>
      <c r="F26" s="340">
        <v>1.8328631418703417E-2</v>
      </c>
      <c r="G26" s="340">
        <v>1.0698585992214794E-3</v>
      </c>
    </row>
    <row r="27" spans="2:17" ht="15" thickBot="1" x14ac:dyDescent="0.35"/>
    <row r="28" spans="2:17" ht="18" x14ac:dyDescent="0.35">
      <c r="C28" s="160" t="s">
        <v>154</v>
      </c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5"/>
    </row>
    <row r="29" spans="2:17" x14ac:dyDescent="0.3">
      <c r="C29" s="119" t="s">
        <v>165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67"/>
    </row>
    <row r="30" spans="2:17" x14ac:dyDescent="0.3">
      <c r="C30" s="119" t="s">
        <v>166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67"/>
    </row>
    <row r="31" spans="2:17" ht="15" thickBot="1" x14ac:dyDescent="0.35">
      <c r="C31" s="161" t="s">
        <v>167</v>
      </c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Simple Decomposition</vt:lpstr>
      <vt:lpstr>Divisia based Decomposition</vt:lpstr>
      <vt:lpstr>Regression Analysis</vt:lpstr>
      <vt:lpstr>Interpretation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Anshuman Singh</dc:creator>
  <cp:lastModifiedBy>Anshuman Singh</cp:lastModifiedBy>
  <dcterms:created xsi:type="dcterms:W3CDTF">2025-04-27T13:23:29Z</dcterms:created>
  <dcterms:modified xsi:type="dcterms:W3CDTF">2025-04-28T20:02:59Z</dcterms:modified>
</cp:coreProperties>
</file>